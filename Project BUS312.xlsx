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drawings/drawing4.xml" ContentType="application/vnd.openxmlformats-officedocument.drawing+xml"/>
  <Override PartName="/xl/tables/table9.xml" ContentType="application/vnd.openxmlformats-officedocument.spreadsheetml.table+xml"/>
  <Override PartName="/xl/charts/chart1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c6be657629208fb/Desktop/"/>
    </mc:Choice>
  </mc:AlternateContent>
  <xr:revisionPtr revIDLastSave="668" documentId="8_{6828A07C-E10E-49BB-87C0-FF6ED61EDA30}" xr6:coauthVersionLast="47" xr6:coauthVersionMax="47" xr10:uidLastSave="{032981ED-18E2-4C9D-99E8-1A654D9BD675}"/>
  <bookViews>
    <workbookView xWindow="-108" yWindow="-108" windowWidth="23256" windowHeight="13896" firstSheet="3" activeTab="5" xr2:uid="{1755EA19-23BC-483E-8283-766A55F9579F}"/>
  </bookViews>
  <sheets>
    <sheet name="Clean UP" sheetId="1" r:id="rId1"/>
    <sheet name="Discriptive Statistics" sheetId="2" r:id="rId2"/>
    <sheet name="Nieghbourhood Vs Price Boxplot" sheetId="3" r:id="rId3"/>
    <sheet name="Room Type Vs Price" sheetId="4" r:id="rId4"/>
    <sheet name="Correlation" sheetId="5" r:id="rId5"/>
    <sheet name="Regression Model Before" sheetId="10" r:id="rId6"/>
    <sheet name="Regression Model" sheetId="6" r:id="rId7"/>
    <sheet name="Manhattan Regression" sheetId="8" r:id="rId8"/>
    <sheet name="Actual Price Vs Estimated Price" sheetId="7" r:id="rId9"/>
  </sheets>
  <definedNames>
    <definedName name="_xlnm._FilterDatabase" localSheetId="0" hidden="1">'Clean UP'!$A$1:$R$1043</definedName>
    <definedName name="_xlchart.v1.0" hidden="1">'Nieghbourhood Vs Price Boxplot'!$A$2:$A$1043</definedName>
    <definedName name="_xlchart.v1.1" hidden="1">'Nieghbourhood Vs Price Boxplot'!$B$1</definedName>
    <definedName name="_xlchart.v1.10" hidden="1">Correlation!$C$1</definedName>
    <definedName name="_xlchart.v1.11" hidden="1">Correlation!$C$2:$C$1043</definedName>
    <definedName name="_xlchart.v1.12" hidden="1">Correlation!$D$1</definedName>
    <definedName name="_xlchart.v1.13" hidden="1">Correlation!$D$2:$D$1043</definedName>
    <definedName name="_xlchart.v1.14" hidden="1">Correlation!$E$1</definedName>
    <definedName name="_xlchart.v1.15" hidden="1">Correlation!$E$2:$E$1043</definedName>
    <definedName name="_xlchart.v1.16" hidden="1">Correlation!$F$1</definedName>
    <definedName name="_xlchart.v1.17" hidden="1">Correlation!$F$2:$F$1043</definedName>
    <definedName name="_xlchart.v1.18" hidden="1">Correlation!$G$1</definedName>
    <definedName name="_xlchart.v1.19" hidden="1">Correlation!$G$2:$G$1043</definedName>
    <definedName name="_xlchart.v1.2" hidden="1">'Nieghbourhood Vs Price Boxplot'!$B$2:$B$1043</definedName>
    <definedName name="_xlchart.v1.20" hidden="1">Correlation!$H$1</definedName>
    <definedName name="_xlchart.v1.21" hidden="1">Correlation!$H$2:$H$1043</definedName>
    <definedName name="_xlchart.v1.22" hidden="1">Correlation!$I$1</definedName>
    <definedName name="_xlchart.v1.23" hidden="1">Correlation!$I$2:$I$1043</definedName>
    <definedName name="_xlchart.v1.24" hidden="1">Correlation!$J$1</definedName>
    <definedName name="_xlchart.v1.25" hidden="1">Correlation!$J$2:$J$1043</definedName>
    <definedName name="_xlchart.v1.3" hidden="1">'Room Type Vs Price'!$A$2:$A$1043</definedName>
    <definedName name="_xlchart.v1.4" hidden="1">'Room Type Vs Price'!$B$1</definedName>
    <definedName name="_xlchart.v1.5" hidden="1">'Room Type Vs Price'!$B$2:$B$1043</definedName>
    <definedName name="_xlchart.v1.6" hidden="1">Correlation!$A$1</definedName>
    <definedName name="_xlchart.v1.7" hidden="1">Correlation!$A$2:$A$1043</definedName>
    <definedName name="_xlchart.v1.8" hidden="1">Correlation!$B$1</definedName>
    <definedName name="_xlchart.v1.9" hidden="1">Correlation!$B$2:$B$1043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43" i="10" l="1"/>
  <c r="O1043" i="10"/>
  <c r="S1043" i="10" s="1"/>
  <c r="P1042" i="10"/>
  <c r="O1042" i="10"/>
  <c r="S1042" i="10" s="1"/>
  <c r="P1041" i="10"/>
  <c r="O1041" i="10"/>
  <c r="P1040" i="10"/>
  <c r="O1040" i="10"/>
  <c r="S1040" i="10" s="1"/>
  <c r="P1039" i="10"/>
  <c r="O1039" i="10"/>
  <c r="S1039" i="10" s="1"/>
  <c r="P1038" i="10"/>
  <c r="O1038" i="10"/>
  <c r="S1038" i="10" s="1"/>
  <c r="P1037" i="10"/>
  <c r="O1037" i="10"/>
  <c r="P1036" i="10"/>
  <c r="O1036" i="10"/>
  <c r="P1035" i="10"/>
  <c r="O1035" i="10"/>
  <c r="S1035" i="10" s="1"/>
  <c r="P1034" i="10"/>
  <c r="O1034" i="10"/>
  <c r="S1034" i="10" s="1"/>
  <c r="P1033" i="10"/>
  <c r="O1033" i="10"/>
  <c r="P1032" i="10"/>
  <c r="O1032" i="10"/>
  <c r="P1031" i="10"/>
  <c r="O1031" i="10"/>
  <c r="P1030" i="10"/>
  <c r="O1030" i="10"/>
  <c r="S1030" i="10" s="1"/>
  <c r="P1029" i="10"/>
  <c r="S1029" i="10" s="1"/>
  <c r="O1029" i="10"/>
  <c r="P1028" i="10"/>
  <c r="O1028" i="10"/>
  <c r="S1028" i="10" s="1"/>
  <c r="P1027" i="10"/>
  <c r="O1027" i="10"/>
  <c r="S1027" i="10" s="1"/>
  <c r="P1026" i="10"/>
  <c r="O1026" i="10"/>
  <c r="S1026" i="10" s="1"/>
  <c r="P1025" i="10"/>
  <c r="S1025" i="10" s="1"/>
  <c r="O1025" i="10"/>
  <c r="P1024" i="10"/>
  <c r="O1024" i="10"/>
  <c r="P1023" i="10"/>
  <c r="O1023" i="10"/>
  <c r="S1023" i="10" s="1"/>
  <c r="P1022" i="10"/>
  <c r="O1022" i="10"/>
  <c r="P1021" i="10"/>
  <c r="O1021" i="10"/>
  <c r="P1020" i="10"/>
  <c r="O1020" i="10"/>
  <c r="S1020" i="10" s="1"/>
  <c r="P1019" i="10"/>
  <c r="O1019" i="10"/>
  <c r="S1019" i="10" s="1"/>
  <c r="P1018" i="10"/>
  <c r="O1018" i="10"/>
  <c r="P1017" i="10"/>
  <c r="O1017" i="10"/>
  <c r="P1016" i="10"/>
  <c r="O1016" i="10"/>
  <c r="P1015" i="10"/>
  <c r="O1015" i="10"/>
  <c r="P1014" i="10"/>
  <c r="O1014" i="10"/>
  <c r="S1014" i="10" s="1"/>
  <c r="P1013" i="10"/>
  <c r="O1013" i="10"/>
  <c r="P1012" i="10"/>
  <c r="O1012" i="10"/>
  <c r="P1011" i="10"/>
  <c r="O1011" i="10"/>
  <c r="S1011" i="10" s="1"/>
  <c r="P1010" i="10"/>
  <c r="O1010" i="10"/>
  <c r="S1010" i="10" s="1"/>
  <c r="P1009" i="10"/>
  <c r="O1009" i="10"/>
  <c r="P1008" i="10"/>
  <c r="O1008" i="10"/>
  <c r="P1007" i="10"/>
  <c r="O1007" i="10"/>
  <c r="P1006" i="10"/>
  <c r="O1006" i="10"/>
  <c r="S1006" i="10" s="1"/>
  <c r="P1005" i="10"/>
  <c r="S1005" i="10" s="1"/>
  <c r="O1005" i="10"/>
  <c r="P1004" i="10"/>
  <c r="O1004" i="10"/>
  <c r="S1004" i="10" s="1"/>
  <c r="P1003" i="10"/>
  <c r="O1003" i="10"/>
  <c r="S1003" i="10" s="1"/>
  <c r="P1002" i="10"/>
  <c r="O1002" i="10"/>
  <c r="S1002" i="10" s="1"/>
  <c r="P1001" i="10"/>
  <c r="S1001" i="10" s="1"/>
  <c r="O1001" i="10"/>
  <c r="P1000" i="10"/>
  <c r="O1000" i="10"/>
  <c r="P999" i="10"/>
  <c r="O999" i="10"/>
  <c r="S999" i="10" s="1"/>
  <c r="P998" i="10"/>
  <c r="O998" i="10"/>
  <c r="P997" i="10"/>
  <c r="O997" i="10"/>
  <c r="P996" i="10"/>
  <c r="O996" i="10"/>
  <c r="P995" i="10"/>
  <c r="O995" i="10"/>
  <c r="S995" i="10" s="1"/>
  <c r="P994" i="10"/>
  <c r="O994" i="10"/>
  <c r="P993" i="10"/>
  <c r="O993" i="10"/>
  <c r="P992" i="10"/>
  <c r="O992" i="10"/>
  <c r="P991" i="10"/>
  <c r="O991" i="10"/>
  <c r="S991" i="10" s="1"/>
  <c r="P990" i="10"/>
  <c r="O990" i="10"/>
  <c r="S990" i="10" s="1"/>
  <c r="P989" i="10"/>
  <c r="O989" i="10"/>
  <c r="P988" i="10"/>
  <c r="O988" i="10"/>
  <c r="S988" i="10" s="1"/>
  <c r="P987" i="10"/>
  <c r="O987" i="10"/>
  <c r="P986" i="10"/>
  <c r="O986" i="10"/>
  <c r="S986" i="10" s="1"/>
  <c r="P985" i="10"/>
  <c r="O985" i="10"/>
  <c r="P984" i="10"/>
  <c r="O984" i="10"/>
  <c r="P983" i="10"/>
  <c r="O983" i="10"/>
  <c r="P982" i="10"/>
  <c r="O982" i="10"/>
  <c r="S982" i="10" s="1"/>
  <c r="S981" i="10"/>
  <c r="P981" i="10"/>
  <c r="O981" i="10"/>
  <c r="P980" i="10"/>
  <c r="O980" i="10"/>
  <c r="P979" i="10"/>
  <c r="O979" i="10"/>
  <c r="P978" i="10"/>
  <c r="O978" i="10"/>
  <c r="S978" i="10" s="1"/>
  <c r="P977" i="10"/>
  <c r="O977" i="10"/>
  <c r="P976" i="10"/>
  <c r="S976" i="10" s="1"/>
  <c r="O976" i="10"/>
  <c r="P975" i="10"/>
  <c r="O975" i="10"/>
  <c r="P974" i="10"/>
  <c r="O974" i="10"/>
  <c r="P973" i="10"/>
  <c r="O973" i="10"/>
  <c r="S973" i="10" s="1"/>
  <c r="P972" i="10"/>
  <c r="O972" i="10"/>
  <c r="S972" i="10" s="1"/>
  <c r="P971" i="10"/>
  <c r="O971" i="10"/>
  <c r="P970" i="10"/>
  <c r="O970" i="10"/>
  <c r="P969" i="10"/>
  <c r="O969" i="10"/>
  <c r="P968" i="10"/>
  <c r="O968" i="10"/>
  <c r="P967" i="10"/>
  <c r="O967" i="10"/>
  <c r="S966" i="10"/>
  <c r="P966" i="10"/>
  <c r="O966" i="10"/>
  <c r="P965" i="10"/>
  <c r="O965" i="10"/>
  <c r="P964" i="10"/>
  <c r="O964" i="10"/>
  <c r="S964" i="10" s="1"/>
  <c r="P963" i="10"/>
  <c r="O963" i="10"/>
  <c r="P962" i="10"/>
  <c r="O962" i="10"/>
  <c r="S962" i="10" s="1"/>
  <c r="P961" i="10"/>
  <c r="O961" i="10"/>
  <c r="P960" i="10"/>
  <c r="O960" i="10"/>
  <c r="P959" i="10"/>
  <c r="O959" i="10"/>
  <c r="P958" i="10"/>
  <c r="O958" i="10"/>
  <c r="S958" i="10" s="1"/>
  <c r="P957" i="10"/>
  <c r="O957" i="10"/>
  <c r="S957" i="10" s="1"/>
  <c r="P956" i="10"/>
  <c r="O956" i="10"/>
  <c r="S956" i="10" s="1"/>
  <c r="P955" i="10"/>
  <c r="O955" i="10"/>
  <c r="S955" i="10" s="1"/>
  <c r="P954" i="10"/>
  <c r="O954" i="10"/>
  <c r="P953" i="10"/>
  <c r="O953" i="10"/>
  <c r="P952" i="10"/>
  <c r="O952" i="10"/>
  <c r="P951" i="10"/>
  <c r="O951" i="10"/>
  <c r="P950" i="10"/>
  <c r="S950" i="10" s="1"/>
  <c r="O950" i="10"/>
  <c r="P949" i="10"/>
  <c r="O949" i="10"/>
  <c r="S949" i="10" s="1"/>
  <c r="P948" i="10"/>
  <c r="O948" i="10"/>
  <c r="P947" i="10"/>
  <c r="O947" i="10"/>
  <c r="P946" i="10"/>
  <c r="O946" i="10"/>
  <c r="P945" i="10"/>
  <c r="O945" i="10"/>
  <c r="P944" i="10"/>
  <c r="O944" i="10"/>
  <c r="P943" i="10"/>
  <c r="O943" i="10"/>
  <c r="S942" i="10"/>
  <c r="P942" i="10"/>
  <c r="O942" i="10"/>
  <c r="P941" i="10"/>
  <c r="O941" i="10"/>
  <c r="S941" i="10" s="1"/>
  <c r="P940" i="10"/>
  <c r="O940" i="10"/>
  <c r="S940" i="10" s="1"/>
  <c r="P939" i="10"/>
  <c r="O939" i="10"/>
  <c r="P938" i="10"/>
  <c r="O938" i="10"/>
  <c r="S938" i="10" s="1"/>
  <c r="P937" i="10"/>
  <c r="O937" i="10"/>
  <c r="P936" i="10"/>
  <c r="O936" i="10"/>
  <c r="P935" i="10"/>
  <c r="O935" i="10"/>
  <c r="P934" i="10"/>
  <c r="O934" i="10"/>
  <c r="S934" i="10" s="1"/>
  <c r="S933" i="10"/>
  <c r="P933" i="10"/>
  <c r="O933" i="10"/>
  <c r="P932" i="10"/>
  <c r="O932" i="10"/>
  <c r="P931" i="10"/>
  <c r="O931" i="10"/>
  <c r="S931" i="10" s="1"/>
  <c r="P930" i="10"/>
  <c r="O930" i="10"/>
  <c r="S930" i="10" s="1"/>
  <c r="P929" i="10"/>
  <c r="O929" i="10"/>
  <c r="P928" i="10"/>
  <c r="O928" i="10"/>
  <c r="P927" i="10"/>
  <c r="O927" i="10"/>
  <c r="S927" i="10" s="1"/>
  <c r="P926" i="10"/>
  <c r="O926" i="10"/>
  <c r="P925" i="10"/>
  <c r="O925" i="10"/>
  <c r="S925" i="10" s="1"/>
  <c r="P924" i="10"/>
  <c r="O924" i="10"/>
  <c r="P923" i="10"/>
  <c r="O923" i="10"/>
  <c r="S923" i="10" s="1"/>
  <c r="P922" i="10"/>
  <c r="O922" i="10"/>
  <c r="P921" i="10"/>
  <c r="O921" i="10"/>
  <c r="P920" i="10"/>
  <c r="O920" i="10"/>
  <c r="P919" i="10"/>
  <c r="O919" i="10"/>
  <c r="P918" i="10"/>
  <c r="S918" i="10" s="1"/>
  <c r="O918" i="10"/>
  <c r="P917" i="10"/>
  <c r="O917" i="10"/>
  <c r="S917" i="10" s="1"/>
  <c r="P916" i="10"/>
  <c r="O916" i="10"/>
  <c r="P915" i="10"/>
  <c r="O915" i="10"/>
  <c r="P914" i="10"/>
  <c r="O914" i="10"/>
  <c r="P913" i="10"/>
  <c r="O913" i="10"/>
  <c r="P912" i="10"/>
  <c r="O912" i="10"/>
  <c r="P911" i="10"/>
  <c r="O911" i="10"/>
  <c r="P910" i="10"/>
  <c r="O910" i="10"/>
  <c r="P909" i="10"/>
  <c r="O909" i="10"/>
  <c r="S909" i="10" s="1"/>
  <c r="S908" i="10"/>
  <c r="P908" i="10"/>
  <c r="O908" i="10"/>
  <c r="P907" i="10"/>
  <c r="O907" i="10"/>
  <c r="S907" i="10" s="1"/>
  <c r="P906" i="10"/>
  <c r="O906" i="10"/>
  <c r="S906" i="10" s="1"/>
  <c r="P905" i="10"/>
  <c r="O905" i="10"/>
  <c r="P904" i="10"/>
  <c r="S904" i="10" s="1"/>
  <c r="O904" i="10"/>
  <c r="P903" i="10"/>
  <c r="O903" i="10"/>
  <c r="P902" i="10"/>
  <c r="O902" i="10"/>
  <c r="S902" i="10" s="1"/>
  <c r="S901" i="10"/>
  <c r="P901" i="10"/>
  <c r="O901" i="10"/>
  <c r="P900" i="10"/>
  <c r="O900" i="10"/>
  <c r="P899" i="10"/>
  <c r="O899" i="10"/>
  <c r="P898" i="10"/>
  <c r="O898" i="10"/>
  <c r="P897" i="10"/>
  <c r="O897" i="10"/>
  <c r="P896" i="10"/>
  <c r="O896" i="10"/>
  <c r="P895" i="10"/>
  <c r="O895" i="10"/>
  <c r="P894" i="10"/>
  <c r="S894" i="10" s="1"/>
  <c r="O894" i="10"/>
  <c r="P893" i="10"/>
  <c r="O893" i="10"/>
  <c r="P892" i="10"/>
  <c r="O892" i="10"/>
  <c r="P891" i="10"/>
  <c r="O891" i="10"/>
  <c r="P890" i="10"/>
  <c r="O890" i="10"/>
  <c r="P889" i="10"/>
  <c r="O889" i="10"/>
  <c r="P888" i="10"/>
  <c r="O888" i="10"/>
  <c r="P887" i="10"/>
  <c r="O887" i="10"/>
  <c r="P886" i="10"/>
  <c r="O886" i="10"/>
  <c r="P885" i="10"/>
  <c r="S885" i="10" s="1"/>
  <c r="O885" i="10"/>
  <c r="P884" i="10"/>
  <c r="S884" i="10" s="1"/>
  <c r="O884" i="10"/>
  <c r="P883" i="10"/>
  <c r="O883" i="10"/>
  <c r="S883" i="10" s="1"/>
  <c r="P882" i="10"/>
  <c r="O882" i="10"/>
  <c r="S882" i="10" s="1"/>
  <c r="P881" i="10"/>
  <c r="O881" i="10"/>
  <c r="P880" i="10"/>
  <c r="S880" i="10" s="1"/>
  <c r="O880" i="10"/>
  <c r="P879" i="10"/>
  <c r="O879" i="10"/>
  <c r="P878" i="10"/>
  <c r="O878" i="10"/>
  <c r="P877" i="10"/>
  <c r="O877" i="10"/>
  <c r="S877" i="10" s="1"/>
  <c r="P876" i="10"/>
  <c r="O876" i="10"/>
  <c r="S876" i="10" s="1"/>
  <c r="P875" i="10"/>
  <c r="O875" i="10"/>
  <c r="P874" i="10"/>
  <c r="O874" i="10"/>
  <c r="P873" i="10"/>
  <c r="O873" i="10"/>
  <c r="P872" i="10"/>
  <c r="O872" i="10"/>
  <c r="P871" i="10"/>
  <c r="O871" i="10"/>
  <c r="P870" i="10"/>
  <c r="O870" i="10"/>
  <c r="S870" i="10" s="1"/>
  <c r="P869" i="10"/>
  <c r="O869" i="10"/>
  <c r="P868" i="10"/>
  <c r="O868" i="10"/>
  <c r="S868" i="10" s="1"/>
  <c r="P867" i="10"/>
  <c r="O867" i="10"/>
  <c r="P866" i="10"/>
  <c r="O866" i="10"/>
  <c r="S866" i="10" s="1"/>
  <c r="P865" i="10"/>
  <c r="O865" i="10"/>
  <c r="P864" i="10"/>
  <c r="O864" i="10"/>
  <c r="P863" i="10"/>
  <c r="O863" i="10"/>
  <c r="P862" i="10"/>
  <c r="O862" i="10"/>
  <c r="S862" i="10" s="1"/>
  <c r="P861" i="10"/>
  <c r="O861" i="10"/>
  <c r="P860" i="10"/>
  <c r="O860" i="10"/>
  <c r="P859" i="10"/>
  <c r="O859" i="10"/>
  <c r="S859" i="10" s="1"/>
  <c r="P858" i="10"/>
  <c r="O858" i="10"/>
  <c r="S858" i="10" s="1"/>
  <c r="P857" i="10"/>
  <c r="O857" i="10"/>
  <c r="P856" i="10"/>
  <c r="O856" i="10"/>
  <c r="P855" i="10"/>
  <c r="O855" i="10"/>
  <c r="P854" i="10"/>
  <c r="O854" i="10"/>
  <c r="S854" i="10" s="1"/>
  <c r="S853" i="10"/>
  <c r="P853" i="10"/>
  <c r="O853" i="10"/>
  <c r="P852" i="10"/>
  <c r="O852" i="10"/>
  <c r="P851" i="10"/>
  <c r="O851" i="10"/>
  <c r="P850" i="10"/>
  <c r="O850" i="10"/>
  <c r="S850" i="10" s="1"/>
  <c r="P849" i="10"/>
  <c r="O849" i="10"/>
  <c r="P848" i="10"/>
  <c r="O848" i="10"/>
  <c r="P847" i="10"/>
  <c r="O847" i="10"/>
  <c r="P846" i="10"/>
  <c r="O846" i="10"/>
  <c r="P845" i="10"/>
  <c r="O845" i="10"/>
  <c r="P844" i="10"/>
  <c r="O844" i="10"/>
  <c r="P843" i="10"/>
  <c r="O843" i="10"/>
  <c r="P842" i="10"/>
  <c r="O842" i="10"/>
  <c r="S842" i="10" s="1"/>
  <c r="P841" i="10"/>
  <c r="O841" i="10"/>
  <c r="P840" i="10"/>
  <c r="O840" i="10"/>
  <c r="P839" i="10"/>
  <c r="O839" i="10"/>
  <c r="P838" i="10"/>
  <c r="O838" i="10"/>
  <c r="S838" i="10" s="1"/>
  <c r="P837" i="10"/>
  <c r="O837" i="10"/>
  <c r="S837" i="10" s="1"/>
  <c r="S836" i="10"/>
  <c r="P836" i="10"/>
  <c r="O836" i="10"/>
  <c r="P835" i="10"/>
  <c r="O835" i="10"/>
  <c r="S835" i="10" s="1"/>
  <c r="P834" i="10"/>
  <c r="O834" i="10"/>
  <c r="P833" i="10"/>
  <c r="O833" i="10"/>
  <c r="P832" i="10"/>
  <c r="O832" i="10"/>
  <c r="P831" i="10"/>
  <c r="O831" i="10"/>
  <c r="S831" i="10" s="1"/>
  <c r="P830" i="10"/>
  <c r="O830" i="10"/>
  <c r="P829" i="10"/>
  <c r="S829" i="10" s="1"/>
  <c r="O829" i="10"/>
  <c r="P828" i="10"/>
  <c r="O828" i="10"/>
  <c r="P827" i="10"/>
  <c r="O827" i="10"/>
  <c r="S827" i="10" s="1"/>
  <c r="P826" i="10"/>
  <c r="O826" i="10"/>
  <c r="P825" i="10"/>
  <c r="S825" i="10" s="1"/>
  <c r="O825" i="10"/>
  <c r="P824" i="10"/>
  <c r="O824" i="10"/>
  <c r="P823" i="10"/>
  <c r="O823" i="10"/>
  <c r="P822" i="10"/>
  <c r="O822" i="10"/>
  <c r="S822" i="10" s="1"/>
  <c r="P821" i="10"/>
  <c r="O821" i="10"/>
  <c r="S821" i="10" s="1"/>
  <c r="P820" i="10"/>
  <c r="O820" i="10"/>
  <c r="S820" i="10" s="1"/>
  <c r="P819" i="10"/>
  <c r="O819" i="10"/>
  <c r="P818" i="10"/>
  <c r="O818" i="10"/>
  <c r="P817" i="10"/>
  <c r="O817" i="10"/>
  <c r="P816" i="10"/>
  <c r="O816" i="10"/>
  <c r="P815" i="10"/>
  <c r="O815" i="10"/>
  <c r="P814" i="10"/>
  <c r="O814" i="10"/>
  <c r="P813" i="10"/>
  <c r="S813" i="10" s="1"/>
  <c r="O813" i="10"/>
  <c r="P812" i="10"/>
  <c r="S812" i="10" s="1"/>
  <c r="O812" i="10"/>
  <c r="P811" i="10"/>
  <c r="O811" i="10"/>
  <c r="S811" i="10" s="1"/>
  <c r="P810" i="10"/>
  <c r="O810" i="10"/>
  <c r="S810" i="10" s="1"/>
  <c r="P809" i="10"/>
  <c r="O809" i="10"/>
  <c r="P808" i="10"/>
  <c r="S808" i="10" s="1"/>
  <c r="O808" i="10"/>
  <c r="P807" i="10"/>
  <c r="O807" i="10"/>
  <c r="S807" i="10" s="1"/>
  <c r="P806" i="10"/>
  <c r="O806" i="10"/>
  <c r="P805" i="10"/>
  <c r="O805" i="10"/>
  <c r="S805" i="10" s="1"/>
  <c r="P804" i="10"/>
  <c r="O804" i="10"/>
  <c r="S804" i="10" s="1"/>
  <c r="P803" i="10"/>
  <c r="O803" i="10"/>
  <c r="P802" i="10"/>
  <c r="O802" i="10"/>
  <c r="P801" i="10"/>
  <c r="O801" i="10"/>
  <c r="P800" i="10"/>
  <c r="O800" i="10"/>
  <c r="P799" i="10"/>
  <c r="O799" i="10"/>
  <c r="P798" i="10"/>
  <c r="S798" i="10" s="1"/>
  <c r="O798" i="10"/>
  <c r="P797" i="10"/>
  <c r="O797" i="10"/>
  <c r="P796" i="10"/>
  <c r="O796" i="10"/>
  <c r="S796" i="10" s="1"/>
  <c r="P795" i="10"/>
  <c r="O795" i="10"/>
  <c r="P794" i="10"/>
  <c r="O794" i="10"/>
  <c r="P793" i="10"/>
  <c r="O793" i="10"/>
  <c r="P792" i="10"/>
  <c r="O792" i="10"/>
  <c r="P791" i="10"/>
  <c r="O791" i="10"/>
  <c r="P790" i="10"/>
  <c r="O790" i="10"/>
  <c r="P789" i="10"/>
  <c r="O789" i="10"/>
  <c r="S789" i="10" s="1"/>
  <c r="P788" i="10"/>
  <c r="O788" i="10"/>
  <c r="S788" i="10" s="1"/>
  <c r="P787" i="10"/>
  <c r="O787" i="10"/>
  <c r="P786" i="10"/>
  <c r="O786" i="10"/>
  <c r="P785" i="10"/>
  <c r="O785" i="10"/>
  <c r="P784" i="10"/>
  <c r="O784" i="10"/>
  <c r="P783" i="10"/>
  <c r="O783" i="10"/>
  <c r="S782" i="10"/>
  <c r="P782" i="10"/>
  <c r="O782" i="10"/>
  <c r="P781" i="10"/>
  <c r="O781" i="10"/>
  <c r="P780" i="10"/>
  <c r="O780" i="10"/>
  <c r="S780" i="10" s="1"/>
  <c r="P779" i="10"/>
  <c r="O779" i="10"/>
  <c r="P778" i="10"/>
  <c r="O778" i="10"/>
  <c r="S778" i="10" s="1"/>
  <c r="P777" i="10"/>
  <c r="S777" i="10" s="1"/>
  <c r="O777" i="10"/>
  <c r="P776" i="10"/>
  <c r="O776" i="10"/>
  <c r="P775" i="10"/>
  <c r="O775" i="10"/>
  <c r="P774" i="10"/>
  <c r="O774" i="10"/>
  <c r="S774" i="10" s="1"/>
  <c r="P773" i="10"/>
  <c r="O773" i="10"/>
  <c r="P772" i="10"/>
  <c r="O772" i="10"/>
  <c r="S772" i="10" s="1"/>
  <c r="P771" i="10"/>
  <c r="O771" i="10"/>
  <c r="P770" i="10"/>
  <c r="O770" i="10"/>
  <c r="P769" i="10"/>
  <c r="O769" i="10"/>
  <c r="P768" i="10"/>
  <c r="O768" i="10"/>
  <c r="P767" i="10"/>
  <c r="O767" i="10"/>
  <c r="P766" i="10"/>
  <c r="O766" i="10"/>
  <c r="S766" i="10" s="1"/>
  <c r="P765" i="10"/>
  <c r="O765" i="10"/>
  <c r="P764" i="10"/>
  <c r="O764" i="10"/>
  <c r="S764" i="10" s="1"/>
  <c r="P763" i="10"/>
  <c r="O763" i="10"/>
  <c r="P762" i="10"/>
  <c r="O762" i="10"/>
  <c r="P761" i="10"/>
  <c r="O761" i="10"/>
  <c r="P760" i="10"/>
  <c r="O760" i="10"/>
  <c r="P759" i="10"/>
  <c r="O759" i="10"/>
  <c r="P758" i="10"/>
  <c r="O758" i="10"/>
  <c r="S758" i="10" s="1"/>
  <c r="P757" i="10"/>
  <c r="O757" i="10"/>
  <c r="S757" i="10" s="1"/>
  <c r="P756" i="10"/>
  <c r="O756" i="10"/>
  <c r="P755" i="10"/>
  <c r="O755" i="10"/>
  <c r="P754" i="10"/>
  <c r="O754" i="10"/>
  <c r="S754" i="10" s="1"/>
  <c r="P753" i="10"/>
  <c r="O753" i="10"/>
  <c r="P752" i="10"/>
  <c r="O752" i="10"/>
  <c r="P751" i="10"/>
  <c r="O751" i="10"/>
  <c r="P750" i="10"/>
  <c r="O750" i="10"/>
  <c r="S750" i="10" s="1"/>
  <c r="P749" i="10"/>
  <c r="O749" i="10"/>
  <c r="S749" i="10" s="1"/>
  <c r="S748" i="10"/>
  <c r="P748" i="10"/>
  <c r="O748" i="10"/>
  <c r="P747" i="10"/>
  <c r="O747" i="10"/>
  <c r="S747" i="10" s="1"/>
  <c r="P746" i="10"/>
  <c r="O746" i="10"/>
  <c r="P745" i="10"/>
  <c r="O745" i="10"/>
  <c r="P744" i="10"/>
  <c r="O744" i="10"/>
  <c r="P743" i="10"/>
  <c r="O743" i="10"/>
  <c r="S743" i="10" s="1"/>
  <c r="P742" i="10"/>
  <c r="O742" i="10"/>
  <c r="P741" i="10"/>
  <c r="S741" i="10" s="1"/>
  <c r="O741" i="10"/>
  <c r="P740" i="10"/>
  <c r="O740" i="10"/>
  <c r="P739" i="10"/>
  <c r="O739" i="10"/>
  <c r="P738" i="10"/>
  <c r="O738" i="10"/>
  <c r="S738" i="10" s="1"/>
  <c r="P737" i="10"/>
  <c r="S737" i="10" s="1"/>
  <c r="O737" i="10"/>
  <c r="P736" i="10"/>
  <c r="O736" i="10"/>
  <c r="P735" i="10"/>
  <c r="O735" i="10"/>
  <c r="P734" i="10"/>
  <c r="O734" i="10"/>
  <c r="S733" i="10"/>
  <c r="P733" i="10"/>
  <c r="O733" i="10"/>
  <c r="P732" i="10"/>
  <c r="O732" i="10"/>
  <c r="P731" i="10"/>
  <c r="O731" i="10"/>
  <c r="P730" i="10"/>
  <c r="O730" i="10"/>
  <c r="P729" i="10"/>
  <c r="O729" i="10"/>
  <c r="P728" i="10"/>
  <c r="O728" i="10"/>
  <c r="P727" i="10"/>
  <c r="O727" i="10"/>
  <c r="P726" i="10"/>
  <c r="S726" i="10" s="1"/>
  <c r="O726" i="10"/>
  <c r="P725" i="10"/>
  <c r="O725" i="10"/>
  <c r="S725" i="10" s="1"/>
  <c r="P724" i="10"/>
  <c r="O724" i="10"/>
  <c r="P723" i="10"/>
  <c r="O723" i="10"/>
  <c r="P722" i="10"/>
  <c r="O722" i="10"/>
  <c r="S722" i="10" s="1"/>
  <c r="P721" i="10"/>
  <c r="O721" i="10"/>
  <c r="P720" i="10"/>
  <c r="O720" i="10"/>
  <c r="P719" i="10"/>
  <c r="O719" i="10"/>
  <c r="P718" i="10"/>
  <c r="O718" i="10"/>
  <c r="P717" i="10"/>
  <c r="O717" i="10"/>
  <c r="S717" i="10" s="1"/>
  <c r="P716" i="10"/>
  <c r="S716" i="10" s="1"/>
  <c r="O716" i="10"/>
  <c r="P715" i="10"/>
  <c r="O715" i="10"/>
  <c r="P714" i="10"/>
  <c r="O714" i="10"/>
  <c r="S714" i="10" s="1"/>
  <c r="P713" i="10"/>
  <c r="O713" i="10"/>
  <c r="P712" i="10"/>
  <c r="S712" i="10" s="1"/>
  <c r="O712" i="10"/>
  <c r="P711" i="10"/>
  <c r="O711" i="10"/>
  <c r="P710" i="10"/>
  <c r="O710" i="10"/>
  <c r="S710" i="10" s="1"/>
  <c r="P709" i="10"/>
  <c r="O709" i="10"/>
  <c r="S709" i="10" s="1"/>
  <c r="S708" i="10"/>
  <c r="P708" i="10"/>
  <c r="O708" i="10"/>
  <c r="P707" i="10"/>
  <c r="O707" i="10"/>
  <c r="P706" i="10"/>
  <c r="O706" i="10"/>
  <c r="P705" i="10"/>
  <c r="O705" i="10"/>
  <c r="P704" i="10"/>
  <c r="O704" i="10"/>
  <c r="P703" i="10"/>
  <c r="O703" i="10"/>
  <c r="P702" i="10"/>
  <c r="O702" i="10"/>
  <c r="P701" i="10"/>
  <c r="S701" i="10" s="1"/>
  <c r="O701" i="10"/>
  <c r="P700" i="10"/>
  <c r="O700" i="10"/>
  <c r="S700" i="10" s="1"/>
  <c r="P699" i="10"/>
  <c r="O699" i="10"/>
  <c r="S699" i="10" s="1"/>
  <c r="P698" i="10"/>
  <c r="O698" i="10"/>
  <c r="P697" i="10"/>
  <c r="S697" i="10" s="1"/>
  <c r="O697" i="10"/>
  <c r="P696" i="10"/>
  <c r="O696" i="10"/>
  <c r="P695" i="10"/>
  <c r="O695" i="10"/>
  <c r="P694" i="10"/>
  <c r="O694" i="10"/>
  <c r="S694" i="10" s="1"/>
  <c r="P693" i="10"/>
  <c r="O693" i="10"/>
  <c r="S693" i="10" s="1"/>
  <c r="P692" i="10"/>
  <c r="O692" i="10"/>
  <c r="P691" i="10"/>
  <c r="O691" i="10"/>
  <c r="P690" i="10"/>
  <c r="O690" i="10"/>
  <c r="S690" i="10" s="1"/>
  <c r="P689" i="10"/>
  <c r="O689" i="10"/>
  <c r="P688" i="10"/>
  <c r="O688" i="10"/>
  <c r="P687" i="10"/>
  <c r="O687" i="10"/>
  <c r="P686" i="10"/>
  <c r="O686" i="10"/>
  <c r="S686" i="10" s="1"/>
  <c r="P685" i="10"/>
  <c r="O685" i="10"/>
  <c r="S685" i="10" s="1"/>
  <c r="S684" i="10"/>
  <c r="P684" i="10"/>
  <c r="O684" i="10"/>
  <c r="P683" i="10"/>
  <c r="O683" i="10"/>
  <c r="S683" i="10" s="1"/>
  <c r="P682" i="10"/>
  <c r="O682" i="10"/>
  <c r="P681" i="10"/>
  <c r="O681" i="10"/>
  <c r="P680" i="10"/>
  <c r="S680" i="10" s="1"/>
  <c r="O680" i="10"/>
  <c r="P679" i="10"/>
  <c r="O679" i="10"/>
  <c r="S679" i="10" s="1"/>
  <c r="P678" i="10"/>
  <c r="O678" i="10"/>
  <c r="P677" i="10"/>
  <c r="S677" i="10" s="1"/>
  <c r="O677" i="10"/>
  <c r="P676" i="10"/>
  <c r="O676" i="10"/>
  <c r="S676" i="10" s="1"/>
  <c r="P675" i="10"/>
  <c r="O675" i="10"/>
  <c r="S675" i="10" s="1"/>
  <c r="P674" i="10"/>
  <c r="O674" i="10"/>
  <c r="S674" i="10" s="1"/>
  <c r="P673" i="10"/>
  <c r="S673" i="10" s="1"/>
  <c r="O673" i="10"/>
  <c r="P672" i="10"/>
  <c r="O672" i="10"/>
  <c r="P671" i="10"/>
  <c r="O671" i="10"/>
  <c r="S671" i="10" s="1"/>
  <c r="P670" i="10"/>
  <c r="O670" i="10"/>
  <c r="P669" i="10"/>
  <c r="O669" i="10"/>
  <c r="P668" i="10"/>
  <c r="O668" i="10"/>
  <c r="S668" i="10" s="1"/>
  <c r="P667" i="10"/>
  <c r="O667" i="10"/>
  <c r="S667" i="10" s="1"/>
  <c r="P666" i="10"/>
  <c r="O666" i="10"/>
  <c r="P665" i="10"/>
  <c r="S665" i="10" s="1"/>
  <c r="O665" i="10"/>
  <c r="P664" i="10"/>
  <c r="O664" i="10"/>
  <c r="P663" i="10"/>
  <c r="O663" i="10"/>
  <c r="P662" i="10"/>
  <c r="O662" i="10"/>
  <c r="S662" i="10" s="1"/>
  <c r="S661" i="10"/>
  <c r="P661" i="10"/>
  <c r="O661" i="10"/>
  <c r="P660" i="10"/>
  <c r="O660" i="10"/>
  <c r="S660" i="10" s="1"/>
  <c r="P659" i="10"/>
  <c r="O659" i="10"/>
  <c r="P658" i="10"/>
  <c r="O658" i="10"/>
  <c r="P657" i="10"/>
  <c r="O657" i="10"/>
  <c r="P656" i="10"/>
  <c r="O656" i="10"/>
  <c r="P655" i="10"/>
  <c r="O655" i="10"/>
  <c r="P654" i="10"/>
  <c r="S654" i="10" s="1"/>
  <c r="O654" i="10"/>
  <c r="P653" i="10"/>
  <c r="O653" i="10"/>
  <c r="S653" i="10" s="1"/>
  <c r="P652" i="10"/>
  <c r="O652" i="10"/>
  <c r="S652" i="10" s="1"/>
  <c r="P651" i="10"/>
  <c r="O651" i="10"/>
  <c r="S651" i="10" s="1"/>
  <c r="P650" i="10"/>
  <c r="O650" i="10"/>
  <c r="P649" i="10"/>
  <c r="O649" i="10"/>
  <c r="P648" i="10"/>
  <c r="O648" i="10"/>
  <c r="P647" i="10"/>
  <c r="O647" i="10"/>
  <c r="P646" i="10"/>
  <c r="O646" i="10"/>
  <c r="P645" i="10"/>
  <c r="O645" i="10"/>
  <c r="S645" i="10" s="1"/>
  <c r="P644" i="10"/>
  <c r="O644" i="10"/>
  <c r="P643" i="10"/>
  <c r="O643" i="10"/>
  <c r="S643" i="10" s="1"/>
  <c r="P642" i="10"/>
  <c r="O642" i="10"/>
  <c r="P641" i="10"/>
  <c r="O641" i="10"/>
  <c r="P640" i="10"/>
  <c r="O640" i="10"/>
  <c r="P639" i="10"/>
  <c r="O639" i="10"/>
  <c r="S639" i="10" s="1"/>
  <c r="P638" i="10"/>
  <c r="O638" i="10"/>
  <c r="P637" i="10"/>
  <c r="O637" i="10"/>
  <c r="S637" i="10" s="1"/>
  <c r="P636" i="10"/>
  <c r="O636" i="10"/>
  <c r="P635" i="10"/>
  <c r="O635" i="10"/>
  <c r="P634" i="10"/>
  <c r="O634" i="10"/>
  <c r="P633" i="10"/>
  <c r="O633" i="10"/>
  <c r="P632" i="10"/>
  <c r="S632" i="10" s="1"/>
  <c r="O632" i="10"/>
  <c r="P631" i="10"/>
  <c r="O631" i="10"/>
  <c r="S631" i="10" s="1"/>
  <c r="P630" i="10"/>
  <c r="O630" i="10"/>
  <c r="P629" i="10"/>
  <c r="O629" i="10"/>
  <c r="S629" i="10" s="1"/>
  <c r="P628" i="10"/>
  <c r="O628" i="10"/>
  <c r="S628" i="10" s="1"/>
  <c r="P627" i="10"/>
  <c r="O627" i="10"/>
  <c r="P626" i="10"/>
  <c r="O626" i="10"/>
  <c r="S626" i="10" s="1"/>
  <c r="P625" i="10"/>
  <c r="O625" i="10"/>
  <c r="P624" i="10"/>
  <c r="O624" i="10"/>
  <c r="S624" i="10" s="1"/>
  <c r="P623" i="10"/>
  <c r="O623" i="10"/>
  <c r="P622" i="10"/>
  <c r="O622" i="10"/>
  <c r="P621" i="10"/>
  <c r="O621" i="10"/>
  <c r="S621" i="10" s="1"/>
  <c r="P620" i="10"/>
  <c r="O620" i="10"/>
  <c r="S620" i="10" s="1"/>
  <c r="P619" i="10"/>
  <c r="O619" i="10"/>
  <c r="P618" i="10"/>
  <c r="O618" i="10"/>
  <c r="P617" i="10"/>
  <c r="O617" i="10"/>
  <c r="P616" i="10"/>
  <c r="O616" i="10"/>
  <c r="P615" i="10"/>
  <c r="O615" i="10"/>
  <c r="P614" i="10"/>
  <c r="O614" i="10"/>
  <c r="S614" i="10" s="1"/>
  <c r="P613" i="10"/>
  <c r="O613" i="10"/>
  <c r="P612" i="10"/>
  <c r="O612" i="10"/>
  <c r="S612" i="10" s="1"/>
  <c r="P611" i="10"/>
  <c r="O611" i="10"/>
  <c r="P610" i="10"/>
  <c r="O610" i="10"/>
  <c r="S610" i="10" s="1"/>
  <c r="P609" i="10"/>
  <c r="O609" i="10"/>
  <c r="P608" i="10"/>
  <c r="O608" i="10"/>
  <c r="P607" i="10"/>
  <c r="O607" i="10"/>
  <c r="P606" i="10"/>
  <c r="O606" i="10"/>
  <c r="P605" i="10"/>
  <c r="O605" i="10"/>
  <c r="P604" i="10"/>
  <c r="O604" i="10"/>
  <c r="S604" i="10" s="1"/>
  <c r="P603" i="10"/>
  <c r="O603" i="10"/>
  <c r="P602" i="10"/>
  <c r="O602" i="10"/>
  <c r="P601" i="10"/>
  <c r="O601" i="10"/>
  <c r="P600" i="10"/>
  <c r="O600" i="10"/>
  <c r="P599" i="10"/>
  <c r="O599" i="10"/>
  <c r="P598" i="10"/>
  <c r="O598" i="10"/>
  <c r="S598" i="10" s="1"/>
  <c r="P597" i="10"/>
  <c r="O597" i="10"/>
  <c r="S597" i="10" s="1"/>
  <c r="P596" i="10"/>
  <c r="O596" i="10"/>
  <c r="S596" i="10" s="1"/>
  <c r="P595" i="10"/>
  <c r="O595" i="10"/>
  <c r="P594" i="10"/>
  <c r="O594" i="10"/>
  <c r="P593" i="10"/>
  <c r="O593" i="10"/>
  <c r="P592" i="10"/>
  <c r="O592" i="10"/>
  <c r="S592" i="10" s="1"/>
  <c r="P591" i="10"/>
  <c r="O591" i="10"/>
  <c r="P590" i="10"/>
  <c r="O590" i="10"/>
  <c r="S590" i="10" s="1"/>
  <c r="P589" i="10"/>
  <c r="S589" i="10" s="1"/>
  <c r="O589" i="10"/>
  <c r="P588" i="10"/>
  <c r="O588" i="10"/>
  <c r="S588" i="10" s="1"/>
  <c r="P587" i="10"/>
  <c r="O587" i="10"/>
  <c r="P586" i="10"/>
  <c r="O586" i="10"/>
  <c r="P585" i="10"/>
  <c r="O585" i="10"/>
  <c r="P584" i="10"/>
  <c r="S584" i="10" s="1"/>
  <c r="O584" i="10"/>
  <c r="P583" i="10"/>
  <c r="O583" i="10"/>
  <c r="P582" i="10"/>
  <c r="O582" i="10"/>
  <c r="S582" i="10" s="1"/>
  <c r="P581" i="10"/>
  <c r="O581" i="10"/>
  <c r="P580" i="10"/>
  <c r="O580" i="10"/>
  <c r="P579" i="10"/>
  <c r="O579" i="10"/>
  <c r="P578" i="10"/>
  <c r="O578" i="10"/>
  <c r="P577" i="10"/>
  <c r="O577" i="10"/>
  <c r="P576" i="10"/>
  <c r="S576" i="10" s="1"/>
  <c r="O576" i="10"/>
  <c r="P575" i="10"/>
  <c r="O575" i="10"/>
  <c r="P574" i="10"/>
  <c r="O574" i="10"/>
  <c r="S574" i="10" s="1"/>
  <c r="P573" i="10"/>
  <c r="O573" i="10"/>
  <c r="S573" i="10" s="1"/>
  <c r="P572" i="10"/>
  <c r="O572" i="10"/>
  <c r="P571" i="10"/>
  <c r="O571" i="10"/>
  <c r="P570" i="10"/>
  <c r="S570" i="10" s="1"/>
  <c r="O570" i="10"/>
  <c r="P569" i="10"/>
  <c r="O569" i="10"/>
  <c r="P568" i="10"/>
  <c r="O568" i="10"/>
  <c r="P567" i="10"/>
  <c r="O567" i="10"/>
  <c r="S567" i="10" s="1"/>
  <c r="P566" i="10"/>
  <c r="O566" i="10"/>
  <c r="P565" i="10"/>
  <c r="S565" i="10" s="1"/>
  <c r="O565" i="10"/>
  <c r="P564" i="10"/>
  <c r="O564" i="10"/>
  <c r="P563" i="10"/>
  <c r="O563" i="10"/>
  <c r="P562" i="10"/>
  <c r="O562" i="10"/>
  <c r="S562" i="10" s="1"/>
  <c r="P561" i="10"/>
  <c r="S561" i="10" s="1"/>
  <c r="O561" i="10"/>
  <c r="P560" i="10"/>
  <c r="O560" i="10"/>
  <c r="S560" i="10" s="1"/>
  <c r="P559" i="10"/>
  <c r="O559" i="10"/>
  <c r="P558" i="10"/>
  <c r="S558" i="10" s="1"/>
  <c r="O558" i="10"/>
  <c r="P557" i="10"/>
  <c r="O557" i="10"/>
  <c r="S557" i="10" s="1"/>
  <c r="P556" i="10"/>
  <c r="O556" i="10"/>
  <c r="P555" i="10"/>
  <c r="O555" i="10"/>
  <c r="P554" i="10"/>
  <c r="O554" i="10"/>
  <c r="P553" i="10"/>
  <c r="O553" i="10"/>
  <c r="S552" i="10"/>
  <c r="P552" i="10"/>
  <c r="O552" i="10"/>
  <c r="P551" i="10"/>
  <c r="O551" i="10"/>
  <c r="P550" i="10"/>
  <c r="O550" i="10"/>
  <c r="P549" i="10"/>
  <c r="S549" i="10" s="1"/>
  <c r="O549" i="10"/>
  <c r="P548" i="10"/>
  <c r="O548" i="10"/>
  <c r="S548" i="10" s="1"/>
  <c r="P547" i="10"/>
  <c r="O547" i="10"/>
  <c r="P546" i="10"/>
  <c r="O546" i="10"/>
  <c r="P545" i="10"/>
  <c r="O545" i="10"/>
  <c r="P544" i="10"/>
  <c r="O544" i="10"/>
  <c r="S544" i="10" s="1"/>
  <c r="P543" i="10"/>
  <c r="O543" i="10"/>
  <c r="P542" i="10"/>
  <c r="O542" i="10"/>
  <c r="S542" i="10" s="1"/>
  <c r="P541" i="10"/>
  <c r="O541" i="10"/>
  <c r="P540" i="10"/>
  <c r="O540" i="10"/>
  <c r="S540" i="10" s="1"/>
  <c r="P539" i="10"/>
  <c r="O539" i="10"/>
  <c r="P538" i="10"/>
  <c r="O538" i="10"/>
  <c r="S538" i="10" s="1"/>
  <c r="P537" i="10"/>
  <c r="O537" i="10"/>
  <c r="P536" i="10"/>
  <c r="O536" i="10"/>
  <c r="P535" i="10"/>
  <c r="O535" i="10"/>
  <c r="S535" i="10" s="1"/>
  <c r="P534" i="10"/>
  <c r="O534" i="10"/>
  <c r="P533" i="10"/>
  <c r="O533" i="10"/>
  <c r="S533" i="10" s="1"/>
  <c r="P532" i="10"/>
  <c r="O532" i="10"/>
  <c r="P531" i="10"/>
  <c r="O531" i="10"/>
  <c r="P530" i="10"/>
  <c r="O530" i="10"/>
  <c r="S530" i="10" s="1"/>
  <c r="P529" i="10"/>
  <c r="O529" i="10"/>
  <c r="P528" i="10"/>
  <c r="O528" i="10"/>
  <c r="P527" i="10"/>
  <c r="O527" i="10"/>
  <c r="P526" i="10"/>
  <c r="O526" i="10"/>
  <c r="P525" i="10"/>
  <c r="O525" i="10"/>
  <c r="S525" i="10" s="1"/>
  <c r="P524" i="10"/>
  <c r="O524" i="10"/>
  <c r="P523" i="10"/>
  <c r="O523" i="10"/>
  <c r="P522" i="10"/>
  <c r="O522" i="10"/>
  <c r="S522" i="10" s="1"/>
  <c r="P521" i="10"/>
  <c r="O521" i="10"/>
  <c r="P520" i="10"/>
  <c r="S520" i="10" s="1"/>
  <c r="O520" i="10"/>
  <c r="P519" i="10"/>
  <c r="O519" i="10"/>
  <c r="P518" i="10"/>
  <c r="O518" i="10"/>
  <c r="S518" i="10" s="1"/>
  <c r="P517" i="10"/>
  <c r="O517" i="10"/>
  <c r="S517" i="10" s="1"/>
  <c r="S516" i="10"/>
  <c r="P516" i="10"/>
  <c r="O516" i="10"/>
  <c r="P515" i="10"/>
  <c r="O515" i="10"/>
  <c r="S515" i="10" s="1"/>
  <c r="P514" i="10"/>
  <c r="O514" i="10"/>
  <c r="P513" i="10"/>
  <c r="S513" i="10" s="1"/>
  <c r="O513" i="10"/>
  <c r="P512" i="10"/>
  <c r="O512" i="10"/>
  <c r="S512" i="10" s="1"/>
  <c r="P511" i="10"/>
  <c r="O511" i="10"/>
  <c r="S511" i="10" s="1"/>
  <c r="P510" i="10"/>
  <c r="O510" i="10"/>
  <c r="S510" i="10" s="1"/>
  <c r="P509" i="10"/>
  <c r="O509" i="10"/>
  <c r="P508" i="10"/>
  <c r="O508" i="10"/>
  <c r="S508" i="10" s="1"/>
  <c r="P507" i="10"/>
  <c r="O507" i="10"/>
  <c r="P506" i="10"/>
  <c r="O506" i="10"/>
  <c r="S506" i="10" s="1"/>
  <c r="P505" i="10"/>
  <c r="O505" i="10"/>
  <c r="P504" i="10"/>
  <c r="O504" i="10"/>
  <c r="S504" i="10" s="1"/>
  <c r="P503" i="10"/>
  <c r="O503" i="10"/>
  <c r="P502" i="10"/>
  <c r="O502" i="10"/>
  <c r="S502" i="10" s="1"/>
  <c r="P501" i="10"/>
  <c r="O501" i="10"/>
  <c r="P500" i="10"/>
  <c r="O500" i="10"/>
  <c r="S500" i="10" s="1"/>
  <c r="P499" i="10"/>
  <c r="O499" i="10"/>
  <c r="P498" i="10"/>
  <c r="O498" i="10"/>
  <c r="P497" i="10"/>
  <c r="O497" i="10"/>
  <c r="P496" i="10"/>
  <c r="S496" i="10" s="1"/>
  <c r="O496" i="10"/>
  <c r="P495" i="10"/>
  <c r="O495" i="10"/>
  <c r="S495" i="10" s="1"/>
  <c r="P494" i="10"/>
  <c r="O494" i="10"/>
  <c r="P493" i="10"/>
  <c r="O493" i="10"/>
  <c r="S493" i="10" s="1"/>
  <c r="P492" i="10"/>
  <c r="O492" i="10"/>
  <c r="S492" i="10" s="1"/>
  <c r="P491" i="10"/>
  <c r="O491" i="10"/>
  <c r="P490" i="10"/>
  <c r="O490" i="10"/>
  <c r="S490" i="10" s="1"/>
  <c r="P489" i="10"/>
  <c r="O489" i="10"/>
  <c r="P488" i="10"/>
  <c r="O488" i="10"/>
  <c r="S488" i="10" s="1"/>
  <c r="P487" i="10"/>
  <c r="O487" i="10"/>
  <c r="P486" i="10"/>
  <c r="O486" i="10"/>
  <c r="S486" i="10" s="1"/>
  <c r="P485" i="10"/>
  <c r="O485" i="10"/>
  <c r="S485" i="10" s="1"/>
  <c r="P484" i="10"/>
  <c r="O484" i="10"/>
  <c r="P483" i="10"/>
  <c r="O483" i="10"/>
  <c r="P482" i="10"/>
  <c r="O482" i="10"/>
  <c r="S482" i="10" s="1"/>
  <c r="P481" i="10"/>
  <c r="O481" i="10"/>
  <c r="P480" i="10"/>
  <c r="S480" i="10" s="1"/>
  <c r="O480" i="10"/>
  <c r="P479" i="10"/>
  <c r="O479" i="10"/>
  <c r="S479" i="10" s="1"/>
  <c r="P478" i="10"/>
  <c r="O478" i="10"/>
  <c r="S478" i="10" s="1"/>
  <c r="P477" i="10"/>
  <c r="O477" i="10"/>
  <c r="S477" i="10" s="1"/>
  <c r="P476" i="10"/>
  <c r="O476" i="10"/>
  <c r="P475" i="10"/>
  <c r="O475" i="10"/>
  <c r="P474" i="10"/>
  <c r="O474" i="10"/>
  <c r="S474" i="10" s="1"/>
  <c r="P473" i="10"/>
  <c r="O473" i="10"/>
  <c r="S473" i="10" s="1"/>
  <c r="P472" i="10"/>
  <c r="O472" i="10"/>
  <c r="P471" i="10"/>
  <c r="O471" i="10"/>
  <c r="S471" i="10" s="1"/>
  <c r="P470" i="10"/>
  <c r="O470" i="10"/>
  <c r="S470" i="10" s="1"/>
  <c r="P469" i="10"/>
  <c r="O469" i="10"/>
  <c r="S469" i="10" s="1"/>
  <c r="P468" i="10"/>
  <c r="O468" i="10"/>
  <c r="P467" i="10"/>
  <c r="O467" i="10"/>
  <c r="S466" i="10"/>
  <c r="P466" i="10"/>
  <c r="O466" i="10"/>
  <c r="P465" i="10"/>
  <c r="O465" i="10"/>
  <c r="P464" i="10"/>
  <c r="O464" i="10"/>
  <c r="S464" i="10" s="1"/>
  <c r="P463" i="10"/>
  <c r="O463" i="10"/>
  <c r="P462" i="10"/>
  <c r="O462" i="10"/>
  <c r="S462" i="10" s="1"/>
  <c r="P461" i="10"/>
  <c r="O461" i="10"/>
  <c r="P460" i="10"/>
  <c r="O460" i="10"/>
  <c r="P459" i="10"/>
  <c r="O459" i="10"/>
  <c r="S459" i="10" s="1"/>
  <c r="P458" i="10"/>
  <c r="O458" i="10"/>
  <c r="S458" i="10" s="1"/>
  <c r="P457" i="10"/>
  <c r="S457" i="10" s="1"/>
  <c r="O457" i="10"/>
  <c r="P456" i="10"/>
  <c r="O456" i="10"/>
  <c r="S456" i="10" s="1"/>
  <c r="P455" i="10"/>
  <c r="O455" i="10"/>
  <c r="S455" i="10" s="1"/>
  <c r="P454" i="10"/>
  <c r="O454" i="10"/>
  <c r="P453" i="10"/>
  <c r="O453" i="10"/>
  <c r="P452" i="10"/>
  <c r="O452" i="10"/>
  <c r="S452" i="10" s="1"/>
  <c r="P451" i="10"/>
  <c r="O451" i="10"/>
  <c r="P450" i="10"/>
  <c r="O450" i="10"/>
  <c r="P449" i="10"/>
  <c r="O449" i="10"/>
  <c r="P448" i="10"/>
  <c r="O448" i="10"/>
  <c r="S448" i="10" s="1"/>
  <c r="P447" i="10"/>
  <c r="O447" i="10"/>
  <c r="S447" i="10" s="1"/>
  <c r="P446" i="10"/>
  <c r="O446" i="10"/>
  <c r="P445" i="10"/>
  <c r="O445" i="10"/>
  <c r="P444" i="10"/>
  <c r="O444" i="10"/>
  <c r="S444" i="10" s="1"/>
  <c r="P443" i="10"/>
  <c r="O443" i="10"/>
  <c r="P442" i="10"/>
  <c r="O442" i="10"/>
  <c r="S442" i="10" s="1"/>
  <c r="P441" i="10"/>
  <c r="O441" i="10"/>
  <c r="P440" i="10"/>
  <c r="O440" i="10"/>
  <c r="S440" i="10" s="1"/>
  <c r="P439" i="10"/>
  <c r="O439" i="10"/>
  <c r="P438" i="10"/>
  <c r="O438" i="10"/>
  <c r="S438" i="10" s="1"/>
  <c r="P437" i="10"/>
  <c r="O437" i="10"/>
  <c r="P436" i="10"/>
  <c r="O436" i="10"/>
  <c r="P435" i="10"/>
  <c r="O435" i="10"/>
  <c r="P434" i="10"/>
  <c r="O434" i="10"/>
  <c r="S434" i="10" s="1"/>
  <c r="P433" i="10"/>
  <c r="O433" i="10"/>
  <c r="P432" i="10"/>
  <c r="O432" i="10"/>
  <c r="S432" i="10" s="1"/>
  <c r="P431" i="10"/>
  <c r="O431" i="10"/>
  <c r="P430" i="10"/>
  <c r="O430" i="10"/>
  <c r="S430" i="10" s="1"/>
  <c r="P429" i="10"/>
  <c r="O429" i="10"/>
  <c r="P428" i="10"/>
  <c r="O428" i="10"/>
  <c r="S428" i="10" s="1"/>
  <c r="P427" i="10"/>
  <c r="O427" i="10"/>
  <c r="P426" i="10"/>
  <c r="S426" i="10" s="1"/>
  <c r="O426" i="10"/>
  <c r="P425" i="10"/>
  <c r="O425" i="10"/>
  <c r="P424" i="10"/>
  <c r="O424" i="10"/>
  <c r="S424" i="10" s="1"/>
  <c r="P423" i="10"/>
  <c r="O423" i="10"/>
  <c r="S423" i="10" s="1"/>
  <c r="P422" i="10"/>
  <c r="O422" i="10"/>
  <c r="P421" i="10"/>
  <c r="O421" i="10"/>
  <c r="S421" i="10" s="1"/>
  <c r="P420" i="10"/>
  <c r="O420" i="10"/>
  <c r="S420" i="10" s="1"/>
  <c r="P419" i="10"/>
  <c r="O419" i="10"/>
  <c r="P418" i="10"/>
  <c r="O418" i="10"/>
  <c r="P417" i="10"/>
  <c r="O417" i="10"/>
  <c r="P416" i="10"/>
  <c r="S416" i="10" s="1"/>
  <c r="O416" i="10"/>
  <c r="P415" i="10"/>
  <c r="O415" i="10"/>
  <c r="S415" i="10" s="1"/>
  <c r="P414" i="10"/>
  <c r="O414" i="10"/>
  <c r="P413" i="10"/>
  <c r="O413" i="10"/>
  <c r="P412" i="10"/>
  <c r="O412" i="10"/>
  <c r="P411" i="10"/>
  <c r="O411" i="10"/>
  <c r="P410" i="10"/>
  <c r="O410" i="10"/>
  <c r="P409" i="10"/>
  <c r="O409" i="10"/>
  <c r="S409" i="10" s="1"/>
  <c r="P408" i="10"/>
  <c r="O408" i="10"/>
  <c r="S408" i="10" s="1"/>
  <c r="P407" i="10"/>
  <c r="O407" i="10"/>
  <c r="P406" i="10"/>
  <c r="O406" i="10"/>
  <c r="P405" i="10"/>
  <c r="O405" i="10"/>
  <c r="S405" i="10" s="1"/>
  <c r="P404" i="10"/>
  <c r="O404" i="10"/>
  <c r="S404" i="10" s="1"/>
  <c r="P403" i="10"/>
  <c r="O403" i="10"/>
  <c r="P402" i="10"/>
  <c r="O402" i="10"/>
  <c r="S402" i="10" s="1"/>
  <c r="P401" i="10"/>
  <c r="O401" i="10"/>
  <c r="S401" i="10" s="1"/>
  <c r="P400" i="10"/>
  <c r="O400" i="10"/>
  <c r="P399" i="10"/>
  <c r="O399" i="10"/>
  <c r="P398" i="10"/>
  <c r="O398" i="10"/>
  <c r="S398" i="10" s="1"/>
  <c r="P397" i="10"/>
  <c r="O397" i="10"/>
  <c r="S397" i="10" s="1"/>
  <c r="P396" i="10"/>
  <c r="O396" i="10"/>
  <c r="S396" i="10" s="1"/>
  <c r="P395" i="10"/>
  <c r="O395" i="10"/>
  <c r="P394" i="10"/>
  <c r="O394" i="10"/>
  <c r="P393" i="10"/>
  <c r="S393" i="10" s="1"/>
  <c r="O393" i="10"/>
  <c r="P392" i="10"/>
  <c r="O392" i="10"/>
  <c r="S392" i="10" s="1"/>
  <c r="P391" i="10"/>
  <c r="O391" i="10"/>
  <c r="P390" i="10"/>
  <c r="O390" i="10"/>
  <c r="P389" i="10"/>
  <c r="O389" i="10"/>
  <c r="P388" i="10"/>
  <c r="O388" i="10"/>
  <c r="S388" i="10" s="1"/>
  <c r="P387" i="10"/>
  <c r="O387" i="10"/>
  <c r="P386" i="10"/>
  <c r="O386" i="10"/>
  <c r="P385" i="10"/>
  <c r="O385" i="10"/>
  <c r="P384" i="10"/>
  <c r="O384" i="10"/>
  <c r="S384" i="10" s="1"/>
  <c r="P383" i="10"/>
  <c r="O383" i="10"/>
  <c r="S383" i="10" s="1"/>
  <c r="P382" i="10"/>
  <c r="O382" i="10"/>
  <c r="S382" i="10" s="1"/>
  <c r="P381" i="10"/>
  <c r="O381" i="10"/>
  <c r="S381" i="10" s="1"/>
  <c r="P380" i="10"/>
  <c r="S380" i="10" s="1"/>
  <c r="O380" i="10"/>
  <c r="P379" i="10"/>
  <c r="O379" i="10"/>
  <c r="P378" i="10"/>
  <c r="O378" i="10"/>
  <c r="P377" i="10"/>
  <c r="O377" i="10"/>
  <c r="S377" i="10" s="1"/>
  <c r="S376" i="10"/>
  <c r="P376" i="10"/>
  <c r="O376" i="10"/>
  <c r="P375" i="10"/>
  <c r="O375" i="10"/>
  <c r="P374" i="10"/>
  <c r="O374" i="10"/>
  <c r="P373" i="10"/>
  <c r="O373" i="10"/>
  <c r="S373" i="10" s="1"/>
  <c r="P372" i="10"/>
  <c r="O372" i="10"/>
  <c r="P371" i="10"/>
  <c r="O371" i="10"/>
  <c r="P370" i="10"/>
  <c r="O370" i="10"/>
  <c r="P369" i="10"/>
  <c r="O369" i="10"/>
  <c r="P368" i="10"/>
  <c r="S368" i="10" s="1"/>
  <c r="O368" i="10"/>
  <c r="P367" i="10"/>
  <c r="O367" i="10"/>
  <c r="S367" i="10" s="1"/>
  <c r="P366" i="10"/>
  <c r="O366" i="10"/>
  <c r="P365" i="10"/>
  <c r="O365" i="10"/>
  <c r="P364" i="10"/>
  <c r="O364" i="10"/>
  <c r="P363" i="10"/>
  <c r="O363" i="10"/>
  <c r="S363" i="10" s="1"/>
  <c r="P362" i="10"/>
  <c r="O362" i="10"/>
  <c r="P361" i="10"/>
  <c r="O361" i="10"/>
  <c r="S361" i="10" s="1"/>
  <c r="P360" i="10"/>
  <c r="O360" i="10"/>
  <c r="P359" i="10"/>
  <c r="O359" i="10"/>
  <c r="P358" i="10"/>
  <c r="O358" i="10"/>
  <c r="P357" i="10"/>
  <c r="O357" i="10"/>
  <c r="S357" i="10" s="1"/>
  <c r="P356" i="10"/>
  <c r="O356" i="10"/>
  <c r="P355" i="10"/>
  <c r="O355" i="10"/>
  <c r="P354" i="10"/>
  <c r="O354" i="10"/>
  <c r="P353" i="10"/>
  <c r="O353" i="10"/>
  <c r="S352" i="10"/>
  <c r="P352" i="10"/>
  <c r="O352" i="10"/>
  <c r="P351" i="10"/>
  <c r="O351" i="10"/>
  <c r="S351" i="10" s="1"/>
  <c r="P350" i="10"/>
  <c r="O350" i="10"/>
  <c r="S350" i="10" s="1"/>
  <c r="S349" i="10"/>
  <c r="P349" i="10"/>
  <c r="O349" i="10"/>
  <c r="P348" i="10"/>
  <c r="O348" i="10"/>
  <c r="P347" i="10"/>
  <c r="O347" i="10"/>
  <c r="P346" i="10"/>
  <c r="O346" i="10"/>
  <c r="P345" i="10"/>
  <c r="O345" i="10"/>
  <c r="P344" i="10"/>
  <c r="O344" i="10"/>
  <c r="S344" i="10" s="1"/>
  <c r="P343" i="10"/>
  <c r="O343" i="10"/>
  <c r="P342" i="10"/>
  <c r="S342" i="10" s="1"/>
  <c r="O342" i="10"/>
  <c r="P341" i="10"/>
  <c r="O341" i="10"/>
  <c r="P340" i="10"/>
  <c r="O340" i="10"/>
  <c r="S340" i="10" s="1"/>
  <c r="P339" i="10"/>
  <c r="O339" i="10"/>
  <c r="S339" i="10" s="1"/>
  <c r="P338" i="10"/>
  <c r="O338" i="10"/>
  <c r="P337" i="10"/>
  <c r="O337" i="10"/>
  <c r="S337" i="10" s="1"/>
  <c r="P336" i="10"/>
  <c r="O336" i="10"/>
  <c r="S336" i="10" s="1"/>
  <c r="P335" i="10"/>
  <c r="O335" i="10"/>
  <c r="P334" i="10"/>
  <c r="O334" i="10"/>
  <c r="P333" i="10"/>
  <c r="O333" i="10"/>
  <c r="S333" i="10" s="1"/>
  <c r="P332" i="10"/>
  <c r="O332" i="10"/>
  <c r="P331" i="10"/>
  <c r="O331" i="10"/>
  <c r="P330" i="10"/>
  <c r="O330" i="10"/>
  <c r="P329" i="10"/>
  <c r="O329" i="10"/>
  <c r="S329" i="10" s="1"/>
  <c r="P328" i="10"/>
  <c r="O328" i="10"/>
  <c r="S328" i="10" s="1"/>
  <c r="P327" i="10"/>
  <c r="O327" i="10"/>
  <c r="S327" i="10" s="1"/>
  <c r="P326" i="10"/>
  <c r="O326" i="10"/>
  <c r="P325" i="10"/>
  <c r="O325" i="10"/>
  <c r="P324" i="10"/>
  <c r="O324" i="10"/>
  <c r="P323" i="10"/>
  <c r="O323" i="10"/>
  <c r="S323" i="10" s="1"/>
  <c r="P322" i="10"/>
  <c r="O322" i="10"/>
  <c r="P321" i="10"/>
  <c r="O321" i="10"/>
  <c r="P320" i="10"/>
  <c r="O320" i="10"/>
  <c r="S320" i="10" s="1"/>
  <c r="P319" i="10"/>
  <c r="O319" i="10"/>
  <c r="P318" i="10"/>
  <c r="S318" i="10" s="1"/>
  <c r="O318" i="10"/>
  <c r="P317" i="10"/>
  <c r="O317" i="10"/>
  <c r="S317" i="10" s="1"/>
  <c r="P316" i="10"/>
  <c r="O316" i="10"/>
  <c r="S316" i="10" s="1"/>
  <c r="P315" i="10"/>
  <c r="O315" i="10"/>
  <c r="P314" i="10"/>
  <c r="O314" i="10"/>
  <c r="P313" i="10"/>
  <c r="O313" i="10"/>
  <c r="P312" i="10"/>
  <c r="O312" i="10"/>
  <c r="S312" i="10" s="1"/>
  <c r="P311" i="10"/>
  <c r="O311" i="10"/>
  <c r="P310" i="10"/>
  <c r="O310" i="10"/>
  <c r="P309" i="10"/>
  <c r="O309" i="10"/>
  <c r="S309" i="10" s="1"/>
  <c r="P308" i="10"/>
  <c r="S308" i="10" s="1"/>
  <c r="O308" i="10"/>
  <c r="P307" i="10"/>
  <c r="O307" i="10"/>
  <c r="P306" i="10"/>
  <c r="O306" i="10"/>
  <c r="P305" i="10"/>
  <c r="O305" i="10"/>
  <c r="P304" i="10"/>
  <c r="O304" i="10"/>
  <c r="P303" i="10"/>
  <c r="O303" i="10"/>
  <c r="S303" i="10" s="1"/>
  <c r="P302" i="10"/>
  <c r="O302" i="10"/>
  <c r="P301" i="10"/>
  <c r="O301" i="10"/>
  <c r="S301" i="10" s="1"/>
  <c r="P300" i="10"/>
  <c r="O300" i="10"/>
  <c r="P299" i="10"/>
  <c r="O299" i="10"/>
  <c r="P298" i="10"/>
  <c r="O298" i="10"/>
  <c r="P297" i="10"/>
  <c r="O297" i="10"/>
  <c r="P296" i="10"/>
  <c r="O296" i="10"/>
  <c r="P295" i="10"/>
  <c r="O295" i="10"/>
  <c r="P294" i="10"/>
  <c r="O294" i="10"/>
  <c r="P293" i="10"/>
  <c r="O293" i="10"/>
  <c r="S293" i="10" s="1"/>
  <c r="P292" i="10"/>
  <c r="O292" i="10"/>
  <c r="P291" i="10"/>
  <c r="O291" i="10"/>
  <c r="S291" i="10" s="1"/>
  <c r="P290" i="10"/>
  <c r="O290" i="10"/>
  <c r="P289" i="10"/>
  <c r="O289" i="10"/>
  <c r="P288" i="10"/>
  <c r="S288" i="10" s="1"/>
  <c r="O288" i="10"/>
  <c r="P287" i="10"/>
  <c r="O287" i="10"/>
  <c r="S287" i="10" s="1"/>
  <c r="P286" i="10"/>
  <c r="O286" i="10"/>
  <c r="P285" i="10"/>
  <c r="O285" i="10"/>
  <c r="S285" i="10" s="1"/>
  <c r="P284" i="10"/>
  <c r="O284" i="10"/>
  <c r="P283" i="10"/>
  <c r="O283" i="10"/>
  <c r="P282" i="10"/>
  <c r="O282" i="10"/>
  <c r="P281" i="10"/>
  <c r="O281" i="10"/>
  <c r="P280" i="10"/>
  <c r="O280" i="10"/>
  <c r="P279" i="10"/>
  <c r="O279" i="10"/>
  <c r="P278" i="10"/>
  <c r="O278" i="10"/>
  <c r="P277" i="10"/>
  <c r="O277" i="10"/>
  <c r="S277" i="10" s="1"/>
  <c r="P276" i="10"/>
  <c r="O276" i="10"/>
  <c r="P275" i="10"/>
  <c r="O275" i="10"/>
  <c r="P274" i="10"/>
  <c r="O274" i="10"/>
  <c r="P273" i="10"/>
  <c r="O273" i="10"/>
  <c r="S273" i="10" s="1"/>
  <c r="S272" i="10"/>
  <c r="P272" i="10"/>
  <c r="O272" i="10"/>
  <c r="P271" i="10"/>
  <c r="O271" i="10"/>
  <c r="P270" i="10"/>
  <c r="O270" i="10"/>
  <c r="S270" i="10" s="1"/>
  <c r="P269" i="10"/>
  <c r="O269" i="10"/>
  <c r="P268" i="10"/>
  <c r="O268" i="10"/>
  <c r="P267" i="10"/>
  <c r="O267" i="10"/>
  <c r="P266" i="10"/>
  <c r="O266" i="10"/>
  <c r="S266" i="10" s="1"/>
  <c r="P265" i="10"/>
  <c r="S265" i="10" s="1"/>
  <c r="O265" i="10"/>
  <c r="P264" i="10"/>
  <c r="O264" i="10"/>
  <c r="S264" i="10" s="1"/>
  <c r="P263" i="10"/>
  <c r="O263" i="10"/>
  <c r="P262" i="10"/>
  <c r="O262" i="10"/>
  <c r="P261" i="10"/>
  <c r="O261" i="10"/>
  <c r="P260" i="10"/>
  <c r="O260" i="10"/>
  <c r="S260" i="10" s="1"/>
  <c r="P259" i="10"/>
  <c r="O259" i="10"/>
  <c r="P258" i="10"/>
  <c r="O258" i="10"/>
  <c r="P257" i="10"/>
  <c r="O257" i="10"/>
  <c r="P256" i="10"/>
  <c r="O256" i="10"/>
  <c r="S256" i="10" s="1"/>
  <c r="P255" i="10"/>
  <c r="O255" i="10"/>
  <c r="P254" i="10"/>
  <c r="O254" i="10"/>
  <c r="P253" i="10"/>
  <c r="O253" i="10"/>
  <c r="P252" i="10"/>
  <c r="O252" i="10"/>
  <c r="P251" i="10"/>
  <c r="O251" i="10"/>
  <c r="P250" i="10"/>
  <c r="O250" i="10"/>
  <c r="S250" i="10" s="1"/>
  <c r="P249" i="10"/>
  <c r="O249" i="10"/>
  <c r="P248" i="10"/>
  <c r="S248" i="10" s="1"/>
  <c r="O248" i="10"/>
  <c r="P247" i="10"/>
  <c r="O247" i="10"/>
  <c r="P246" i="10"/>
  <c r="O246" i="10"/>
  <c r="S246" i="10" s="1"/>
  <c r="P245" i="10"/>
  <c r="O245" i="10"/>
  <c r="P244" i="10"/>
  <c r="O244" i="10"/>
  <c r="P243" i="10"/>
  <c r="O243" i="10"/>
  <c r="P242" i="10"/>
  <c r="O242" i="10"/>
  <c r="S242" i="10" s="1"/>
  <c r="P241" i="10"/>
  <c r="O241" i="10"/>
  <c r="P240" i="10"/>
  <c r="O240" i="10"/>
  <c r="P239" i="10"/>
  <c r="O239" i="10"/>
  <c r="S239" i="10" s="1"/>
  <c r="P238" i="10"/>
  <c r="O238" i="10"/>
  <c r="P237" i="10"/>
  <c r="O237" i="10"/>
  <c r="S237" i="10" s="1"/>
  <c r="P236" i="10"/>
  <c r="O236" i="10"/>
  <c r="P235" i="10"/>
  <c r="O235" i="10"/>
  <c r="P234" i="10"/>
  <c r="O234" i="10"/>
  <c r="P233" i="10"/>
  <c r="O233" i="10"/>
  <c r="S233" i="10" s="1"/>
  <c r="P232" i="10"/>
  <c r="O232" i="10"/>
  <c r="P231" i="10"/>
  <c r="O231" i="10"/>
  <c r="P230" i="10"/>
  <c r="O230" i="10"/>
  <c r="S230" i="10" s="1"/>
  <c r="P229" i="10"/>
  <c r="O229" i="10"/>
  <c r="S229" i="10" s="1"/>
  <c r="P228" i="10"/>
  <c r="O228" i="10"/>
  <c r="P227" i="10"/>
  <c r="O227" i="10"/>
  <c r="S227" i="10" s="1"/>
  <c r="P226" i="10"/>
  <c r="O226" i="10"/>
  <c r="S226" i="10" s="1"/>
  <c r="P225" i="10"/>
  <c r="O225" i="10"/>
  <c r="S224" i="10"/>
  <c r="P224" i="10"/>
  <c r="O224" i="10"/>
  <c r="P223" i="10"/>
  <c r="O223" i="10"/>
  <c r="S223" i="10" s="1"/>
  <c r="P222" i="10"/>
  <c r="O222" i="10"/>
  <c r="P221" i="10"/>
  <c r="O221" i="10"/>
  <c r="P220" i="10"/>
  <c r="O220" i="10"/>
  <c r="P219" i="10"/>
  <c r="O219" i="10"/>
  <c r="S219" i="10" s="1"/>
  <c r="P218" i="10"/>
  <c r="O218" i="10"/>
  <c r="P217" i="10"/>
  <c r="O217" i="10"/>
  <c r="P216" i="10"/>
  <c r="O216" i="10"/>
  <c r="P215" i="10"/>
  <c r="O215" i="10"/>
  <c r="P214" i="10"/>
  <c r="O214" i="10"/>
  <c r="P213" i="10"/>
  <c r="S213" i="10" s="1"/>
  <c r="O213" i="10"/>
  <c r="P212" i="10"/>
  <c r="O212" i="10"/>
  <c r="S212" i="10" s="1"/>
  <c r="P211" i="10"/>
  <c r="O211" i="10"/>
  <c r="S211" i="10" s="1"/>
  <c r="P210" i="10"/>
  <c r="O210" i="10"/>
  <c r="S210" i="10" s="1"/>
  <c r="P209" i="10"/>
  <c r="O209" i="10"/>
  <c r="P208" i="10"/>
  <c r="O208" i="10"/>
  <c r="S208" i="10" s="1"/>
  <c r="P207" i="10"/>
  <c r="O207" i="10"/>
  <c r="S207" i="10" s="1"/>
  <c r="P206" i="10"/>
  <c r="O206" i="10"/>
  <c r="S206" i="10" s="1"/>
  <c r="P205" i="10"/>
  <c r="O205" i="10"/>
  <c r="P204" i="10"/>
  <c r="O204" i="10"/>
  <c r="S204" i="10" s="1"/>
  <c r="P203" i="10"/>
  <c r="O203" i="10"/>
  <c r="P202" i="10"/>
  <c r="O202" i="10"/>
  <c r="P201" i="10"/>
  <c r="O201" i="10"/>
  <c r="P200" i="10"/>
  <c r="O200" i="10"/>
  <c r="S200" i="10" s="1"/>
  <c r="P199" i="10"/>
  <c r="O199" i="10"/>
  <c r="P198" i="10"/>
  <c r="O198" i="10"/>
  <c r="S198" i="10" s="1"/>
  <c r="P197" i="10"/>
  <c r="O197" i="10"/>
  <c r="P196" i="10"/>
  <c r="O196" i="10"/>
  <c r="P195" i="10"/>
  <c r="O195" i="10"/>
  <c r="S195" i="10" s="1"/>
  <c r="P194" i="10"/>
  <c r="O194" i="10"/>
  <c r="S194" i="10" s="1"/>
  <c r="P193" i="10"/>
  <c r="O193" i="10"/>
  <c r="P192" i="10"/>
  <c r="O192" i="10"/>
  <c r="S192" i="10" s="1"/>
  <c r="P191" i="10"/>
  <c r="O191" i="10"/>
  <c r="P190" i="10"/>
  <c r="O190" i="10"/>
  <c r="P189" i="10"/>
  <c r="S189" i="10" s="1"/>
  <c r="O189" i="10"/>
  <c r="P188" i="10"/>
  <c r="O188" i="10"/>
  <c r="S188" i="10" s="1"/>
  <c r="P187" i="10"/>
  <c r="O187" i="10"/>
  <c r="P186" i="10"/>
  <c r="O186" i="10"/>
  <c r="S186" i="10" s="1"/>
  <c r="P185" i="10"/>
  <c r="S185" i="10" s="1"/>
  <c r="O185" i="10"/>
  <c r="P184" i="10"/>
  <c r="O184" i="10"/>
  <c r="S184" i="10" s="1"/>
  <c r="P183" i="10"/>
  <c r="O183" i="10"/>
  <c r="P182" i="10"/>
  <c r="O182" i="10"/>
  <c r="P181" i="10"/>
  <c r="O181" i="10"/>
  <c r="P180" i="10"/>
  <c r="O180" i="10"/>
  <c r="S180" i="10" s="1"/>
  <c r="P179" i="10"/>
  <c r="O179" i="10"/>
  <c r="P178" i="10"/>
  <c r="O178" i="10"/>
  <c r="S178" i="10" s="1"/>
  <c r="P177" i="10"/>
  <c r="O177" i="10"/>
  <c r="P176" i="10"/>
  <c r="O176" i="10"/>
  <c r="P175" i="10"/>
  <c r="O175" i="10"/>
  <c r="P174" i="10"/>
  <c r="O174" i="10"/>
  <c r="S174" i="10" s="1"/>
  <c r="P173" i="10"/>
  <c r="O173" i="10"/>
  <c r="P172" i="10"/>
  <c r="O172" i="10"/>
  <c r="P171" i="10"/>
  <c r="O171" i="10"/>
  <c r="P170" i="10"/>
  <c r="O170" i="10"/>
  <c r="S170" i="10" s="1"/>
  <c r="P169" i="10"/>
  <c r="O169" i="10"/>
  <c r="P168" i="10"/>
  <c r="O168" i="10"/>
  <c r="P167" i="10"/>
  <c r="O167" i="10"/>
  <c r="P166" i="10"/>
  <c r="O166" i="10"/>
  <c r="P165" i="10"/>
  <c r="O165" i="10"/>
  <c r="P164" i="10"/>
  <c r="O164" i="10"/>
  <c r="P163" i="10"/>
  <c r="O163" i="10"/>
  <c r="P162" i="10"/>
  <c r="O162" i="10"/>
  <c r="S162" i="10" s="1"/>
  <c r="P161" i="10"/>
  <c r="S161" i="10" s="1"/>
  <c r="O161" i="10"/>
  <c r="P160" i="10"/>
  <c r="O160" i="10"/>
  <c r="S160" i="10" s="1"/>
  <c r="P159" i="10"/>
  <c r="O159" i="10"/>
  <c r="P158" i="10"/>
  <c r="O158" i="10"/>
  <c r="S158" i="10" s="1"/>
  <c r="P157" i="10"/>
  <c r="S157" i="10" s="1"/>
  <c r="O157" i="10"/>
  <c r="P156" i="10"/>
  <c r="O156" i="10"/>
  <c r="S156" i="10" s="1"/>
  <c r="P155" i="10"/>
  <c r="O155" i="10"/>
  <c r="P154" i="10"/>
  <c r="O154" i="10"/>
  <c r="P153" i="10"/>
  <c r="O153" i="10"/>
  <c r="P152" i="10"/>
  <c r="O152" i="10"/>
  <c r="P151" i="10"/>
  <c r="O151" i="10"/>
  <c r="P150" i="10"/>
  <c r="O150" i="10"/>
  <c r="P149" i="10"/>
  <c r="O149" i="10"/>
  <c r="P148" i="10"/>
  <c r="O148" i="10"/>
  <c r="S148" i="10" s="1"/>
  <c r="P147" i="10"/>
  <c r="S147" i="10" s="1"/>
  <c r="O147" i="10"/>
  <c r="P146" i="10"/>
  <c r="O146" i="10"/>
  <c r="S146" i="10" s="1"/>
  <c r="P145" i="10"/>
  <c r="O145" i="10"/>
  <c r="P144" i="10"/>
  <c r="O144" i="10"/>
  <c r="S144" i="10" s="1"/>
  <c r="P143" i="10"/>
  <c r="O143" i="10"/>
  <c r="P142" i="10"/>
  <c r="O142" i="10"/>
  <c r="S142" i="10" s="1"/>
  <c r="P141" i="10"/>
  <c r="O141" i="10"/>
  <c r="P140" i="10"/>
  <c r="O140" i="10"/>
  <c r="P139" i="10"/>
  <c r="S139" i="10" s="1"/>
  <c r="O139" i="10"/>
  <c r="P138" i="10"/>
  <c r="O138" i="10"/>
  <c r="S138" i="10" s="1"/>
  <c r="P137" i="10"/>
  <c r="O137" i="10"/>
  <c r="P136" i="10"/>
  <c r="O136" i="10"/>
  <c r="P135" i="10"/>
  <c r="O135" i="10"/>
  <c r="P134" i="10"/>
  <c r="O134" i="10"/>
  <c r="S134" i="10" s="1"/>
  <c r="S133" i="10"/>
  <c r="P133" i="10"/>
  <c r="O133" i="10"/>
  <c r="P132" i="10"/>
  <c r="O132" i="10"/>
  <c r="P131" i="10"/>
  <c r="O131" i="10"/>
  <c r="S131" i="10" s="1"/>
  <c r="P130" i="10"/>
  <c r="O130" i="10"/>
  <c r="P129" i="10"/>
  <c r="O129" i="10"/>
  <c r="P128" i="10"/>
  <c r="O128" i="10"/>
  <c r="P127" i="10"/>
  <c r="O127" i="10"/>
  <c r="S127" i="10" s="1"/>
  <c r="P126" i="10"/>
  <c r="O126" i="10"/>
  <c r="P125" i="10"/>
  <c r="O125" i="10"/>
  <c r="P124" i="10"/>
  <c r="O124" i="10"/>
  <c r="P123" i="10"/>
  <c r="O123" i="10"/>
  <c r="S123" i="10" s="1"/>
  <c r="P122" i="10"/>
  <c r="O122" i="10"/>
  <c r="P121" i="10"/>
  <c r="O121" i="10"/>
  <c r="P120" i="10"/>
  <c r="O120" i="10"/>
  <c r="S120" i="10" s="1"/>
  <c r="P119" i="10"/>
  <c r="O119" i="10"/>
  <c r="P118" i="10"/>
  <c r="O118" i="10"/>
  <c r="P117" i="10"/>
  <c r="O117" i="10"/>
  <c r="P116" i="10"/>
  <c r="O116" i="10"/>
  <c r="S116" i="10" s="1"/>
  <c r="P115" i="10"/>
  <c r="O115" i="10"/>
  <c r="P114" i="10"/>
  <c r="S114" i="10" s="1"/>
  <c r="O114" i="10"/>
  <c r="P113" i="10"/>
  <c r="O113" i="10"/>
  <c r="P112" i="10"/>
  <c r="O112" i="10"/>
  <c r="S112" i="10" s="1"/>
  <c r="P111" i="10"/>
  <c r="O111" i="10"/>
  <c r="P110" i="10"/>
  <c r="O110" i="10"/>
  <c r="P109" i="10"/>
  <c r="O109" i="10"/>
  <c r="S109" i="10" s="1"/>
  <c r="P108" i="10"/>
  <c r="O108" i="10"/>
  <c r="S108" i="10" s="1"/>
  <c r="P107" i="10"/>
  <c r="O107" i="10"/>
  <c r="P106" i="10"/>
  <c r="O106" i="10"/>
  <c r="P105" i="10"/>
  <c r="O105" i="10"/>
  <c r="S105" i="10" s="1"/>
  <c r="P104" i="10"/>
  <c r="O104" i="10"/>
  <c r="P103" i="10"/>
  <c r="O103" i="10"/>
  <c r="P102" i="10"/>
  <c r="O102" i="10"/>
  <c r="P101" i="10"/>
  <c r="O101" i="10"/>
  <c r="P100" i="10"/>
  <c r="O100" i="10"/>
  <c r="P99" i="10"/>
  <c r="O99" i="10"/>
  <c r="P98" i="10"/>
  <c r="O98" i="10"/>
  <c r="P97" i="10"/>
  <c r="O97" i="10"/>
  <c r="S97" i="10" s="1"/>
  <c r="P96" i="10"/>
  <c r="O96" i="10"/>
  <c r="P95" i="10"/>
  <c r="O95" i="10"/>
  <c r="S95" i="10" s="1"/>
  <c r="P94" i="10"/>
  <c r="O94" i="10"/>
  <c r="P93" i="10"/>
  <c r="O93" i="10"/>
  <c r="P92" i="10"/>
  <c r="O92" i="10"/>
  <c r="P91" i="10"/>
  <c r="O91" i="10"/>
  <c r="S91" i="10" s="1"/>
  <c r="P90" i="10"/>
  <c r="O90" i="10"/>
  <c r="P89" i="10"/>
  <c r="O89" i="10"/>
  <c r="P88" i="10"/>
  <c r="O88" i="10"/>
  <c r="S88" i="10" s="1"/>
  <c r="P87" i="10"/>
  <c r="O87" i="10"/>
  <c r="P86" i="10"/>
  <c r="S86" i="10" s="1"/>
  <c r="O86" i="10"/>
  <c r="P85" i="10"/>
  <c r="O85" i="10"/>
  <c r="P84" i="10"/>
  <c r="O84" i="10"/>
  <c r="S84" i="10" s="1"/>
  <c r="P83" i="10"/>
  <c r="O83" i="10"/>
  <c r="S83" i="10" s="1"/>
  <c r="P82" i="10"/>
  <c r="O82" i="10"/>
  <c r="P81" i="10"/>
  <c r="O81" i="10"/>
  <c r="S81" i="10" s="1"/>
  <c r="P80" i="10"/>
  <c r="O80" i="10"/>
  <c r="S80" i="10" s="1"/>
  <c r="P79" i="10"/>
  <c r="O79" i="10"/>
  <c r="S79" i="10" s="1"/>
  <c r="P78" i="10"/>
  <c r="O78" i="10"/>
  <c r="P77" i="10"/>
  <c r="O77" i="10"/>
  <c r="S77" i="10" s="1"/>
  <c r="P76" i="10"/>
  <c r="O76" i="10"/>
  <c r="P75" i="10"/>
  <c r="O75" i="10"/>
  <c r="P74" i="10"/>
  <c r="O74" i="10"/>
  <c r="P73" i="10"/>
  <c r="O73" i="10"/>
  <c r="S73" i="10" s="1"/>
  <c r="P72" i="10"/>
  <c r="O72" i="10"/>
  <c r="S72" i="10" s="1"/>
  <c r="P71" i="10"/>
  <c r="O71" i="10"/>
  <c r="P70" i="10"/>
  <c r="O70" i="10"/>
  <c r="P69" i="10"/>
  <c r="O69" i="10"/>
  <c r="S69" i="10" s="1"/>
  <c r="P68" i="10"/>
  <c r="O68" i="10"/>
  <c r="P67" i="10"/>
  <c r="O67" i="10"/>
  <c r="S67" i="10" s="1"/>
  <c r="P66" i="10"/>
  <c r="O66" i="10"/>
  <c r="P65" i="10"/>
  <c r="O65" i="10"/>
  <c r="P64" i="10"/>
  <c r="O64" i="10"/>
  <c r="P63" i="10"/>
  <c r="O63" i="10"/>
  <c r="S63" i="10" s="1"/>
  <c r="P62" i="10"/>
  <c r="O62" i="10"/>
  <c r="P61" i="10"/>
  <c r="O61" i="10"/>
  <c r="P60" i="10"/>
  <c r="O60" i="10"/>
  <c r="P59" i="10"/>
  <c r="O59" i="10"/>
  <c r="S59" i="10" s="1"/>
  <c r="P58" i="10"/>
  <c r="O58" i="10"/>
  <c r="P57" i="10"/>
  <c r="O57" i="10"/>
  <c r="P56" i="10"/>
  <c r="O56" i="10"/>
  <c r="S56" i="10" s="1"/>
  <c r="P55" i="10"/>
  <c r="O55" i="10"/>
  <c r="P54" i="10"/>
  <c r="O54" i="10"/>
  <c r="P53" i="10"/>
  <c r="O53" i="10"/>
  <c r="P52" i="10"/>
  <c r="O52" i="10"/>
  <c r="S52" i="10" s="1"/>
  <c r="P51" i="10"/>
  <c r="O51" i="10"/>
  <c r="P50" i="10"/>
  <c r="O50" i="10"/>
  <c r="P49" i="10"/>
  <c r="O49" i="10"/>
  <c r="P48" i="10"/>
  <c r="O48" i="10"/>
  <c r="S48" i="10" s="1"/>
  <c r="P47" i="10"/>
  <c r="O47" i="10"/>
  <c r="S47" i="10" s="1"/>
  <c r="P46" i="10"/>
  <c r="O46" i="10"/>
  <c r="P45" i="10"/>
  <c r="O45" i="10"/>
  <c r="S45" i="10" s="1"/>
  <c r="P44" i="10"/>
  <c r="O44" i="10"/>
  <c r="S44" i="10" s="1"/>
  <c r="P43" i="10"/>
  <c r="O43" i="10"/>
  <c r="P42" i="10"/>
  <c r="S42" i="10" s="1"/>
  <c r="O42" i="10"/>
  <c r="P41" i="10"/>
  <c r="O41" i="10"/>
  <c r="S41" i="10" s="1"/>
  <c r="P40" i="10"/>
  <c r="O40" i="10"/>
  <c r="P39" i="10"/>
  <c r="O39" i="10"/>
  <c r="S39" i="10" s="1"/>
  <c r="P38" i="10"/>
  <c r="O38" i="10"/>
  <c r="P37" i="10"/>
  <c r="O37" i="10"/>
  <c r="S37" i="10" s="1"/>
  <c r="P36" i="10"/>
  <c r="O36" i="10"/>
  <c r="P35" i="10"/>
  <c r="O35" i="10"/>
  <c r="P34" i="10"/>
  <c r="O34" i="10"/>
  <c r="P33" i="10"/>
  <c r="O33" i="10"/>
  <c r="S33" i="10" s="1"/>
  <c r="P32" i="10"/>
  <c r="S32" i="10" s="1"/>
  <c r="O32" i="10"/>
  <c r="P31" i="10"/>
  <c r="O31" i="10"/>
  <c r="S31" i="10" s="1"/>
  <c r="P30" i="10"/>
  <c r="O30" i="10"/>
  <c r="P29" i="10"/>
  <c r="O29" i="10"/>
  <c r="P28" i="10"/>
  <c r="O28" i="10"/>
  <c r="P27" i="10"/>
  <c r="O27" i="10"/>
  <c r="P26" i="10"/>
  <c r="O26" i="10"/>
  <c r="P25" i="10"/>
  <c r="O25" i="10"/>
  <c r="P24" i="10"/>
  <c r="O24" i="10"/>
  <c r="P23" i="10"/>
  <c r="O23" i="10"/>
  <c r="S23" i="10" s="1"/>
  <c r="P22" i="10"/>
  <c r="O22" i="10"/>
  <c r="P21" i="10"/>
  <c r="O21" i="10"/>
  <c r="P20" i="10"/>
  <c r="O20" i="10"/>
  <c r="P19" i="10"/>
  <c r="O19" i="10"/>
  <c r="P18" i="10"/>
  <c r="O18" i="10"/>
  <c r="P17" i="10"/>
  <c r="O17" i="10"/>
  <c r="P16" i="10"/>
  <c r="O16" i="10"/>
  <c r="P15" i="10"/>
  <c r="O15" i="10"/>
  <c r="S15" i="10" s="1"/>
  <c r="P14" i="10"/>
  <c r="O14" i="10"/>
  <c r="P13" i="10"/>
  <c r="O13" i="10"/>
  <c r="S13" i="10" s="1"/>
  <c r="P12" i="10"/>
  <c r="O12" i="10"/>
  <c r="P11" i="10"/>
  <c r="O11" i="10"/>
  <c r="P10" i="10"/>
  <c r="O10" i="10"/>
  <c r="P9" i="10"/>
  <c r="O9" i="10"/>
  <c r="S9" i="10" s="1"/>
  <c r="P8" i="10"/>
  <c r="O8" i="10"/>
  <c r="P7" i="10"/>
  <c r="O7" i="10"/>
  <c r="S7" i="10" s="1"/>
  <c r="P6" i="10"/>
  <c r="O6" i="10"/>
  <c r="S6" i="10" s="1"/>
  <c r="P5" i="10"/>
  <c r="O5" i="10"/>
  <c r="S5" i="10" s="1"/>
  <c r="P4" i="10"/>
  <c r="O4" i="10"/>
  <c r="S4" i="10" s="1"/>
  <c r="P3" i="10"/>
  <c r="S3" i="10" s="1"/>
  <c r="O3" i="10"/>
  <c r="P2" i="10"/>
  <c r="O2" i="10"/>
  <c r="S2" i="10" s="1"/>
  <c r="O2" i="1"/>
  <c r="S35" i="10" l="1"/>
  <c r="S150" i="10"/>
  <c r="S217" i="10"/>
  <c r="S252" i="10"/>
  <c r="S365" i="10"/>
  <c r="S369" i="10"/>
  <c r="S569" i="10"/>
  <c r="S745" i="10"/>
  <c r="S856" i="10"/>
  <c r="S992" i="10"/>
  <c r="S1008" i="10"/>
  <c r="S1012" i="10"/>
  <c r="S1032" i="10"/>
  <c r="S154" i="10"/>
  <c r="S221" i="10"/>
  <c r="S8" i="10"/>
  <c r="S12" i="10"/>
  <c r="S16" i="10"/>
  <c r="S20" i="10"/>
  <c r="S24" i="10"/>
  <c r="S36" i="10"/>
  <c r="S135" i="10"/>
  <c r="S155" i="10"/>
  <c r="S163" i="10"/>
  <c r="S167" i="10"/>
  <c r="S214" i="10"/>
  <c r="S218" i="10"/>
  <c r="S222" i="10"/>
  <c r="S241" i="10"/>
  <c r="S245" i="10"/>
  <c r="S253" i="10"/>
  <c r="S261" i="10"/>
  <c r="S292" i="10"/>
  <c r="S296" i="10"/>
  <c r="S347" i="10"/>
  <c r="S354" i="10"/>
  <c r="S358" i="10"/>
  <c r="S366" i="10"/>
  <c r="S370" i="10"/>
  <c r="S374" i="10"/>
  <c r="S389" i="10"/>
  <c r="S412" i="10"/>
  <c r="S431" i="10"/>
  <c r="S439" i="10"/>
  <c r="S454" i="10"/>
  <c r="S514" i="10"/>
  <c r="S529" i="10"/>
  <c r="S541" i="10"/>
  <c r="S545" i="10"/>
  <c r="S581" i="10"/>
  <c r="S608" i="10"/>
  <c r="S670" i="10"/>
  <c r="S678" i="10"/>
  <c r="S682" i="10"/>
  <c r="S704" i="10"/>
  <c r="S724" i="10"/>
  <c r="S731" i="10"/>
  <c r="S734" i="10"/>
  <c r="S742" i="10"/>
  <c r="S753" i="10"/>
  <c r="S765" i="10"/>
  <c r="S773" i="10"/>
  <c r="S781" i="10"/>
  <c r="S830" i="10"/>
  <c r="S834" i="10"/>
  <c r="S849" i="10"/>
  <c r="S861" i="10"/>
  <c r="S869" i="10"/>
  <c r="S895" i="10"/>
  <c r="S899" i="10"/>
  <c r="S910" i="10"/>
  <c r="S914" i="10"/>
  <c r="S929" i="10"/>
  <c r="S948" i="10"/>
  <c r="S959" i="10"/>
  <c r="S989" i="10"/>
  <c r="S997" i="10"/>
  <c r="S1013" i="10"/>
  <c r="S1021" i="10"/>
  <c r="S1037" i="10"/>
  <c r="S64" i="10"/>
  <c r="S238" i="10"/>
  <c r="S269" i="10"/>
  <c r="S526" i="10"/>
  <c r="S578" i="10"/>
  <c r="S601" i="10"/>
  <c r="S605" i="10"/>
  <c r="S609" i="10"/>
  <c r="S625" i="10"/>
  <c r="S640" i="10"/>
  <c r="S705" i="10"/>
  <c r="S793" i="10"/>
  <c r="S801" i="10"/>
  <c r="S846" i="10"/>
  <c r="S888" i="10"/>
  <c r="S926" i="10"/>
  <c r="S952" i="10"/>
  <c r="S974" i="10"/>
  <c r="S168" i="10"/>
  <c r="S262" i="10"/>
  <c r="S297" i="10"/>
  <c r="S390" i="10"/>
  <c r="S546" i="10"/>
  <c r="S586" i="10"/>
  <c r="S702" i="10"/>
  <c r="S706" i="10"/>
  <c r="S721" i="10"/>
  <c r="S728" i="10"/>
  <c r="S740" i="10"/>
  <c r="S790" i="10"/>
  <c r="S802" i="10"/>
  <c r="S828" i="10"/>
  <c r="S847" i="10"/>
  <c r="S851" i="10"/>
  <c r="S881" i="10"/>
  <c r="S893" i="10"/>
  <c r="S896" i="10"/>
  <c r="S975" i="10"/>
  <c r="S979" i="10"/>
  <c r="S998" i="10"/>
  <c r="S1022" i="10"/>
  <c r="S128" i="10"/>
  <c r="S136" i="10"/>
  <c r="S164" i="10"/>
  <c r="S22" i="10"/>
  <c r="S30" i="10"/>
  <c r="S38" i="10"/>
  <c r="S85" i="10"/>
  <c r="S89" i="10"/>
  <c r="S117" i="10"/>
  <c r="S137" i="10"/>
  <c r="S141" i="10"/>
  <c r="S169" i="10"/>
  <c r="S173" i="10"/>
  <c r="S181" i="10"/>
  <c r="S259" i="10"/>
  <c r="S263" i="10"/>
  <c r="S274" i="10"/>
  <c r="S278" i="10"/>
  <c r="S282" i="10"/>
  <c r="S294" i="10"/>
  <c r="S302" i="10"/>
  <c r="S306" i="10"/>
  <c r="S321" i="10"/>
  <c r="S360" i="10"/>
  <c r="S364" i="10"/>
  <c r="S372" i="10"/>
  <c r="S391" i="10"/>
  <c r="S417" i="10"/>
  <c r="S429" i="10"/>
  <c r="S433" i="10"/>
  <c r="S437" i="10"/>
  <c r="S460" i="10"/>
  <c r="S468" i="10"/>
  <c r="S487" i="10"/>
  <c r="S494" i="10"/>
  <c r="S501" i="10"/>
  <c r="S509" i="10"/>
  <c r="S554" i="10"/>
  <c r="S622" i="10"/>
  <c r="S630" i="10"/>
  <c r="S649" i="10"/>
  <c r="S916" i="10"/>
  <c r="S935" i="10"/>
  <c r="S54" i="10"/>
  <c r="S58" i="10"/>
  <c r="S66" i="10"/>
  <c r="S70" i="10"/>
  <c r="S94" i="10"/>
  <c r="S98" i="10"/>
  <c r="S102" i="10"/>
  <c r="S106" i="10"/>
  <c r="S118" i="10"/>
  <c r="S122" i="10"/>
  <c r="S130" i="10"/>
  <c r="S197" i="10"/>
  <c r="S201" i="10"/>
  <c r="S205" i="10"/>
  <c r="S236" i="10"/>
  <c r="S240" i="10"/>
  <c r="S244" i="10"/>
  <c r="S271" i="10"/>
  <c r="S310" i="10"/>
  <c r="S322" i="10"/>
  <c r="S326" i="10"/>
  <c r="S330" i="10"/>
  <c r="S334" i="10"/>
  <c r="S395" i="10"/>
  <c r="S399" i="10"/>
  <c r="S407" i="10"/>
  <c r="S418" i="10"/>
  <c r="S422" i="10"/>
  <c r="S441" i="10"/>
  <c r="S445" i="10"/>
  <c r="S453" i="10"/>
  <c r="S461" i="10"/>
  <c r="S465" i="10"/>
  <c r="S484" i="10"/>
  <c r="S491" i="10"/>
  <c r="S498" i="10"/>
  <c r="S524" i="10"/>
  <c r="S528" i="10"/>
  <c r="S532" i="10"/>
  <c r="S580" i="10"/>
  <c r="S599" i="10"/>
  <c r="S607" i="10"/>
  <c r="S615" i="10"/>
  <c r="S623" i="10"/>
  <c r="S634" i="10"/>
  <c r="S638" i="10"/>
  <c r="S646" i="10"/>
  <c r="S650" i="10"/>
  <c r="S692" i="10"/>
  <c r="S703" i="10"/>
  <c r="S707" i="10"/>
  <c r="S718" i="10"/>
  <c r="S744" i="10"/>
  <c r="S756" i="10"/>
  <c r="S799" i="10"/>
  <c r="S803" i="10"/>
  <c r="S806" i="10"/>
  <c r="S814" i="10"/>
  <c r="S818" i="10"/>
  <c r="S832" i="10"/>
  <c r="S844" i="10"/>
  <c r="S852" i="10"/>
  <c r="S871" i="10"/>
  <c r="S875" i="10"/>
  <c r="S878" i="10"/>
  <c r="S886" i="10"/>
  <c r="S890" i="10"/>
  <c r="S924" i="10"/>
  <c r="S932" i="10"/>
  <c r="S954" i="10"/>
  <c r="S965" i="10"/>
  <c r="S980" i="10"/>
  <c r="S75" i="10"/>
  <c r="S305" i="10"/>
  <c r="S760" i="10"/>
  <c r="S61" i="10"/>
  <c r="S104" i="10"/>
  <c r="S497" i="10"/>
  <c r="S713" i="10"/>
  <c r="S864" i="10"/>
  <c r="S50" i="10"/>
  <c r="S681" i="10"/>
  <c r="S857" i="10"/>
  <c r="S18" i="10"/>
  <c r="S11" i="10"/>
  <c r="S720" i="10"/>
  <c r="S768" i="10"/>
  <c r="S1033" i="10"/>
  <c r="S65" i="10"/>
  <c r="S100" i="10"/>
  <c r="S889" i="10"/>
  <c r="S165" i="10"/>
  <c r="S249" i="10"/>
  <c r="S688" i="10"/>
  <c r="S43" i="10"/>
  <c r="S93" i="10"/>
  <c r="S25" i="10"/>
  <c r="S29" i="10"/>
  <c r="S40" i="10"/>
  <c r="S90" i="10"/>
  <c r="S125" i="10"/>
  <c r="S129" i="10"/>
  <c r="S140" i="10"/>
  <c r="S228" i="10"/>
  <c r="S232" i="10"/>
  <c r="S276" i="10"/>
  <c r="S280" i="10"/>
  <c r="S346" i="10"/>
  <c r="S394" i="10"/>
  <c r="S467" i="10"/>
  <c r="S543" i="10"/>
  <c r="S550" i="10"/>
  <c r="S553" i="10"/>
  <c r="S564" i="10"/>
  <c r="S644" i="10"/>
  <c r="S19" i="10"/>
  <c r="S62" i="10"/>
  <c r="S76" i="10"/>
  <c r="S225" i="10"/>
  <c r="S353" i="10"/>
  <c r="S505" i="10"/>
  <c r="S521" i="10"/>
  <c r="S633" i="10"/>
  <c r="S817" i="10"/>
  <c r="S824" i="10"/>
  <c r="S937" i="10"/>
  <c r="S961" i="10"/>
  <c r="S1000" i="10"/>
  <c r="S1041" i="10"/>
  <c r="S101" i="10"/>
  <c r="S115" i="10"/>
  <c r="S177" i="10"/>
  <c r="S537" i="10"/>
  <c r="S641" i="10"/>
  <c r="S656" i="10"/>
  <c r="S689" i="10"/>
  <c r="S696" i="10"/>
  <c r="S912" i="10"/>
  <c r="S944" i="10"/>
  <c r="S968" i="10"/>
  <c r="S27" i="10"/>
  <c r="S313" i="10"/>
  <c r="S425" i="10"/>
  <c r="S616" i="10"/>
  <c r="S792" i="10"/>
  <c r="S800" i="10"/>
  <c r="S840" i="10"/>
  <c r="S1016" i="10"/>
  <c r="S10" i="10"/>
  <c r="S14" i="10"/>
  <c r="S17" i="10"/>
  <c r="S21" i="10"/>
  <c r="S28" i="10"/>
  <c r="S46" i="10"/>
  <c r="S49" i="10"/>
  <c r="S53" i="10"/>
  <c r="S57" i="10"/>
  <c r="S60" i="10"/>
  <c r="S68" i="10"/>
  <c r="S71" i="10"/>
  <c r="S74" i="10"/>
  <c r="S92" i="10"/>
  <c r="S113" i="10"/>
  <c r="S124" i="10"/>
  <c r="S132" i="10"/>
  <c r="S149" i="10"/>
  <c r="S153" i="10"/>
  <c r="S216" i="10"/>
  <c r="S258" i="10"/>
  <c r="S268" i="10"/>
  <c r="S275" i="10"/>
  <c r="S286" i="10"/>
  <c r="S289" i="10"/>
  <c r="S300" i="10"/>
  <c r="S314" i="10"/>
  <c r="S324" i="10"/>
  <c r="S331" i="10"/>
  <c r="S341" i="10"/>
  <c r="S527" i="10"/>
  <c r="S556" i="10"/>
  <c r="S559" i="10"/>
  <c r="S566" i="10"/>
  <c r="S602" i="10"/>
  <c r="S613" i="10"/>
  <c r="S723" i="10"/>
  <c r="S730" i="10"/>
  <c r="S767" i="10"/>
  <c r="S771" i="10"/>
  <c r="S785" i="10"/>
  <c r="S797" i="10"/>
  <c r="S826" i="10"/>
  <c r="S833" i="10"/>
  <c r="S892" i="10"/>
  <c r="S913" i="10"/>
  <c r="S920" i="10"/>
  <c r="S1009" i="10"/>
  <c r="S26" i="10"/>
  <c r="S51" i="10"/>
  <c r="S126" i="10"/>
  <c r="S481" i="10"/>
  <c r="S865" i="10"/>
  <c r="S985" i="10"/>
  <c r="S281" i="10"/>
  <c r="S784" i="10"/>
  <c r="S905" i="10"/>
  <c r="S993" i="10"/>
  <c r="S34" i="10"/>
  <c r="S78" i="10"/>
  <c r="S82" i="10"/>
  <c r="S96" i="10"/>
  <c r="S99" i="10"/>
  <c r="S103" i="10"/>
  <c r="S107" i="10"/>
  <c r="S110" i="10"/>
  <c r="S121" i="10"/>
  <c r="S143" i="10"/>
  <c r="S172" i="10"/>
  <c r="S175" i="10"/>
  <c r="S182" i="10"/>
  <c r="S196" i="10"/>
  <c r="S199" i="10"/>
  <c r="S202" i="10"/>
  <c r="S209" i="10"/>
  <c r="S283" i="10"/>
  <c r="S290" i="10"/>
  <c r="S304" i="10"/>
  <c r="S386" i="10"/>
  <c r="S413" i="10"/>
  <c r="S436" i="10"/>
  <c r="S577" i="10"/>
  <c r="S591" i="10"/>
  <c r="S606" i="10"/>
  <c r="S658" i="10"/>
  <c r="S698" i="10"/>
  <c r="S779" i="10"/>
  <c r="S786" i="10"/>
  <c r="S900" i="10"/>
  <c r="S585" i="10"/>
  <c r="S617" i="10"/>
  <c r="S664" i="10"/>
  <c r="S761" i="10"/>
  <c r="S872" i="10"/>
  <c r="S1024" i="10"/>
  <c r="S145" i="10"/>
  <c r="S152" i="10"/>
  <c r="S159" i="10"/>
  <c r="S166" i="10"/>
  <c r="S176" i="10"/>
  <c r="S187" i="10"/>
  <c r="S190" i="10"/>
  <c r="S193" i="10"/>
  <c r="S220" i="10"/>
  <c r="S231" i="10"/>
  <c r="S234" i="10"/>
  <c r="S251" i="10"/>
  <c r="S254" i="10"/>
  <c r="S257" i="10"/>
  <c r="S284" i="10"/>
  <c r="S295" i="10"/>
  <c r="S298" i="10"/>
  <c r="S315" i="10"/>
  <c r="S325" i="10"/>
  <c r="S345" i="10"/>
  <c r="S356" i="10"/>
  <c r="S359" i="10"/>
  <c r="S362" i="10"/>
  <c r="S385" i="10"/>
  <c r="S400" i="10"/>
  <c r="S403" i="10"/>
  <c r="S406" i="10"/>
  <c r="S446" i="10"/>
  <c r="S449" i="10"/>
  <c r="S503" i="10"/>
  <c r="S534" i="10"/>
  <c r="S636" i="10"/>
  <c r="S657" i="10"/>
  <c r="S669" i="10"/>
  <c r="S672" i="10"/>
  <c r="S729" i="10"/>
  <c r="S736" i="10"/>
  <c r="S755" i="10"/>
  <c r="S762" i="10"/>
  <c r="S769" i="10"/>
  <c r="S795" i="10"/>
  <c r="S809" i="10"/>
  <c r="S816" i="10"/>
  <c r="S841" i="10"/>
  <c r="S845" i="10"/>
  <c r="S848" i="10"/>
  <c r="S936" i="10"/>
  <c r="S947" i="10"/>
  <c r="S953" i="10"/>
  <c r="S960" i="10"/>
  <c r="S971" i="10"/>
  <c r="S977" i="10"/>
  <c r="S984" i="10"/>
  <c r="S996" i="10"/>
  <c r="S1017" i="10"/>
  <c r="S332" i="10"/>
  <c r="S335" i="10"/>
  <c r="S338" i="10"/>
  <c r="S348" i="10"/>
  <c r="S355" i="10"/>
  <c r="S375" i="10"/>
  <c r="S378" i="10"/>
  <c r="S410" i="10"/>
  <c r="S414" i="10"/>
  <c r="S427" i="10"/>
  <c r="S450" i="10"/>
  <c r="S463" i="10"/>
  <c r="S472" i="10"/>
  <c r="S476" i="10"/>
  <c r="S489" i="10"/>
  <c r="S568" i="10"/>
  <c r="S593" i="10"/>
  <c r="S600" i="10"/>
  <c r="S618" i="10"/>
  <c r="S642" i="10"/>
  <c r="S648" i="10"/>
  <c r="S655" i="10"/>
  <c r="S659" i="10"/>
  <c r="S666" i="10"/>
  <c r="S732" i="10"/>
  <c r="S735" i="10"/>
  <c r="S739" i="10"/>
  <c r="S746" i="10"/>
  <c r="S752" i="10"/>
  <c r="S763" i="10"/>
  <c r="S770" i="10"/>
  <c r="S776" i="10"/>
  <c r="S787" i="10"/>
  <c r="S794" i="10"/>
  <c r="S860" i="10"/>
  <c r="S863" i="10"/>
  <c r="S867" i="10"/>
  <c r="S873" i="10"/>
  <c r="S897" i="10"/>
  <c r="S921" i="10"/>
  <c r="S928" i="10"/>
  <c r="S939" i="10"/>
  <c r="S945" i="10"/>
  <c r="S963" i="10"/>
  <c r="S969" i="10"/>
  <c r="S983" i="10"/>
  <c r="S987" i="10"/>
  <c r="S994" i="10"/>
  <c r="S1018" i="10"/>
  <c r="S536" i="10"/>
  <c r="S572" i="10"/>
  <c r="S575" i="10"/>
  <c r="S594" i="10"/>
  <c r="S691" i="10"/>
  <c r="S715" i="10"/>
  <c r="S819" i="10"/>
  <c r="S843" i="10"/>
  <c r="S874" i="10"/>
  <c r="S891" i="10"/>
  <c r="S898" i="10"/>
  <c r="S911" i="10"/>
  <c r="S915" i="10"/>
  <c r="S922" i="10"/>
  <c r="S946" i="10"/>
  <c r="S970" i="10"/>
  <c r="S1036" i="10"/>
  <c r="S55" i="10"/>
  <c r="S119" i="10"/>
  <c r="S203" i="10"/>
  <c r="S215" i="10"/>
  <c r="S267" i="10"/>
  <c r="S279" i="10"/>
  <c r="S343" i="10"/>
  <c r="S411" i="10"/>
  <c r="S111" i="10"/>
  <c r="S179" i="10"/>
  <c r="S191" i="10"/>
  <c r="S243" i="10"/>
  <c r="S255" i="10"/>
  <c r="S307" i="10"/>
  <c r="S319" i="10"/>
  <c r="S547" i="10"/>
  <c r="S579" i="10"/>
  <c r="S783" i="10"/>
  <c r="S87" i="10"/>
  <c r="S151" i="10"/>
  <c r="S171" i="10"/>
  <c r="S183" i="10"/>
  <c r="S235" i="10"/>
  <c r="S247" i="10"/>
  <c r="S299" i="10"/>
  <c r="S311" i="10"/>
  <c r="S475" i="10"/>
  <c r="S719" i="10"/>
  <c r="S387" i="10"/>
  <c r="S451" i="10"/>
  <c r="S507" i="10"/>
  <c r="S539" i="10"/>
  <c r="S571" i="10"/>
  <c r="S595" i="10"/>
  <c r="S611" i="10"/>
  <c r="S627" i="10"/>
  <c r="S663" i="10"/>
  <c r="S727" i="10"/>
  <c r="S791" i="10"/>
  <c r="S855" i="10"/>
  <c r="S919" i="10"/>
  <c r="S379" i="10"/>
  <c r="S443" i="10"/>
  <c r="S519" i="10"/>
  <c r="S551" i="10"/>
  <c r="S583" i="10"/>
  <c r="S687" i="10"/>
  <c r="S751" i="10"/>
  <c r="S815" i="10"/>
  <c r="S879" i="10"/>
  <c r="S943" i="10"/>
  <c r="S1007" i="10"/>
  <c r="S371" i="10"/>
  <c r="S435" i="10"/>
  <c r="S499" i="10"/>
  <c r="S531" i="10"/>
  <c r="S563" i="10"/>
  <c r="S647" i="10"/>
  <c r="S711" i="10"/>
  <c r="S775" i="10"/>
  <c r="S839" i="10"/>
  <c r="S903" i="10"/>
  <c r="S967" i="10"/>
  <c r="S1031" i="10"/>
  <c r="S419" i="10"/>
  <c r="S483" i="10"/>
  <c r="S523" i="10"/>
  <c r="S555" i="10"/>
  <c r="S587" i="10"/>
  <c r="S603" i="10"/>
  <c r="S619" i="10"/>
  <c r="S635" i="10"/>
  <c r="S695" i="10"/>
  <c r="S759" i="10"/>
  <c r="S823" i="10"/>
  <c r="S887" i="10"/>
  <c r="S951" i="10"/>
  <c r="S1015" i="10"/>
  <c r="B11" i="7" l="1"/>
  <c r="B10" i="7"/>
  <c r="B9" i="7"/>
  <c r="B8" i="7"/>
  <c r="B7" i="7"/>
  <c r="B6" i="7"/>
  <c r="B5" i="7"/>
  <c r="B4" i="7"/>
  <c r="B3" i="7"/>
  <c r="B2" i="7"/>
  <c r="S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</calcChain>
</file>

<file path=xl/sharedStrings.xml><?xml version="1.0" encoding="utf-8"?>
<sst xmlns="http://schemas.openxmlformats.org/spreadsheetml/2006/main" count="11076" uniqueCount="1451">
  <si>
    <t>Name</t>
  </si>
  <si>
    <t>Neighbourhood</t>
  </si>
  <si>
    <t>Neighbourhood Group</t>
  </si>
  <si>
    <t>Latitude</t>
  </si>
  <si>
    <t>Longitude</t>
  </si>
  <si>
    <t>Room Type</t>
  </si>
  <si>
    <t>Accommodates</t>
  </si>
  <si>
    <t>Bathrooms</t>
  </si>
  <si>
    <t>Bedrooms</t>
  </si>
  <si>
    <t>Beds</t>
  </si>
  <si>
    <t>Minimum Nights</t>
  </si>
  <si>
    <t>Availability 365</t>
  </si>
  <si>
    <t>Number of Reviews</t>
  </si>
  <si>
    <t>Reviews per Month</t>
  </si>
  <si>
    <t>Price</t>
  </si>
  <si>
    <t>Last Review</t>
  </si>
  <si>
    <t>Kensington</t>
  </si>
  <si>
    <t>Brooklyn</t>
  </si>
  <si>
    <t>Private room</t>
  </si>
  <si>
    <t>Midtown</t>
  </si>
  <si>
    <t>Manhattan</t>
  </si>
  <si>
    <t>Entire home/apt</t>
  </si>
  <si>
    <t>Sunset Park</t>
  </si>
  <si>
    <t>Williamsburg</t>
  </si>
  <si>
    <t>East Harlem</t>
  </si>
  <si>
    <t>UES Beautiful Blue Room</t>
  </si>
  <si>
    <t>Fort Greene</t>
  </si>
  <si>
    <t>Bedford-Stuyvesant</t>
  </si>
  <si>
    <t>Harlem</t>
  </si>
  <si>
    <t>Ridgewood</t>
  </si>
  <si>
    <t>Queens</t>
  </si>
  <si>
    <t>Bronx</t>
  </si>
  <si>
    <t>Morningside Heights</t>
  </si>
  <si>
    <t>Park Slope</t>
  </si>
  <si>
    <t>Large Room pr/h Br/St in Park Slope</t>
  </si>
  <si>
    <t>40.68009896425498</t>
  </si>
  <si>
    <t>Upper East Side</t>
  </si>
  <si>
    <t>Ditmars Steinway</t>
  </si>
  <si>
    <t>Hell's Kitchen</t>
  </si>
  <si>
    <t>Radiant Oasis  B&amp;B Style room</t>
  </si>
  <si>
    <t>Flatbush</t>
  </si>
  <si>
    <t>East Village</t>
  </si>
  <si>
    <t>Greenpoint</t>
  </si>
  <si>
    <t>Lower East Side</t>
  </si>
  <si>
    <t>Jamaica</t>
  </si>
  <si>
    <t>Chelsea</t>
  </si>
  <si>
    <t>Brooklyn Heights</t>
  </si>
  <si>
    <t>The Brownstone-Luxury 1 Bd Apt/NYC</t>
  </si>
  <si>
    <t>Greenwich Village</t>
  </si>
  <si>
    <t>Kips Bay</t>
  </si>
  <si>
    <t>West Village</t>
  </si>
  <si>
    <t>Carroll Gardens</t>
  </si>
  <si>
    <t>City Room - Private Luxury Suite</t>
  </si>
  <si>
    <t>Upper West Side</t>
  </si>
  <si>
    <t>Eastchester</t>
  </si>
  <si>
    <t>South Slope</t>
  </si>
  <si>
    <t>Crown Heights</t>
  </si>
  <si>
    <t>Nolita</t>
  </si>
  <si>
    <t>Gowanus</t>
  </si>
  <si>
    <t>Clinton Hill</t>
  </si>
  <si>
    <t>East Flatbush</t>
  </si>
  <si>
    <t>Astoria</t>
  </si>
  <si>
    <t>Chinatown</t>
  </si>
  <si>
    <t>Retreat in Williamsburg</t>
  </si>
  <si>
    <t>Prospect Heights</t>
  </si>
  <si>
    <t>Boerum Hill</t>
  </si>
  <si>
    <t>Sunnyside</t>
  </si>
  <si>
    <t>Bushwick</t>
  </si>
  <si>
    <t>Washington Heights</t>
  </si>
  <si>
    <t>Historical space with exceptional light &amp; art</t>
  </si>
  <si>
    <t>Vinegar Hill</t>
  </si>
  <si>
    <t>Kingsbridge</t>
  </si>
  <si>
    <t>Gramercy</t>
  </si>
  <si>
    <t>Long Island City</t>
  </si>
  <si>
    <t>Tribeca</t>
  </si>
  <si>
    <t>Windsor Terrace</t>
  </si>
  <si>
    <t>Gravesend</t>
  </si>
  <si>
    <t>Contemporary &amp; Classic Sanctuary on the Hudson</t>
  </si>
  <si>
    <t>Theater District</t>
  </si>
  <si>
    <t>Cozy entire studio Apartment</t>
  </si>
  <si>
    <t>Rego Park</t>
  </si>
  <si>
    <t>Private clean spacious room - Across from subway</t>
  </si>
  <si>
    <t>Woodside</t>
  </si>
  <si>
    <t>Inwood</t>
  </si>
  <si>
    <t>Prospect-Lefferts Gardens</t>
  </si>
  <si>
    <t>Little Italy</t>
  </si>
  <si>
    <t>SoHo</t>
  </si>
  <si>
    <t>Sheepshead Bay</t>
  </si>
  <si>
    <t>Welcome to Brooklyn! Bed-Stuy</t>
  </si>
  <si>
    <t>Elmhurst</t>
  </si>
  <si>
    <t>Large Double Room  Queenbed Wifi</t>
  </si>
  <si>
    <t>Staten Island</t>
  </si>
  <si>
    <t>Bensonhurst</t>
  </si>
  <si>
    <t>Shore Acres</t>
  </si>
  <si>
    <t>East New York</t>
  </si>
  <si>
    <t>Murray Hill</t>
  </si>
  <si>
    <t>Maspeth</t>
  </si>
  <si>
    <t>Battery Park City</t>
  </si>
  <si>
    <t>Fort Hamilton</t>
  </si>
  <si>
    <t>Jackson Heights</t>
  </si>
  <si>
    <t>*Extremely Rare* Private Midtown Garden Oasis Loft</t>
  </si>
  <si>
    <t>East Elmhurst</t>
  </si>
  <si>
    <t>Tompkinsville</t>
  </si>
  <si>
    <t>Romantic, spacious garden apt with full kitchen</t>
  </si>
  <si>
    <t>Cobble Hill</t>
  </si>
  <si>
    <t>1 Bed 1 Bath Apartment Heart of Union Square</t>
  </si>
  <si>
    <t>Melrose</t>
  </si>
  <si>
    <t>Elegant Stuyvesant Heights Retreat</t>
  </si>
  <si>
    <t>Gorgeous sunny prime SoHo 1BR Apt.</t>
  </si>
  <si>
    <t>Bed &amp; Bathroom in Williamsburg Loft</t>
  </si>
  <si>
    <t>40.710065068054384</t>
  </si>
  <si>
    <t>Bayside</t>
  </si>
  <si>
    <t>Art-Design-Circus Loft</t>
  </si>
  <si>
    <t>Flushing</t>
  </si>
  <si>
    <t>College Point</t>
  </si>
  <si>
    <t>Brooklyn Apt: 1 Bedroom w/Garden</t>
  </si>
  <si>
    <t>Luxury Furnished 1BR _ Special Discount Longterm</t>
  </si>
  <si>
    <t>Chic, quiet 1BR with patio (steps from the subway)</t>
  </si>
  <si>
    <t>Awesome balcony apt W Parking! 1 Block to Subway!</t>
  </si>
  <si>
    <t>Concourse</t>
  </si>
  <si>
    <t>Behind the Red Door II</t>
  </si>
  <si>
    <t>City Island</t>
  </si>
  <si>
    <t>Bay Ridge</t>
  </si>
  <si>
    <t>Chic Central Park North Room</t>
  </si>
  <si>
    <t>Cozy &amp; Private Fort Green Cottage</t>
  </si>
  <si>
    <t>Sunny Beach House type room on UWS</t>
  </si>
  <si>
    <t>Arverne</t>
  </si>
  <si>
    <t>Richmond Hill</t>
  </si>
  <si>
    <t>Glendale</t>
  </si>
  <si>
    <t>Longwood</t>
  </si>
  <si>
    <t>Family Friendly Near Subway Astoria-NYC Home Share</t>
  </si>
  <si>
    <t>Financial District</t>
  </si>
  <si>
    <t>Canarsie</t>
  </si>
  <si>
    <t>One bedroom apartment - UES</t>
  </si>
  <si>
    <t>Queens Village</t>
  </si>
  <si>
    <t>Williamsbridge</t>
  </si>
  <si>
    <t>Private  Studio with workstation  Museum Block UWS</t>
  </si>
  <si>
    <t>Parkchester</t>
  </si>
  <si>
    <t>Bronxdale</t>
  </si>
  <si>
    <t>1200 Sq ft paradise in Williamsburg</t>
  </si>
  <si>
    <t>Sea Gate</t>
  </si>
  <si>
    <t>Brooklyn Charm, Close to Manhattan (30+ days only)</t>
  </si>
  <si>
    <t>Flatlands</t>
  </si>
  <si>
    <t>Large 1 bedroom apartment in Murray Hill</t>
  </si>
  <si>
    <t>PRIME 1br in Williamsburg</t>
  </si>
  <si>
    <t>Ozone Park</t>
  </si>
  <si>
    <t>Clifton</t>
  </si>
  <si>
    <t>Modern 1-Bed Near Central Park</t>
  </si>
  <si>
    <t>Cozy &amp; Modern Studio | Central Park</t>
  </si>
  <si>
    <t>Woodhaven</t>
  </si>
  <si>
    <t>Borough Park</t>
  </si>
  <si>
    <t>Perfect NYC Flat! Modern/ROOMBA CLEANER</t>
  </si>
  <si>
    <t>Cozy Private RM Near Central Park N</t>
  </si>
  <si>
    <t>The Lincoln</t>
  </si>
  <si>
    <t>Mount Hope</t>
  </si>
  <si>
    <t>â€œHome Away from Homeâ€ - Room Near Train &amp; Bus</t>
  </si>
  <si>
    <t>Huguenot</t>
  </si>
  <si>
    <t>Midwood</t>
  </si>
  <si>
    <t>Bright &amp; New Reno, Quiet Block</t>
  </si>
  <si>
    <t>West Village Loft, 2nd floor</t>
  </si>
  <si>
    <t>Wakefield</t>
  </si>
  <si>
    <t>Forest Hills</t>
  </si>
  <si>
    <t>Contemporary Comfort w/ a High-Rise View</t>
  </si>
  <si>
    <t>Boho Room in Art &amp; Plant Oasis! Steps to SI Ferry!</t>
  </si>
  <si>
    <t>St. George</t>
  </si>
  <si>
    <t>Sunny 1-BR Apt with Soaking Tub</t>
  </si>
  <si>
    <t>Brownstone Beauty</t>
  </si>
  <si>
    <t>Turn of the Century Railroad Flat/monthly or more</t>
  </si>
  <si>
    <t>Modern, spacious flat in upper Manhattan</t>
  </si>
  <si>
    <t>Unionport</t>
  </si>
  <si>
    <t>Large Garden Alcove Studio Apartment in Manhattan</t>
  </si>
  <si>
    <t>Charming Chelsea 1 bedroom</t>
  </si>
  <si>
    <t>Private Mini Loft, Huge Private Terrace/City Views</t>
  </si>
  <si>
    <t>Spacious UWS Apt. by Central Park</t>
  </si>
  <si>
    <t>SOHA Clean &amp; Cozy ZEN-Style Bdrm 1 Person - Harlem</t>
  </si>
  <si>
    <t>The Hamilton Guestroom</t>
  </si>
  <si>
    <t>Pretty and Private in Clinton Hill</t>
  </si>
  <si>
    <t>Furnished 2BR in UES (30 DAYS MIN)</t>
  </si>
  <si>
    <t>Bellerose</t>
  </si>
  <si>
    <t>Flatiron District</t>
  </si>
  <si>
    <t>Spacious 1 Bedroom Apartment</t>
  </si>
  <si>
    <t>Stylish  Shared Apt w Large Private Room</t>
  </si>
  <si>
    <t>40.73377668433765</t>
  </si>
  <si>
    <t>Spacious 1BR Apartment</t>
  </si>
  <si>
    <t>Upper East  Beautiful Studio near NYC Hospitals</t>
  </si>
  <si>
    <t>Morris Park</t>
  </si>
  <si>
    <t>Upper East Cozy studio close to NYC Hospitals</t>
  </si>
  <si>
    <t>61-2A  Large 1BR in Upper East Side</t>
  </si>
  <si>
    <t>Private  Bedroom &amp; Bathroom</t>
  </si>
  <si>
    <t>South Ozone Park</t>
  </si>
  <si>
    <t>Location! Room with Garden Access</t>
  </si>
  <si>
    <t>Authentic New York Vintage Home</t>
  </si>
  <si>
    <t>40.62120168712185</t>
  </si>
  <si>
    <t>Jamaica Estates</t>
  </si>
  <si>
    <t>East Village -  Beautiful 1 Bedroom</t>
  </si>
  <si>
    <t>40.732200622558594</t>
  </si>
  <si>
    <t>Cypress Hills</t>
  </si>
  <si>
    <t>West Brighton</t>
  </si>
  <si>
    <t>Brooklyn Zen Gem w/Personal Balcony</t>
  </si>
  <si>
    <t>40.62562942504883</t>
  </si>
  <si>
    <t>Sunny Deck and Private Garden</t>
  </si>
  <si>
    <t>Springfield Gardens</t>
  </si>
  <si>
    <t>Marble Hill</t>
  </si>
  <si>
    <t>Best of NYC: Steps from CentralPark/LincolnCenter</t>
  </si>
  <si>
    <t>Spacious and nice 2BR near Subway</t>
  </si>
  <si>
    <t>Brownsville</t>
  </si>
  <si>
    <t>Park Slope sweet cozy home! Wifi!</t>
  </si>
  <si>
    <t>Hunts Point</t>
  </si>
  <si>
    <t>Modern 1 Bedroom in Dumbo / Vinegar Hill</t>
  </si>
  <si>
    <t>Fort Greene Sanctuary</t>
  </si>
  <si>
    <t>Sunny family-friendly Brooklyn 2-br with parking</t>
  </si>
  <si>
    <t>Extraordinary One Bedroom Apartment</t>
  </si>
  <si>
    <t>9â€™ x15â€™ Beautiful and Cozy Private Room</t>
  </si>
  <si>
    <t>Prolonged Traveler's Dream.</t>
  </si>
  <si>
    <t>Easy Access, Cute Space</t>
  </si>
  <si>
    <t>Room with the view in the heart of NYC</t>
  </si>
  <si>
    <t>#1 Family House 7min to Manhattan Up To 7 Guest</t>
  </si>
  <si>
    <t>Howard Beach</t>
  </si>
  <si>
    <t>Original Old Skool 2 Bedroom Brooklyn LOFT</t>
  </si>
  <si>
    <t>Fresh Meadows</t>
  </si>
  <si>
    <t>Parkway Chic ( 2 Bedrooms)</t>
  </si>
  <si>
    <t>40.66715615861318</t>
  </si>
  <si>
    <t>Light, Bright and Cozy!</t>
  </si>
  <si>
    <t>Private bedroom in great LES spot</t>
  </si>
  <si>
    <t>Morrisania</t>
  </si>
  <si>
    <t>Sundrenched, Beautiful New Reno</t>
  </si>
  <si>
    <t>Stay here and love Williamsburg!!</t>
  </si>
  <si>
    <t>Serenity Space</t>
  </si>
  <si>
    <t>40.81088830997633</t>
  </si>
  <si>
    <t>My Casa Ur Home Away From Home</t>
  </si>
  <si>
    <t>Private Room in Williamsburg</t>
  </si>
  <si>
    <t>Entire level w/ private bath walk to LIRR</t>
  </si>
  <si>
    <t>Private Light-Filled 2-Room Space</t>
  </si>
  <si>
    <t>Private room in Bed Stuy brownstone with garden</t>
  </si>
  <si>
    <t>âœ´Comfy 2BR, Work Collection /(Long-term Flex)</t>
  </si>
  <si>
    <t>Cozy Private Garden Apartment</t>
  </si>
  <si>
    <t>Corona</t>
  </si>
  <si>
    <t>521 West 48-Great apartment</t>
  </si>
  <si>
    <t>Queen. Superfast WiFi, Clean, Quiet, Close Subway.</t>
  </si>
  <si>
    <t>165 East 89-Studio in Upper East Side</t>
  </si>
  <si>
    <t>Cozy Private Room</t>
  </si>
  <si>
    <t>Baychester</t>
  </si>
  <si>
    <t>Pelham Gardens</t>
  </si>
  <si>
    <t>SpotlessClean Huge 900sf 2BR+ Parking+ Near Subway</t>
  </si>
  <si>
    <t>Charming Cobble Hill Studio</t>
  </si>
  <si>
    <t>145 Mulberry- 2 bedroom</t>
  </si>
  <si>
    <t>The Gram VIII â€¢ Vibe 8565</t>
  </si>
  <si>
    <t>145 Mulberry-Renovated Studio in Little Italy</t>
  </si>
  <si>
    <t>Upper West Side One Bedroom on Central Park</t>
  </si>
  <si>
    <t>165 East 89-Studio Upper East Side</t>
  </si>
  <si>
    <t>Private Bath, Washer/Dryer, Code Entry</t>
  </si>
  <si>
    <t>Laurelton</t>
  </si>
  <si>
    <t>Private Room w/Kitchenette</t>
  </si>
  <si>
    <t>40.80763372164886</t>
  </si>
  <si>
    <t>Sunny Loft Elevator &amp; Park views</t>
  </si>
  <si>
    <t>DESIGNER STUDIO NEAR CENTRAL PARK UPPER EAST SIDE</t>
  </si>
  <si>
    <t>Beautiful Bushwick Bungalow w/Backyard</t>
  </si>
  <si>
    <t>Sunny 2bdrm Apt. near Bryant Park, Apt 2B</t>
  </si>
  <si>
    <t>Spacious Suite w. Private Entrance</t>
  </si>
  <si>
    <t>Cozy Apartment in Bed-Stuy</t>
  </si>
  <si>
    <t>Art-filled bright spacious 1 bedrm W'burg + deck</t>
  </si>
  <si>
    <t>A Small Kingdom in the Clouds</t>
  </si>
  <si>
    <t>521 West 48-Spacious 1 bedroom near Time Square</t>
  </si>
  <si>
    <t>Beautiful 1 bedroom apt. Williamsburg, Brooklyn</t>
  </si>
  <si>
    <t>St. Albans</t>
  </si>
  <si>
    <t>Claremont Village</t>
  </si>
  <si>
    <t>SALE! Zen Artist Loft Bright 1 bdrm/prkg/washr/dry</t>
  </si>
  <si>
    <t>40.74263706203754</t>
  </si>
  <si>
    <t>Serenity &amp; Charm in Brooklyn's Best Area (Legal)</t>
  </si>
  <si>
    <t>Art-filled bright spacious loft prime Wburg Brklyn</t>
  </si>
  <si>
    <t>My Harlem Haven</t>
  </si>
  <si>
    <t>1 Bedroom Apt, West 69th St, bwtn BWay &amp; Columbus</t>
  </si>
  <si>
    <t>South Beach</t>
  </si>
  <si>
    <t>Rosedale</t>
  </si>
  <si>
    <t>Musa Property</t>
  </si>
  <si>
    <t>Cambria Heights</t>
  </si>
  <si>
    <t>Kew Gardens Hills</t>
  </si>
  <si>
    <t>Huge space across from park, easy to Manhattan</t>
  </si>
  <si>
    <t>Dyker Heights</t>
  </si>
  <si>
    <t>Privacy, comfort, style in the heart of Park Slope</t>
  </si>
  <si>
    <t>1 of 3 bedrooms in sunny, boho-zen sanctuary</t>
  </si>
  <si>
    <t>40.69393269382359</t>
  </si>
  <si>
    <t>QUIET OASIS IN THE MIDDLE OF MANHATTAN NYC</t>
  </si>
  <si>
    <t>Bright &amp; cozy 1BR/Balcony next to 3 subways!</t>
  </si>
  <si>
    <t>Spacious 2BD in Brooklyn, NYC, 20 min to Manhattan</t>
  </si>
  <si>
    <t>Luxurious &amp; Modern, Private Deck + Great location</t>
  </si>
  <si>
    <t>Super Private suite 19 min fmJFK/Prvt bathroom</t>
  </si>
  <si>
    <t>Spacious Room in Manhattan</t>
  </si>
  <si>
    <t>Introvert's Haven: Bedroom w/ Private Living</t>
  </si>
  <si>
    <t>Cozy Manhattan Studio</t>
  </si>
  <si>
    <t>Shay's Place #1 ( 1 Bdrm. Apt ) 5 mins From JFK</t>
  </si>
  <si>
    <t>40.66835729406729</t>
  </si>
  <si>
    <t>â˜… NEW 2 BEDROOM APT NEXT TO CENTRAL PARK WESTâ˜…</t>
  </si>
  <si>
    <t>2C</t>
  </si>
  <si>
    <t>Classic East Village studio, best NYC neighborhood</t>
  </si>
  <si>
    <t>Edenwald</t>
  </si>
  <si>
    <t>Bath Beach</t>
  </si>
  <si>
    <t>Brooklyn Modern: Sunny 2BR</t>
  </si>
  <si>
    <t>Great room for students and tourists</t>
  </si>
  <si>
    <t>Cozy spacious rooms with natural sunlight</t>
  </si>
  <si>
    <t>40.67955790775354</t>
  </si>
  <si>
    <t>Private Entire Floor w/ Bathroom Bushwick/Bedstuy</t>
  </si>
  <si>
    <t>Spacious Ocean-Side Studio in Brooklyn w/Parking</t>
  </si>
  <si>
    <t>40.599094535091076</t>
  </si>
  <si>
    <t>Studio apartment near Columbus Circle/Central Park</t>
  </si>
  <si>
    <t>521 West 48-Two Bedroom Apartment in Midtown West</t>
  </si>
  <si>
    <t>Brooklyn Garden Apartment</t>
  </si>
  <si>
    <t>Quiet and Safe 7</t>
  </si>
  <si>
    <t>Gorgeous 1 Bedroom Apartment/ROOMBA CLEANER</t>
  </si>
  <si>
    <t>2A</t>
  </si>
  <si>
    <t>BRIGHT CHARMING STUDIO ON UPPER EAST SIDE</t>
  </si>
  <si>
    <t>Great Catch, Don't miss out!</t>
  </si>
  <si>
    <t>Upper Westside Charmer</t>
  </si>
  <si>
    <t>Comfy Guest room+private bathroom+ 300ft to Trains</t>
  </si>
  <si>
    <t>Cozy suite in Jackson Heights</t>
  </si>
  <si>
    <t>40.753985458828225</t>
  </si>
  <si>
    <t>Bedroom, Kitchenette and Bathroom - 1 Bed</t>
  </si>
  <si>
    <t>Gorgeous and Spacious Brooklyn 3 Bedroom home</t>
  </si>
  <si>
    <t>Queen Suite W Private Bathroom/Close to Manhattan</t>
  </si>
  <si>
    <t>Modern 1 BR Apt, Rooftop &amp; Gym in Williamsburg</t>
  </si>
  <si>
    <t>New Clean Private Room In Flushing</t>
  </si>
  <si>
    <t>The Lux Lex III â€¢ Vibe 8606</t>
  </si>
  <si>
    <t>Amazing room #1</t>
  </si>
  <si>
    <t>Cozy Junior One Bedroom apt in Greenwich Village</t>
  </si>
  <si>
    <t>Soulful minipenthouse perched over East Village</t>
  </si>
  <si>
    <t>2 BR NEW APT/Midtown West/ Manhattan A</t>
  </si>
  <si>
    <t>Private and Cozy Studio  Pelham Gardens - Bx, NY.</t>
  </si>
  <si>
    <t>CHIC and COZY- 1st stop out of Manhattan!</t>
  </si>
  <si>
    <t>Spacious 1 Bedroom Condo - NYC UES - Close to All!</t>
  </si>
  <si>
    <t>2 bedroom floor-thru in heart of Park Slope -</t>
  </si>
  <si>
    <t>Beautiful Brooklyn 2 bedroom space</t>
  </si>
  <si>
    <t>Modern Skyline View duplex private Roof loft room</t>
  </si>
  <si>
    <t>Modern 3BR/2Bath Entire Home 10 mins From JFK</t>
  </si>
  <si>
    <t>Private Crown Heights Brooklyn/Sterling 2/5 Trains</t>
  </si>
  <si>
    <t>40.662742193279485</t>
  </si>
  <si>
    <t>Your comfy legally registered abode in Brooklyn</t>
  </si>
  <si>
    <t>40.67191442461635</t>
  </si>
  <si>
    <t>Studio Sanctuary in Landmark Brownstone</t>
  </si>
  <si>
    <t>The Gram IV â€¢ Vibe 8603</t>
  </si>
  <si>
    <t>40.74156951904297</t>
  </si>
  <si>
    <t>Sublevel Penthouse Suite</t>
  </si>
  <si>
    <t>Hamilton Heights Sunny Studio, Manhattan</t>
  </si>
  <si>
    <t>Cute, Bright Private Attic Space</t>
  </si>
  <si>
    <t>Single Shared Bathroom</t>
  </si>
  <si>
    <t>Bed-Stuy Gem! A personal, peaceful space for you</t>
  </si>
  <si>
    <t>New York ROYAL NEST for LESS</t>
  </si>
  <si>
    <t>SINGLE SHARED BATHROOM</t>
  </si>
  <si>
    <t>Deluxe Bedroom - 30 minutes from Midtown!</t>
  </si>
  <si>
    <t>2 Bedroom Garden Apartment in Brooklyn</t>
  </si>
  <si>
    <t>Brooklyn Studio; Williamsburg to Manhattan - 10min</t>
  </si>
  <si>
    <t>Sunny One Bedroom in Bed Stuy Close to Train</t>
  </si>
  <si>
    <t>Modern Townhouse Apartment in Brooklyn</t>
  </si>
  <si>
    <t>Garden Oasis â€“ Sunny 3BR Duplex in Artsy Bed-Stuy</t>
  </si>
  <si>
    <t>Quiet 1 BR + WFH Retreat E 62nd St. Close to Park</t>
  </si>
  <si>
    <t>Whole floor is yours, 23 Minutes to Manhattan</t>
  </si>
  <si>
    <t>61st Street Northern Blvd</t>
  </si>
  <si>
    <t>Far Rockaway</t>
  </si>
  <si>
    <t>Sunny Studio Williamsburg w/ Private Bath&amp;Entrance</t>
  </si>
  <si>
    <t>Artist Studio Apartment</t>
  </si>
  <si>
    <t>40.745330810546875</t>
  </si>
  <si>
    <t>One bedroom Garden Apartment</t>
  </si>
  <si>
    <t>Art &amp; Design Private Oasis in Prime Williamsburg</t>
  </si>
  <si>
    <t>JFKShortStay  Book 1-2.Rms. 1 Pvt. bath</t>
  </si>
  <si>
    <t>40.69083944352494</t>
  </si>
  <si>
    <t>Spacious duplex in Williamsburg - furnished 2 bedr</t>
  </si>
  <si>
    <t>*Spacious 3BR Near Columbia Uni &amp; Riverside Park*</t>
  </si>
  <si>
    <t>Stunning Renovation &amp; Private Garden</t>
  </si>
  <si>
    <t>Quirky, Cozy 1 Bedroom Garden level Apt.</t>
  </si>
  <si>
    <t>Awesome Cozy Room in The Heart of Sunnyside!</t>
  </si>
  <si>
    <t>Modern, cozy studio apartment with wash and dry!</t>
  </si>
  <si>
    <t>The Lexy II â€¢ Vibe 8611</t>
  </si>
  <si>
    <t>Throgs Neck</t>
  </si>
  <si>
    <t>Convenient Modern Brooklyn Studio Apartment byPark</t>
  </si>
  <si>
    <t>Private insuite bathroom in sunny room</t>
  </si>
  <si>
    <t>Sunny Guest Suite Victorian Townhome.</t>
  </si>
  <si>
    <t>40.67770855842678</t>
  </si>
  <si>
    <t>Esteem's Place Deux</t>
  </si>
  <si>
    <t>&lt;A/C/G Trains&gt; Home Share w/ Young Professionals</t>
  </si>
  <si>
    <t>Cesar's Palace (Perfect for RNs &amp; Grad students)</t>
  </si>
  <si>
    <t>Mill Basin</t>
  </si>
  <si>
    <t>Cozy 1 bedroom apartment  in trendy Bushwick.</t>
  </si>
  <si>
    <t>Sunny Queen room in E. Williamsburg</t>
  </si>
  <si>
    <t>Bedroom Three (Master) in House Near JFK Airport</t>
  </si>
  <si>
    <t>LOFT_Williamsburg Retreat</t>
  </si>
  <si>
    <t>Room in 4BR1BA apt. 5mins to 2/3 train 135 St Sta.</t>
  </si>
  <si>
    <t>Bergen Beach</t>
  </si>
  <si>
    <t>Sunnyside 2BR entire apt -minutes to Manhattan!</t>
  </si>
  <si>
    <t>40.74753409902981</t>
  </si>
  <si>
    <t>M&amp;S Comfort Room. Located on the 3rd floor (attic)</t>
  </si>
  <si>
    <t>Joseph &amp; Julia #3 Guest Room Near JFK Airport</t>
  </si>
  <si>
    <t>Sunny Bedroom Steps from Q Train (Right Room)</t>
  </si>
  <si>
    <t>Sunny, Modern Williamsburg Condo Steps from Train</t>
  </si>
  <si>
    <t>Very safe neighborhood in Midwood-Brooklyn</t>
  </si>
  <si>
    <t>Luxurious Famous Hellâ€™s Kitchen!</t>
  </si>
  <si>
    <t>Bunk(2full size), 1 full bed, next to Korea Town11</t>
  </si>
  <si>
    <t>Air B and B at the Grand Old Mansion</t>
  </si>
  <si>
    <t>Luxury Apt, 1 BR, Stainless Steel Appliances</t>
  </si>
  <si>
    <t>Private Room in Beautiful Clinton Hill</t>
  </si>
  <si>
    <t>40.68442735901731</t>
  </si>
  <si>
    <t>Comfy &amp; legally registered Room in Brooklyn</t>
  </si>
  <si>
    <t>40.671746002019276</t>
  </si>
  <si>
    <t>Hell's Kitchen Apartment in NYC</t>
  </si>
  <si>
    <t>40.76640790691597</t>
  </si>
  <si>
    <t>Spacious Queen bed w/ En-Suite Bath</t>
  </si>
  <si>
    <t>40.643102784202696</t>
  </si>
  <si>
    <t>New Building Rooms 5 from 1</t>
  </si>
  <si>
    <t>Brooklyn Oasis</t>
  </si>
  <si>
    <t>Bunk(2full size) &amp; 1 Full bed, next to KoreaTown10</t>
  </si>
  <si>
    <t>Entire Apartment Gem in the heart of Manhattan</t>
  </si>
  <si>
    <t>Sonder at The Nash | One-Bedroom Apartment</t>
  </si>
  <si>
    <t>SPACIOUS 4BR/2BA APT W/PRIVATE OUTDOOR SPACE UWS</t>
  </si>
  <si>
    <t>1BRSuiteHistoricalBuildingWalkingToColumbiaSubway</t>
  </si>
  <si>
    <t>40.80249508658761</t>
  </si>
  <si>
    <t>Huge, Quiet 3B Home with Parking &amp; Porch</t>
  </si>
  <si>
    <t>Manhattan Beautiful Nest</t>
  </si>
  <si>
    <t>Room in 3BR1BA, 9mins walk &gt; J line Halsey Station</t>
  </si>
  <si>
    <t>NYC Paradise POOL OASIS</t>
  </si>
  <si>
    <t>Luxe-Exquisite Cozy space is one minute to L train</t>
  </si>
  <si>
    <t>Room in 3BR/2BA &gt; 4mins 61st Woodside (7) express</t>
  </si>
  <si>
    <t>The Soho Flat â€¢ Vibe 8623</t>
  </si>
  <si>
    <t>40.719844818115234</t>
  </si>
  <si>
    <t>Casa Milcam</t>
  </si>
  <si>
    <t>Lovely 2 Bed Condo in Amazing Location</t>
  </si>
  <si>
    <t>Charming Park Slope 2BR (15 Minutes to Manhattan!)</t>
  </si>
  <si>
    <t>Spacious Luxury King Bed Room</t>
  </si>
  <si>
    <t>Close to upper manhattan/2min to BronxCare Hospita</t>
  </si>
  <si>
    <t>40.841509083040044</t>
  </si>
  <si>
    <t>30day min High flr apt in the center of Manhattan</t>
  </si>
  <si>
    <t>Spacious Studio with full kitchen - Gowanus</t>
  </si>
  <si>
    <t>Beautiful Studio Steps from Q Train (Orange)</t>
  </si>
  <si>
    <t>Charming Spacious  King Studio Retreat in NYC</t>
  </si>
  <si>
    <t>Park Slope Studio Steps to Subways &amp; Prospect Park</t>
  </si>
  <si>
    <t>The Lux Lex V â€¢ Vibe 8624</t>
  </si>
  <si>
    <t>40.77840805053711</t>
  </si>
  <si>
    <t>Private,  cozy,  comfortable,  it feels like home</t>
  </si>
  <si>
    <t>Aliz Hotel Times Square, Standard Double Guest Rm</t>
  </si>
  <si>
    <t>Sunny Astoria Room Only 10 Minutes From Midtown!</t>
  </si>
  <si>
    <t>Cozy bedrm #3 Front in fast-paced central Brooklyn</t>
  </si>
  <si>
    <t>Cozy nest n.1 in the heart of the East Village</t>
  </si>
  <si>
    <t>Cozy Studio Apartment -Parking - Walk to Ferry.</t>
  </si>
  <si>
    <t>Sweet Sunny Apt in prime Park Slope  Location</t>
  </si>
  <si>
    <t>Central Park Premiere 2 Bed Room</t>
  </si>
  <si>
    <t>2 Beds close to Central Park</t>
  </si>
  <si>
    <t>Gorgeous Midtown East 1 Bed w/ Gym, Rooftop #6125</t>
  </si>
  <si>
    <t>Cozy Private Suite in the Heights!</t>
  </si>
  <si>
    <t>Private Entrance 2 Bedroom Aptâ€”Amazing Location!!!</t>
  </si>
  <si>
    <t>Prospect Park cozy room next to 4 subway lines</t>
  </si>
  <si>
    <t>Dominique's UL-private bedrms in shared pad*Metro</t>
  </si>
  <si>
    <t>Cozy/ Clean Rm near JFK and train to City.</t>
  </si>
  <si>
    <t>Luxurious Home | Patio | WFH | Manhattan 30 Min</t>
  </si>
  <si>
    <t>2BR fully furnished in the UES (30 days min)</t>
  </si>
  <si>
    <t>Spacious Sunny Loft in Brooklyn</t>
  </si>
  <si>
    <t>Awesome Access! to station, 2min/5 line u can useâ™ª</t>
  </si>
  <si>
    <t>Comfy/Cozy Flat in A Townhouse by Central Park</t>
  </si>
  <si>
    <t>Amazing King size Room at The Ridge</t>
  </si>
  <si>
    <t>Cozy Private Oasis</t>
  </si>
  <si>
    <t>40.678758417460955</t>
  </si>
  <si>
    <t>Grand Parlor (Townhouse) w/backyard</t>
  </si>
  <si>
    <t>602 - 2 bedroom unit in luxury amenity building</t>
  </si>
  <si>
    <t>1BR/1BA Garden Level  in Park Slope</t>
  </si>
  <si>
    <t>Studio In Flower District and Chelsea like Home</t>
  </si>
  <si>
    <t>Studio in the heart of Chelsea Flower District</t>
  </si>
  <si>
    <t>Brooklyn Penthouse (Sunny duplex w/ private roof)</t>
  </si>
  <si>
    <t>Room in 4BR/1.5BA 5mins to 61St 7line and M/R line</t>
  </si>
  <si>
    <t>The Milestone,  a hidden gem in Queens!</t>
  </si>
  <si>
    <t>2 Full and 1single Bed, next to Korea-town8</t>
  </si>
  <si>
    <t>Sonder at One Platt | Superior Queen Studio</t>
  </si>
  <si>
    <t>504 - Bright 1 BR unit in luxury amenity building</t>
  </si>
  <si>
    <t>Renovated  Studio | Windows | Doorman | Elevator</t>
  </si>
  <si>
    <t>Cozy room</t>
  </si>
  <si>
    <t>Private Room #3 in Beautiful Bay Ridge</t>
  </si>
  <si>
    <t>Modern, Montefiore professionals, ideal long term</t>
  </si>
  <si>
    <t>Central Brooklyn Cozy Getaway</t>
  </si>
  <si>
    <t>UR jacuzzi spot UBS ARENA STAdIUM NEAR JFK</t>
  </si>
  <si>
    <t>Fort Greene: Private Room &amp; Patio</t>
  </si>
  <si>
    <t>"LES" Manhattan! Large Cozy Private Bedroom in NYC</t>
  </si>
  <si>
    <t>Hotel 32 32, King Deluxe</t>
  </si>
  <si>
    <t>Hotel 32 32 - King Studio with Kitchen</t>
  </si>
  <si>
    <t>40.74533462524414</t>
  </si>
  <si>
    <t>Bohemian's  Designer room in #2bdr</t>
  </si>
  <si>
    <t>Blue,  Private Bedroom</t>
  </si>
  <si>
    <t>Bull's Head</t>
  </si>
  <si>
    <t>Bright Room With Projector and Antique Fireplace</t>
  </si>
  <si>
    <t>40.689720153808594</t>
  </si>
  <si>
    <t>Colorful SoHo Studio</t>
  </si>
  <si>
    <t>Peaceful Garden Retreat in Harlem Artist's Home</t>
  </si>
  <si>
    <t>Elegant &amp; private apt w/separate bedroom &amp; kitchen</t>
  </si>
  <si>
    <t>Williamsburg Studio, 10 min. to Manhattan L train</t>
  </si>
  <si>
    <t>Studio593 In the heart of Midtown Manhattan</t>
  </si>
  <si>
    <t>Sunlit Bedstuy Charm</t>
  </si>
  <si>
    <t>40.68601933378367</t>
  </si>
  <si>
    <t>Modern One Bedroom w/Balcony &amp; Amazing City Views</t>
  </si>
  <si>
    <t>Stylish Designer Brownstone Sanctuary</t>
  </si>
  <si>
    <t>Room in home in Historic Bed-Stuy, Brooklyn</t>
  </si>
  <si>
    <t>Brooklyn Spring Clean Staycation - Smoke Free.</t>
  </si>
  <si>
    <t>Wonderful studio in the UES (30 days MIN)</t>
  </si>
  <si>
    <t>The Brooklyn Cactus Flower  in Flatbush</t>
  </si>
  <si>
    <t>â¤ï¸ ðŸ’Ž8 MIN TO JFK 20 MINS TO LONG BCH /JONES BCH 3BR</t>
  </si>
  <si>
    <t>Nice apartment.  Manhattan LES</t>
  </si>
  <si>
    <t>New York City Comfort.</t>
  </si>
  <si>
    <t>Spacious,2 bedrooms, excellent location</t>
  </si>
  <si>
    <t>Woodlawn</t>
  </si>
  <si>
    <t>La Sienna Beautiful Prewar #2</t>
  </si>
  <si>
    <t>SSB 11. SINGLE SHARED BATHROOM</t>
  </si>
  <si>
    <t>Cozy Upper East Side Studio w/ Private Garden</t>
  </si>
  <si>
    <t>SSB 13. SINGLE SHARED BATHROOM.</t>
  </si>
  <si>
    <t>Pleasant 2 BR on Upper East Side (30 days MIN)</t>
  </si>
  <si>
    <t>Spacious 2 Bed on Park Avenue w/Laundry &amp; Gym#6179</t>
  </si>
  <si>
    <t>A travelers safe comfortable beautiful home.</t>
  </si>
  <si>
    <t>40.63932058718024</t>
  </si>
  <si>
    <t>Grandma's House</t>
  </si>
  <si>
    <t>138 Bowery-Classic Queen Studio</t>
  </si>
  <si>
    <t>138 Bowery-Modern Queen Studio</t>
  </si>
  <si>
    <t>138 Bowery-Studio Suite w. Dining Area</t>
  </si>
  <si>
    <t>138 Bowery-Classic Studio</t>
  </si>
  <si>
    <t>138 Bowery-Queen Studio</t>
  </si>
  <si>
    <t>138 Bowery-Modern Studio</t>
  </si>
  <si>
    <t>138 Bowery-King Suite w. Living Room Space</t>
  </si>
  <si>
    <t>Brooklyn's Best- Sunny &amp; Spacious Brownstone Apt</t>
  </si>
  <si>
    <t>Fully Furnished Studio / Kitchenette &amp; Shared Bath</t>
  </si>
  <si>
    <t>Airy, Easy, Great WMBG Loc, Discount/details avail</t>
  </si>
  <si>
    <t>Sun Drenched Soho Loft</t>
  </si>
  <si>
    <t>UES Studio next to Mount Sinai &amp; Cornell Hospitals</t>
  </si>
  <si>
    <t>Brooklyn-NYC| One Bedroom | Backyard | Laundry</t>
  </si>
  <si>
    <t>2 Bdrm NYC Chic Retreat- Central Harlem/Columbia</t>
  </si>
  <si>
    <t>South Slope Studio Gem</t>
  </si>
  <si>
    <t>Gorgeous Brooklyn Townhouse w/ Private Garden</t>
  </si>
  <si>
    <t>Spacious 3 Bedroom Apartment in Glendale Queens</t>
  </si>
  <si>
    <t>Private 2 Bed in Historic Brownstone</t>
  </si>
  <si>
    <t>433 West 53-Furnished Studio in Midtown West</t>
  </si>
  <si>
    <t>Historic Harlem Duplex with Heritage Charm</t>
  </si>
  <si>
    <t>Cozy Room In N Williamsburg w/ Huge Backyard!</t>
  </si>
  <si>
    <t>The Lenox â€¢ Vibe 8644</t>
  </si>
  <si>
    <t>Studio in Manhattan. Great Views Greater Amenities</t>
  </si>
  <si>
    <t>40.70865432290142</t>
  </si>
  <si>
    <t>Calabasa Private Room</t>
  </si>
  <si>
    <t>Superior Double Room with City View</t>
  </si>
  <si>
    <t>40.70462417602539</t>
  </si>
  <si>
    <t>Sleek-2 BR! in Queens Apartment 30 day plus!</t>
  </si>
  <si>
    <t>The Lexy IX â€¢ Vibe 8647</t>
  </si>
  <si>
    <t>The Pacific Studio in Brooklyn (King Size Bed)</t>
  </si>
  <si>
    <t>Spa Ha apartment</t>
  </si>
  <si>
    <t>Mini Studio #5 on Bedford Street, West Village</t>
  </si>
  <si>
    <t>Private Bushwick 2 Bedroom Apartment</t>
  </si>
  <si>
    <t>Naranja Private Room</t>
  </si>
  <si>
    <t>165 East 89-Studio Apartment in Upper East Side</t>
  </si>
  <si>
    <t>Cozy apartment just minutes from JFK</t>
  </si>
  <si>
    <t>Junior Room | Steps from Bedford Av N Williamsburg</t>
  </si>
  <si>
    <t>Two Bedroom central park uper east side 96st 103st</t>
  </si>
  <si>
    <t>ZEN RETREAT</t>
  </si>
  <si>
    <t>138 Bowery Modern Queen Studio</t>
  </si>
  <si>
    <t>Greenpoint- Quiet Block, Tree Lined Street, Trendy</t>
  </si>
  <si>
    <t>Modern luxury studio with all amenities</t>
  </si>
  <si>
    <t>40.60442228621638</t>
  </si>
  <si>
    <t>Newly Furnished 2Br by Union Sq / East Village</t>
  </si>
  <si>
    <t>Full access: Garden entrance to artsy modern oasis</t>
  </si>
  <si>
    <t>TINY APT in heart of Manhattan.</t>
  </si>
  <si>
    <t>Modern Luxury Apartment</t>
  </si>
  <si>
    <t>A+ Location Comfort Lofty &amp; Bright Queen Studio #5</t>
  </si>
  <si>
    <t>Hidden Gem in Astoria, 1 MINUTE away to subway</t>
  </si>
  <si>
    <t>201 - 2 Bedroom unit in luxury amenity building</t>
  </si>
  <si>
    <t>Luxury 1 Bedroom on Lexington Ave in UES with W/D</t>
  </si>
  <si>
    <t>Gorgeous Private room in NYC blocks from RUMC F1R1</t>
  </si>
  <si>
    <t>40.63168981830136</t>
  </si>
  <si>
    <t>1BR Apartment in Greenpoint</t>
  </si>
  <si>
    <t>407 West 51-Furnished Studio in Midtown West</t>
  </si>
  <si>
    <t>Cute, Comfy, Clean: your Brooklyn refuge</t>
  </si>
  <si>
    <t>Beautiful modern studio in midtown east/UES (8)</t>
  </si>
  <si>
    <t>Charming Astoria studio on quiet tree-lined street</t>
  </si>
  <si>
    <t>Sonder Flatiron | Accessible Queen Room</t>
  </si>
  <si>
    <t>Sonder Flatiron | Spacious King Room+</t>
  </si>
  <si>
    <t>Very Cozy Room - Next to ABCD trains Washer&amp;Dryer</t>
  </si>
  <si>
    <t>Sonder Chambers | Accessible Queen Room</t>
  </si>
  <si>
    <t>Park Slope Gem! Garden&amp;Laundry near Prospect Park</t>
  </si>
  <si>
    <t>1 Bedroom Apartment | Free W/D</t>
  </si>
  <si>
    <t>Sunny, Home Away from Home</t>
  </si>
  <si>
    <t>â˜… NEWLY RENOVATED STUDIO IN PRIME LOCATION - UES â˜…</t>
  </si>
  <si>
    <t>Modern Two-Bedroom Apt close to Manhattan! Candy</t>
  </si>
  <si>
    <t>Fully renovated in 2021/ Ideal for WFH/ Laundry</t>
  </si>
  <si>
    <t>TRYP by Wyndham Times Square / Midtown -King Suite</t>
  </si>
  <si>
    <t>Lamartine Chelsea 3E</t>
  </si>
  <si>
    <t>Newly Renovated Apartment with Garden in Townhouse</t>
  </si>
  <si>
    <t>Spacious &amp; Modern Luxury Apartment</t>
  </si>
  <si>
    <t>GRAMERCY PARK Union Square Luxury  1 bedroom</t>
  </si>
  <si>
    <t>Large Bedroom w/ En-suite Bathroom &amp; Private Entry</t>
  </si>
  <si>
    <t>High floor with Views 1 bedroom by Columbus Circle</t>
  </si>
  <si>
    <t>Cozy Urban Oasis</t>
  </si>
  <si>
    <t>Beautiful suite in Fortgreene Brooklyn available</t>
  </si>
  <si>
    <t>GREAT ROOM-WASHER DRYER-RENT BY THE CALENDAR MONTH</t>
  </si>
  <si>
    <t>Lovely, affordable room in Washington Heights.</t>
  </si>
  <si>
    <t>Sunny 4BR/2BA Retreat in Morningside Heights, NYC</t>
  </si>
  <si>
    <t>Bright &amp; Modern Bedroom with Private Bathroom</t>
  </si>
  <si>
    <t>The Chic â€¢ Vibe 8653</t>
  </si>
  <si>
    <t>40.748130798339844</t>
  </si>
  <si>
    <t>40.760162353515625</t>
  </si>
  <si>
    <t>The Sutton III â€¢ Vibe 8655</t>
  </si>
  <si>
    <t>Rego Den by Mall and Hospital</t>
  </si>
  <si>
    <t>Cozy guest room w/ private bathroom and entrance</t>
  </si>
  <si>
    <t>Single room #8</t>
  </si>
  <si>
    <t>Newly Renovated Oasis in Prime Carroll Gardens</t>
  </si>
  <si>
    <t>TRYP by Wyndham -Times Square / Midtown - sleeps4</t>
  </si>
  <si>
    <t>The York â€¢ Vibe 8657</t>
  </si>
  <si>
    <t>40.777618408203125</t>
  </si>
  <si>
    <t>Beautiful Sunny Modern Condo 15 min From Midtown</t>
  </si>
  <si>
    <t>Private room in spacious Brooklyn townhouse</t>
  </si>
  <si>
    <t>Comfort on Monroe</t>
  </si>
  <si>
    <t>2BR Apartment Located in the Heart of Brooklyn</t>
  </si>
  <si>
    <t>Untitled at 3 Freeman - Sky King (ADA)</t>
  </si>
  <si>
    <t>Private 1-Bedroom in Victorian Harlem Mansion</t>
  </si>
  <si>
    <t>Comfy and cozy  - by the Park and subway</t>
  </si>
  <si>
    <t>Shered bathroom 2 SofaBed + loftbed + kitchen</t>
  </si>
  <si>
    <t>La Sienna Beautiful Prewar</t>
  </si>
  <si>
    <t>La Sienna Guesthouse Serene Setting Azul</t>
  </si>
  <si>
    <t>Lovely Ground Floor Bronx Apartment</t>
  </si>
  <si>
    <t>Lovely 1-bedroom flat in Lower East Side/Manhattan</t>
  </si>
  <si>
    <t>The Lenox III â€¢ Vibe 8659</t>
  </si>
  <si>
    <t>138 Bowery-Studio with private outdoor</t>
  </si>
  <si>
    <t>Private Balcony room in Bay Ridge, BK</t>
  </si>
  <si>
    <t>433 West 53-Two Bedroom Apartment Midtown West</t>
  </si>
  <si>
    <t>Brand New Sunny Large Space near Museum &amp; Park.</t>
  </si>
  <si>
    <t>Clean Sunny Apt Bushwick - Myrtle, 2 mins to Train</t>
  </si>
  <si>
    <t>COTTAGE FEEL GROUND FLOOR STUDIO</t>
  </si>
  <si>
    <t>Incredible studio rental in Manhattan ðŸ˜</t>
  </si>
  <si>
    <t>The Shoppers Haven at Kings Plaza Shopping Mall FP</t>
  </si>
  <si>
    <t>Spacious 2 bedroom  2 bathroom apt in Flushing, NY</t>
  </si>
  <si>
    <t>Untitled at 3 Freeman - Large Freeman King (ADA)</t>
  </si>
  <si>
    <t>Exclusive Studio 1008 | Private Bathroom</t>
  </si>
  <si>
    <t>Sonder Duane Street | Double Queen Room</t>
  </si>
  <si>
    <t>Sonder Duane Street | King Suite</t>
  </si>
  <si>
    <t>Stunning Fully Furnished Studio in Chelsea #6146</t>
  </si>
  <si>
    <t>Designer Brooklyn Townhouse with Outdoor Space</t>
  </si>
  <si>
    <t>Renovated 1 Bedroom Apartment w/ Private Patio</t>
  </si>
  <si>
    <t>Untitled at 3 Freeman - Large Freeman Queen (ADA)</t>
  </si>
  <si>
    <t>Large 1 bedroom, parking, private, walk to Ferry</t>
  </si>
  <si>
    <t>Comfort &amp; Ease near Prospect Park (Monthly Rental)</t>
  </si>
  <si>
    <t>62-3B  Studio Prime UES Walk to Central Park</t>
  </si>
  <si>
    <t>40.76399612426758</t>
  </si>
  <si>
    <t>Private room in Vintage Brooklyn Charm.</t>
  </si>
  <si>
    <t>40.67502652622024</t>
  </si>
  <si>
    <t>Artist Loft 1 Bedroom Apt LES #2</t>
  </si>
  <si>
    <t>Lower East Side Studio Escape #4</t>
  </si>
  <si>
    <t>Cozy Private Room Minutes from City</t>
  </si>
  <si>
    <t>Lovely entire 1bdApt-3 min from LGAAirport+Parking</t>
  </si>
  <si>
    <t>Serenity Park Slope -  Entire Brownstone apt.</t>
  </si>
  <si>
    <t>Cozy garden apartment. Great workcation location!</t>
  </si>
  <si>
    <t>40.80870517636975</t>
  </si>
  <si>
    <t>Cozy Studio room with private bathroom</t>
  </si>
  <si>
    <t>Beautiful duplex + the terrace by the lighthouse</t>
  </si>
  <si>
    <t>Lovely 2 Bedroom Apartment in LES #Apt 7</t>
  </si>
  <si>
    <t>Cozzy Studio Loft in the Heart of Williamsburg</t>
  </si>
  <si>
    <t>40.71624755859375</t>
  </si>
  <si>
    <t>Studio Murphy Apt |  Placemakr Wall Street</t>
  </si>
  <si>
    <t>immaculate private room1block C park&amp; Columbia UNI</t>
  </si>
  <si>
    <t>Backyard Studio Apartment in Brooklyn</t>
  </si>
  <si>
    <t>Lux Xcape2 3BR/2BA;subway@600 steps by nycHubHomes</t>
  </si>
  <si>
    <t>Private Guest Suite with Free Parking in Brooklyn</t>
  </si>
  <si>
    <t>40.64975869274894</t>
  </si>
  <si>
    <t>2 Bedroom with Private terrace and Central Park</t>
  </si>
  <si>
    <t>Apt Close to LGA, JFK, CITI Field and US open</t>
  </si>
  <si>
    <t>40.752423082956014</t>
  </si>
  <si>
    <t>Morris Park area(very close to Jacobi Hospital</t>
  </si>
  <si>
    <t>Cozy Junior Studio Unit</t>
  </si>
  <si>
    <t>Lovely 1-bedroom Open Concept Condo in New York  C</t>
  </si>
  <si>
    <t>2 bed .walk to city field and Arthur Ashe stadium</t>
  </si>
  <si>
    <t>Exclusive Apartment 413 | Shared Bathroom</t>
  </si>
  <si>
    <t>Exclusive Apartment 619 | Shared Bathroom</t>
  </si>
  <si>
    <t>Sun-soaked, 1 bedroom in the heart of Williamsburg</t>
  </si>
  <si>
    <t>Prime Chelsea, W/ balcony, boutique elevator bld</t>
  </si>
  <si>
    <t>Steps from subway, Williamsburg modern and new</t>
  </si>
  <si>
    <t>Lovely apartment next to Central Park</t>
  </si>
  <si>
    <t>Basement apartment newly renovated full size bed</t>
  </si>
  <si>
    <t>Amazing Studio in the heart of Chelsea #6149</t>
  </si>
  <si>
    <t>Luxury Apartment with Backyard Poarch</t>
  </si>
  <si>
    <t>Best Room in Manhattan</t>
  </si>
  <si>
    <t>Lovely 1-bedroom in Brooklyn</t>
  </si>
  <si>
    <t>Lower East Side Studio - Great location! #13</t>
  </si>
  <si>
    <t>Amazing private room in boutique house (Brooklyn)</t>
  </si>
  <si>
    <t>40.730281829833984</t>
  </si>
  <si>
    <t>Charming NEW ROOM in Greenpoint</t>
  </si>
  <si>
    <t>Brand New Room in Greenpoint</t>
  </si>
  <si>
    <t>62-3A  NEW Prime UES W/D</t>
  </si>
  <si>
    <t>Fantastic Upper East Side Studio Apartment</t>
  </si>
  <si>
    <t>700 sqr ft private space in Williamsburg</t>
  </si>
  <si>
    <t>Upper West Side Townhouse-1st Floor 2 Bedroom Apt!</t>
  </si>
  <si>
    <t>Cozy 1-bedroom Garden Unit w/workspace</t>
  </si>
  <si>
    <t>Spacious 1 Bedroom Apt in Upper West Side Townhome</t>
  </si>
  <si>
    <t>1 Bedroom Apt in Lovely Upper West Side Townhouse</t>
  </si>
  <si>
    <t>Home Share w/ Young Professionals - 2/3/4/5 Trains</t>
  </si>
  <si>
    <t>Private Room in East Village (Master)</t>
  </si>
  <si>
    <t>Sunny Room - Steps from transit! Tv &amp; Coffee</t>
  </si>
  <si>
    <t>40.70332336425781</t>
  </si>
  <si>
    <t>Private Room 2 in East Village (Large Window)</t>
  </si>
  <si>
    <t>Great furnished 2BR in the UES (30 DAYS MIN)</t>
  </si>
  <si>
    <t>Brooklyn Prime Williamsburg 1b/1b entire Apt</t>
  </si>
  <si>
    <t>A comfortable bedroom in Bensonhurst, Brooklyn</t>
  </si>
  <si>
    <t>Lovely space with all services in Brooklyn.</t>
  </si>
  <si>
    <t>40.687131277968604</t>
  </si>
  <si>
    <t>truepromotions studio unique studio apartment.</t>
  </si>
  <si>
    <t>Double room with private entrance and bathroom</t>
  </si>
  <si>
    <t>Safe spacious 1.5 bedroom in BedStuy in townhouse</t>
  </si>
  <si>
    <t>Furnished studio in Manhattan, NYC</t>
  </si>
  <si>
    <t>Spacious Guestroom  w/private entrance,bath, patio</t>
  </si>
  <si>
    <t>Sunny-bush</t>
  </si>
  <si>
    <t>Peaceful 1-Bedroom in Flushing</t>
  </si>
  <si>
    <t>Private Spacious Queen Room in the â¤ï¸ of Bed-Stuy</t>
  </si>
  <si>
    <t>Adorable 1-Bedroom place in Bronx, #2</t>
  </si>
  <si>
    <t>Luxe Private Room in the Paerdegats BK</t>
  </si>
  <si>
    <t>Glamorous 1 bd/1 bath Condo in Downtown</t>
  </si>
  <si>
    <t>Modern 1 bdrm/1 bath flat with romantic fireplace</t>
  </si>
  <si>
    <t>Modern Prospect Garden Oasis</t>
  </si>
  <si>
    <t>Premier Double Room with Skydeck in Boutique Hotel</t>
  </si>
  <si>
    <t>40.75365667644758</t>
  </si>
  <si>
    <t>Entire Studio, FREE Garage Parking</t>
  </si>
  <si>
    <t>Bright and Airy Apartment in Trendy Greenpoint</t>
  </si>
  <si>
    <t>Modern Spacious Room</t>
  </si>
  <si>
    <t>40.68723703305877</t>
  </si>
  <si>
    <t>Large Private Bedroom in Brooklyn Brownstown</t>
  </si>
  <si>
    <t>Private Room 1min to Central Park 1min to Subway 1</t>
  </si>
  <si>
    <t>Adorable Sunset Park 2 Bdrm</t>
  </si>
  <si>
    <t>Luxurious 1 bedroom/beach front / 10 mins from jfk</t>
  </si>
  <si>
    <t>Great 3  bedroom apt, sunny, subway 3 minutes.</t>
  </si>
  <si>
    <t>New! Stylish Studio! Main St! Free Parking!</t>
  </si>
  <si>
    <t>Peaceful Private Bedroom</t>
  </si>
  <si>
    <t>Midtown Bunk bed Studio</t>
  </si>
  <si>
    <t>Adorable Studio In Brooklyn Townhouse</t>
  </si>
  <si>
    <t>Midtown Twin bunk  +  Twin bed Studio</t>
  </si>
  <si>
    <t>Midtown 1double 1 bunk bed Studio</t>
  </si>
  <si>
    <t>W76 off C.Park - Stunning 1 bedroom! High-end reno</t>
  </si>
  <si>
    <t>Sonder Henri on 24 | King Room, Balcony City View</t>
  </si>
  <si>
    <t>40.81678009033203</t>
  </si>
  <si>
    <t>Gran ubicaciÃ³n  y cÃ³modo apt en lower Manhattan</t>
  </si>
  <si>
    <t>Luxury and Lavish Studio Apartment In Throggs Neck</t>
  </si>
  <si>
    <t>StayatShala: 1 BR in the heart of Times Square</t>
  </si>
  <si>
    <t>Beautiful and Spacious 2 Bed / 2 Bath Apartment</t>
  </si>
  <si>
    <t>Modern designed room near B/C train</t>
  </si>
  <si>
    <t>Sonder Henri on 24 | Accessible King Room</t>
  </si>
  <si>
    <t>The Queens Escape</t>
  </si>
  <si>
    <t>æ³•æ‹‰ç››æ¸…éœå°ç¯‰</t>
  </si>
  <si>
    <t>Amazing 2BR Apartment in the Center of Brooklyn</t>
  </si>
  <si>
    <t>Modern bedroom kitchen bath &amp; living room</t>
  </si>
  <si>
    <t>Digital Nomad stop</t>
  </si>
  <si>
    <t>Cozy NYC Apt, Carroll Gardens - long &amp; short-term</t>
  </si>
  <si>
    <t>Modern Spacious 3BR 2BTH APT in Manhattan</t>
  </si>
  <si>
    <t>Sonder The Industrialist | King Room w/ Balcony</t>
  </si>
  <si>
    <t>Sonder The Industrialist | Queen Room w/ Balcony</t>
  </si>
  <si>
    <t>Lovely one bedroom apartment with Juliet balcony</t>
  </si>
  <si>
    <t>Stunning apt! 74th just one block to Central Park!</t>
  </si>
  <si>
    <t>Claremont Townhouse | 3-Bedroom Oasis in the Bronx</t>
  </si>
  <si>
    <t>Stylish awesomeness and comfort</t>
  </si>
  <si>
    <t>Privacy, Garden Unit - Modern, Huge w Backyard!</t>
  </si>
  <si>
    <t>Private Cozy EnSuit w/Kitchenette &amp; TV Queens, NYC</t>
  </si>
  <si>
    <t>Private room with a Garden 15Min Subway to Midtown</t>
  </si>
  <si>
    <t>Mid century room in BK next to Metro and IC</t>
  </si>
  <si>
    <t>1-bedroom rental - 1 block from EXPRESS BUS to NYC</t>
  </si>
  <si>
    <t>Sonder The Industrialist | Full Room</t>
  </si>
  <si>
    <t>Sonder The Dutch | Queen Room w/ Balcony</t>
  </si>
  <si>
    <t>40.752590459376584</t>
  </si>
  <si>
    <t>Spring House â€¢ Roomy 1-Bedroom â€¢ No14</t>
  </si>
  <si>
    <t>Prospect Heights Paradise</t>
  </si>
  <si>
    <t>Cozy Private Studio Apartment (2 min to subway)</t>
  </si>
  <si>
    <t>The Black Velvet Suite.</t>
  </si>
  <si>
    <t>Cozy lil nook in the heart of BK</t>
  </si>
  <si>
    <t>Perfect for Longer Stays with all Amenities</t>
  </si>
  <si>
    <t>Park Slope Urban Tree House in Prime Location</t>
  </si>
  <si>
    <t>Cozy studio bedstuy</t>
  </si>
  <si>
    <t>Newly renovated 2 Bedroom APT,in Astoria, NYC</t>
  </si>
  <si>
    <t>Lovely Private Room</t>
  </si>
  <si>
    <t>1 bedroom apt available in Woodlawn Heights.</t>
  </si>
  <si>
    <t>HDTV Room, Rooftop, AC, Washer/dryer #363</t>
  </si>
  <si>
    <t>Lindo Studio on Linden St - Steps to the subway</t>
  </si>
  <si>
    <t>Quadruple Room with Kitchen and Shared Bathroom</t>
  </si>
  <si>
    <t>Brooklyn Vibe Out / Priv Serene Bedroom +Workspace</t>
  </si>
  <si>
    <t>40.74115339999999</t>
  </si>
  <si>
    <t>Lovely Spacious Open Concept Space</t>
  </si>
  <si>
    <t>7 Mins to Manhattan Family House 2nd Floor</t>
  </si>
  <si>
    <t>Adorable place, Rockaway, Queens, NY</t>
  </si>
  <si>
    <t>Economy Twin Room in Small Hotel</t>
  </si>
  <si>
    <t>Charming furnished 2BR in the UES (MIN 30 DAYS)</t>
  </si>
  <si>
    <t>Beautiful 1 Bedroom rental unit in Brooklyn</t>
  </si>
  <si>
    <t>Williamsburg, Balcony, Gym, By noomi</t>
  </si>
  <si>
    <t>Beautiful Brick 1BD  by Yankee + Private Entrance</t>
  </si>
  <si>
    <t>Huge Garden Oasis on the Best Block in Greenpoint</t>
  </si>
  <si>
    <t>Beautiful Renovated 1BR APT w/ King Bed &amp; Kitchen</t>
  </si>
  <si>
    <t>40.62261920836206</t>
  </si>
  <si>
    <t>Heart of Astoria. 15 minutes to Manhattan.</t>
  </si>
  <si>
    <t>40.76107866447721</t>
  </si>
  <si>
    <t>149BK-6A New PH 2BR-2Bath With a Private Terrace &amp;</t>
  </si>
  <si>
    <t>Very comfortable and spacious</t>
  </si>
  <si>
    <t>Best of Bushwick -2 bedrooms - Steps to L/M Subway</t>
  </si>
  <si>
    <t>Pvt Ensuite Bathroom, Lux Building in Williamsburg</t>
  </si>
  <si>
    <t>ðŸŒ³ Room in the Greene! Private BR in Ft Greene!!</t>
  </si>
  <si>
    <t>The Royale Tee Oasis 3BR/2Bath near JFK/LGA</t>
  </si>
  <si>
    <t>Hotel-Style Stays - Never a Strangerâ€™s Home. ID230</t>
  </si>
  <si>
    <t>Hotel-Style Stays - Never a Strangerâ€™s Home. ID229</t>
  </si>
  <si>
    <t>Hotel-Styleâ€“ No Host, Professionally Managed ID227</t>
  </si>
  <si>
    <t>Room in 3BR/1BA Apt 2mins to 52 St Station 7 Line</t>
  </si>
  <si>
    <t>The Dutch Colonial</t>
  </si>
  <si>
    <t>40.64867823798895</t>
  </si>
  <si>
    <t>Standard Room with 2 Queen Beds</t>
  </si>
  <si>
    <t>Art Deco Contemporary 2BR in Chelsea Elevator Bldg</t>
  </si>
  <si>
    <t>40.73864136579774</t>
  </si>
  <si>
    <t>Welcome Home!  Quiet, Sun Soaked Dream Near All</t>
  </si>
  <si>
    <t>The Flat NYC - Single Room with Shared Bathroom</t>
  </si>
  <si>
    <t>Private Zen Garden 1Bed Apt -1 stop from Manhattan</t>
  </si>
  <si>
    <t>Lovely studio style apartment near prospect park</t>
  </si>
  <si>
    <t>Best Deal &amp; Quality in East Village Manha 30% Off</t>
  </si>
  <si>
    <t>SUPER COZY Brooklyn Home</t>
  </si>
  <si>
    <t>NEW Bedroom  Close Columb-presbyterian hospital M.</t>
  </si>
  <si>
    <t>Five Towns Private Beach home Total privacy</t>
  </si>
  <si>
    <t>40.597922084349655</t>
  </si>
  <si>
    <t>Gorgeous 1BR Apt in Crown Heights</t>
  </si>
  <si>
    <t>Cozy 1 bed near Little Italy/Nolita/Soho/Chinatown</t>
  </si>
  <si>
    <t>Studio for Longer Stays</t>
  </si>
  <si>
    <t>Warm Contemporary 1 BR with Manhattan Views</t>
  </si>
  <si>
    <t>40.72107441050742</t>
  </si>
  <si>
    <t>Stunning brand new Park Slope 1BR</t>
  </si>
  <si>
    <t>Views! NEW Lovely 1-Bedroom in Bay Ridge</t>
  </si>
  <si>
    <t>Lovely Studio in the heart of Chelsea #6165</t>
  </si>
  <si>
    <t>Lovely 1-bedroom rental in Park Slope Brooklyn</t>
  </si>
  <si>
    <t>Tiny room on the grand concourse</t>
  </si>
  <si>
    <t>#A1 - Private room in modern Brooklyn apartment</t>
  </si>
  <si>
    <t>B) 5 mins walk from the subway.  Safe neighborhood</t>
  </si>
  <si>
    <t>Exclusive Apartment 525 | Shared Bathroom</t>
  </si>
  <si>
    <t>Spacious 1 bedroom apt. Close to mall and  transit</t>
  </si>
  <si>
    <t>The Ideal III â€¢ Vibe 8559</t>
  </si>
  <si>
    <t>The Arthur III â€¢ Vibe 8675</t>
  </si>
  <si>
    <t>SoHo City View Penthouse Suite in Hotel Comfort</t>
  </si>
  <si>
    <t>Beautiful studio w/ Outdoors</t>
  </si>
  <si>
    <t>New, clean- fully equipped 1-bedroom in Chelsea</t>
  </si>
  <si>
    <t>1597-PHS New 1BR/2bath PH Duplex W/D Outdoor Deck</t>
  </si>
  <si>
    <t>Bainbridge by Rove Duplex with Deck &amp; Backyard</t>
  </si>
  <si>
    <t>Extraordinary &amp; Bright room with Desk in Brooklyn</t>
  </si>
  <si>
    <t>Contemporary 2 Bedroom Duplex Smart Home Near LGA</t>
  </si>
  <si>
    <t>Large 1 Bedroom Overlooking Cobble Hill Park</t>
  </si>
  <si>
    <t>Cozy room upper west side</t>
  </si>
  <si>
    <t>Bright&amp;Spacious Room in BayRidge near R train</t>
  </si>
  <si>
    <t>Spacious &amp; Modern 1 Bedroom | Close to Subway</t>
  </si>
  <si>
    <t>Hot 1 bedroom Cobble hill</t>
  </si>
  <si>
    <t>Luxury Aptâ€”2 Bed/1 Bath, FreeParking, Near Airport</t>
  </si>
  <si>
    <t>Gramercy 1 bedroom apt LUX</t>
  </si>
  <si>
    <t>Keyless Sun Light! Near to Laguardia Airport!</t>
  </si>
  <si>
    <t>*Unique 1BR in the Village with WFH set up*</t>
  </si>
  <si>
    <t>Riverside New York</t>
  </si>
  <si>
    <t>Malcolm 4 - Beautiful New Private Bedroom</t>
  </si>
  <si>
    <t>Beautiful King room in E. Willy</t>
  </si>
  <si>
    <t>Oasis 2</t>
  </si>
  <si>
    <t>Bright, warm, luxe hideawayâ€wâ€ private backyard</t>
  </si>
  <si>
    <t>Room in 3BR2BA, own bath. 5mins to M R Elmhurst Av</t>
  </si>
  <si>
    <t>Hotel-Style Stays - Never a Strangerâ€™s Home. ID239</t>
  </si>
  <si>
    <t>Cozy Loft with Private rooftop in a PENThouse</t>
  </si>
  <si>
    <t>Hotel-Style Stays - Never a Strangerâ€™s Home. ID244</t>
  </si>
  <si>
    <t>great place in bklyn420friendly30 min manhatan</t>
  </si>
  <si>
    <t>Brand New * Sweet Spot</t>
  </si>
  <si>
    <t>40.61778229999999</t>
  </si>
  <si>
    <t>Industrial room, next to METRO</t>
  </si>
  <si>
    <t>40.65692944675748</t>
  </si>
  <si>
    <t>A spacious and modern cozy apartment in Brooklyn</t>
  </si>
  <si>
    <t>East Side Center Studio</t>
  </si>
  <si>
    <t>40.75509697628659</t>
  </si>
  <si>
    <t>Modern Private Room 20 Mins to Manhattan</t>
  </si>
  <si>
    <t>40.74175082789435</t>
  </si>
  <si>
    <t>Great Location / Madison. Ave.</t>
  </si>
  <si>
    <t>Stunning 1BR in Prime Brooklyn Heights Location</t>
  </si>
  <si>
    <t>40.69519870425026</t>
  </si>
  <si>
    <t>Extended Stay - Bright &amp; Lively 2BR APT</t>
  </si>
  <si>
    <t>40.673961154096105</t>
  </si>
  <si>
    <t>Upper East Side 1 Bedroom PRIME location</t>
  </si>
  <si>
    <t>All Unit for rent/ Beautiful  Apartment in Astoria</t>
  </si>
  <si>
    <t>40.75996180000001</t>
  </si>
  <si>
    <t>New construction 1 bedroom apt in Brooklyn, NY</t>
  </si>
  <si>
    <t>40.62926697012736</t>
  </si>
  <si>
    <t>Basement</t>
  </si>
  <si>
    <t>BRAND 2025 New Modern Home NEAR JFK</t>
  </si>
  <si>
    <t>40.66493199052873</t>
  </si>
  <si>
    <t>Hotel-Style Stays - Never a Strangerâ€™s Home. ID236</t>
  </si>
  <si>
    <t>40.82223425106994</t>
  </si>
  <si>
    <t>Upper East Side Apt - Central Park</t>
  </si>
  <si>
    <t>UWS Gem-spacious, stylish &amp; cozy. Best location.</t>
  </si>
  <si>
    <t>Two Bathroom Suite steps from Central Park w/Bfst</t>
  </si>
  <si>
    <t>40.76397690226745</t>
  </si>
  <si>
    <t>Artist's Brownstone Home</t>
  </si>
  <si>
    <t>40.80823831408511</t>
  </si>
  <si>
    <t>Spacious &amp; Cozy 1BR in Heart of Williamsburg</t>
  </si>
  <si>
    <t>40.71256919576887</t>
  </si>
  <si>
    <t>Cute Bedroom, Magical Bedstuy Brownstone &amp; Garden</t>
  </si>
  <si>
    <t>Close to Times Square! Stunning Studio in NYC!</t>
  </si>
  <si>
    <t>40.75457128284617</t>
  </si>
  <si>
    <t>Cozy Bed-Stuy Cottage</t>
  </si>
  <si>
    <t>40.69205961557048</t>
  </si>
  <si>
    <t>#1 Spacious Beautiful Room in Art Gallery Airbnb</t>
  </si>
  <si>
    <t>40.69462695354604</t>
  </si>
  <si>
    <t>Heart of the West Village</t>
  </si>
  <si>
    <t>40.735103604126735</t>
  </si>
  <si>
    <t>Luxury private 1bdrm, Garden Access,5 min to train</t>
  </si>
  <si>
    <t>Peaceful Hideaway - Near JFK &amp; UBS Arena</t>
  </si>
  <si>
    <t>Room w/ private bath in 4BR3BA 3 min 7 train 90 St</t>
  </si>
  <si>
    <t>Bright &amp; Modern 2bd w/Backyard Near Subway</t>
  </si>
  <si>
    <t>Beautiful apartment in Fresh Meadows</t>
  </si>
  <si>
    <t>40.73016681402512</t>
  </si>
  <si>
    <t>Stylish with Ex brick , best location, by noomi</t>
  </si>
  <si>
    <t>Room with private bath/RM 16mins to Newark Airport</t>
  </si>
  <si>
    <t>40.617449476427396</t>
  </si>
  <si>
    <t>Guest Suite in Queens, NY  Sparkle Rose Suite</t>
  </si>
  <si>
    <t>Deluxe 1 BR, Dedicated Office &amp; Hi-Speed Internet</t>
  </si>
  <si>
    <t>40.68351831084548</t>
  </si>
  <si>
    <t>The Hudson â€¢ Vibe 8686</t>
  </si>
  <si>
    <t>Lovely 2 bedroom home in the heart of Brooklyn</t>
  </si>
  <si>
    <t>40.64281186571618</t>
  </si>
  <si>
    <t>Sophisticated Studio in Manhattan</t>
  </si>
  <si>
    <t>HOTEL FIVE44 - Deluxe Queen Room</t>
  </si>
  <si>
    <t>25 Min-&gt;Times Sq|Save on 2Day+ Stays</t>
  </si>
  <si>
    <t>Full bedroom</t>
  </si>
  <si>
    <t>Monthly Discounts in Sunny apt w/Balcony+Parking</t>
  </si>
  <si>
    <t>40.697307213560286</t>
  </si>
  <si>
    <t>Beautiful, 1br, renovated, near Central Park</t>
  </si>
  <si>
    <t>Large, Modern, Bright 2-Story NYC Loft</t>
  </si>
  <si>
    <t>Standard 2 Double Beds Room in Soho</t>
  </si>
  <si>
    <t>40.71976603760804</t>
  </si>
  <si>
    <t>Standard Queen Bed Room in Soho</t>
  </si>
  <si>
    <t>40.719812218369945</t>
  </si>
  <si>
    <t>North Slope Parlor Suite</t>
  </si>
  <si>
    <t>40.67884855386354</t>
  </si>
  <si>
    <t>Luxurious Comfortable Suite</t>
  </si>
  <si>
    <t>Huge New Luxury Park View Apartment w Office &amp;Gym</t>
  </si>
  <si>
    <t>40.73487217929568</t>
  </si>
  <si>
    <t>Stylish Space W/D Grt Location!</t>
  </si>
  <si>
    <t>40.87502216678348</t>
  </si>
  <si>
    <t>UES Spacious 2BR (30 days MIN)</t>
  </si>
  <si>
    <t>40.783301184332444</t>
  </si>
  <si>
    <t>40.65503635761535</t>
  </si>
  <si>
    <t>*South Ozone Park Gem* 5 mins from JFK Airport</t>
  </si>
  <si>
    <t>Modern, elegant 2 bed RM Apt#3</t>
  </si>
  <si>
    <t>Room  in heart of NYC  (DM for short stay)</t>
  </si>
  <si>
    <t>Private room with shower on Union Square side 3</t>
  </si>
  <si>
    <t>Freehand New York - 3 Company</t>
  </si>
  <si>
    <t>Bright &amp; spacious, south Ex, Elevator Building</t>
  </si>
  <si>
    <t>Modern Deluxe 1BR with Bonus Room, WFH Desk, Wi-Fi</t>
  </si>
  <si>
    <t>40.681980429841055</t>
  </si>
  <si>
    <t>Walking Distance to Columbia University Hospital</t>
  </si>
  <si>
    <t>Large, Sunny Bedroom in Multi-Generational Home</t>
  </si>
  <si>
    <t>40.81631142030235</t>
  </si>
  <si>
    <t>Spacious comfortable Brooklyn apartment</t>
  </si>
  <si>
    <t>Cozy Williamsburg studio</t>
  </si>
  <si>
    <t>40.71595097443146</t>
  </si>
  <si>
    <t>Huge Stylish room in Brooklyn</t>
  </si>
  <si>
    <t>40.68117332526153</t>
  </si>
  <si>
    <t>Hudson Heights!  2 Br. apt Townhouse, garden views</t>
  </si>
  <si>
    <t>40.853073036747226</t>
  </si>
  <si>
    <t>Astoria Apartment</t>
  </si>
  <si>
    <t>Live like a West Village local! (w/ washer/dryer!)</t>
  </si>
  <si>
    <t>40.73871463234879</t>
  </si>
  <si>
    <t>Studio with Private Bathroom Midtown Manhattan #82</t>
  </si>
  <si>
    <t>40.745927332977864</t>
  </si>
  <si>
    <t>Space in cozy, modern Brooklyn home unit2</t>
  </si>
  <si>
    <t>Private Bathroom in a Large &amp; Charming Bedroom</t>
  </si>
  <si>
    <t>Minimalist Queen Studio Central Park Columbia Uni</t>
  </si>
  <si>
    <t>40.807367646195544</t>
  </si>
  <si>
    <t>Quiet Cozy Private room near Columbia/Mt Sinai</t>
  </si>
  <si>
    <t>10 min Taxi LaGuardia SELF Check-in Private Room</t>
  </si>
  <si>
    <t>40.773377053102735</t>
  </si>
  <si>
    <t>Big 1-bd in heart of Brooklyn!</t>
  </si>
  <si>
    <t>40.674023086942114</t>
  </si>
  <si>
    <t>NEW: Harmonious and Gorgeous Chelsea Haven</t>
  </si>
  <si>
    <t>Condo in Brooklyn</t>
  </si>
  <si>
    <t>40.67452762421028</t>
  </si>
  <si>
    <t>Cozy Room in the Heart of Harlem, NYC</t>
  </si>
  <si>
    <t>40.809044458939134</t>
  </si>
  <si>
    <t>Cypress Hills Cozy room</t>
  </si>
  <si>
    <t>40.68662959420523</t>
  </si>
  <si>
    <t>Quaint 2 BR Apt By Central Park</t>
  </si>
  <si>
    <t>40.79397402046663</t>
  </si>
  <si>
    <t>The Highline â€¢ Vibe 8712</t>
  </si>
  <si>
    <t>40.74479840000001</t>
  </si>
  <si>
    <t>The Lisa â€¢ Vibe 8711</t>
  </si>
  <si>
    <t>Charming Studio close Empire State &amp; 5th Ave #54</t>
  </si>
  <si>
    <t>40.748125389780014</t>
  </si>
  <si>
    <t>Times Square Tiny Shared Bath Private Studio #5215</t>
  </si>
  <si>
    <t>Deluxe Two Queens Sofa City View</t>
  </si>
  <si>
    <t>138 Bowery  Spacious 1 Bedroom</t>
  </si>
  <si>
    <t>Brooklyns Best</t>
  </si>
  <si>
    <t>40.627996424054416</t>
  </si>
  <si>
    <t>Modern garden apartment</t>
  </si>
  <si>
    <t>40.685960497809106</t>
  </si>
  <si>
    <t>Family Studio 5 people close to Times Square #68</t>
  </si>
  <si>
    <t>Stylish Alcove Studio Near South Beach/SIUH</t>
  </si>
  <si>
    <t>Murray Hill one bedroom Gem</t>
  </si>
  <si>
    <t>40.74468553455413</t>
  </si>
  <si>
    <t>Charming Apt, w/WasherDryer &amp; Balcony!</t>
  </si>
  <si>
    <t>40.70633947156612</t>
  </si>
  <si>
    <t>City Light Room, private bedroom</t>
  </si>
  <si>
    <t>Mellow Yellow Private Bedroom</t>
  </si>
  <si>
    <t>40.625624840687166</t>
  </si>
  <si>
    <t>2 Bedrooms with patio and backyard</t>
  </si>
  <si>
    <t>The Vibe on 5th X â€¢ Vibe 8759</t>
  </si>
  <si>
    <t>The Vibe on 5th VI â€¢ Vibe 8755</t>
  </si>
  <si>
    <t>Spacious 4BD/2BA Duplex+Backyard+Laundry/UES</t>
  </si>
  <si>
    <t>40.77717105077851</t>
  </si>
  <si>
    <t>The Vibe on 5th â€¢ Vibe 8750</t>
  </si>
  <si>
    <t>The Vibe on 5th II â€¢ Vibe 8751</t>
  </si>
  <si>
    <t>The Vibe on 5th IV â€¢ Vibe 8753</t>
  </si>
  <si>
    <t>Cozy Room next to columbia &amp; Central Park</t>
  </si>
  <si>
    <t>40.797786363181764</t>
  </si>
  <si>
    <t>Room A2 Double Queen</t>
  </si>
  <si>
    <t>Stylish 2BD Apt nr Times Square + Washer&amp;Dryer/Gym</t>
  </si>
  <si>
    <t>Ultra Luxe Williamsburg Loft w/ Rooftop/Gym/Lounge</t>
  </si>
  <si>
    <t>Relaxing Full Bed&amp;Workspace with Backyard Access"</t>
  </si>
  <si>
    <t>40.685140809488374</t>
  </si>
  <si>
    <t>Private Private Room in Brooklyn</t>
  </si>
  <si>
    <t>40.60712371806962</t>
  </si>
  <si>
    <t>Exclusive Apartment  428 | Shared Bathroom</t>
  </si>
  <si>
    <t>40.74649529534475</t>
  </si>
  <si>
    <t>A Private Suite - convenient &amp; near Subway</t>
  </si>
  <si>
    <t>Cozy Place in a Cozy Home</t>
  </si>
  <si>
    <t>40.72738345196743</t>
  </si>
  <si>
    <t>Quiet and clean Room in Midtown Manhattan! !</t>
  </si>
  <si>
    <t>40.76115379757485</t>
  </si>
  <si>
    <t>Sunny room with Rooftop Views in Central Brooklyn</t>
  </si>
  <si>
    <t>Luxe Upper East Side 3 bedroom</t>
  </si>
  <si>
    <t>Cosy room w Bath, Wrkspc and full of Sunlight</t>
  </si>
  <si>
    <t>1-Bedroom-Home</t>
  </si>
  <si>
    <t>40.75532621870821</t>
  </si>
  <si>
    <t>Spacious Modern Entire 2BR&amp;2 Full Baths/Private</t>
  </si>
  <si>
    <t>Studio Style w/ 2 Beds in Midtown |No Cleaning Fee</t>
  </si>
  <si>
    <t>Cozy Crown Heights Retreat</t>
  </si>
  <si>
    <t>40.674395485978415</t>
  </si>
  <si>
    <t>Our NY home</t>
  </si>
  <si>
    <t>Spacious Apartment NYC Views for 7 p # 10</t>
  </si>
  <si>
    <t>1BR Sunnyside Apt, 7 min from 7 Train 40th Station</t>
  </si>
  <si>
    <t>Balcony Private 2 Beds 1 Bath 15 Mins to Manhattan</t>
  </si>
  <si>
    <t>Designer West Village Pool House</t>
  </si>
  <si>
    <t>Empire State Studio</t>
  </si>
  <si>
    <t>New 3Bedroom 2Bath Central Bklyn</t>
  </si>
  <si>
    <t>BIG 4BR 2BA near Trains in Brooklyn</t>
  </si>
  <si>
    <t>40.67604856939594</t>
  </si>
  <si>
    <t>Walk to all best location in Manhattan</t>
  </si>
  <si>
    <t>40.74197286287296</t>
  </si>
  <si>
    <t>Sunny Williamsburg Garden Bdrm.</t>
  </si>
  <si>
    <t>40.71922339562805</t>
  </si>
  <si>
    <t>Luxury 6BR Home in Brooklyn</t>
  </si>
  <si>
    <t>40.677203589321266</t>
  </si>
  <si>
    <t>Spacious one bedroom w/ patio</t>
  </si>
  <si>
    <t>private studio with a private bathroom</t>
  </si>
  <si>
    <t>Cozy Room with Full &amp; Twin Beds</t>
  </si>
  <si>
    <t>Number one location</t>
  </si>
  <si>
    <t>40.74191284767835</t>
  </si>
  <si>
    <t>Large KingBedrm-All new Furniture, Clean (2B)</t>
  </si>
  <si>
    <t>Comfy Room in Manhattan close to Subway</t>
  </si>
  <si>
    <t>40.852211577679945</t>
  </si>
  <si>
    <t>Beautiful Private ROOM</t>
  </si>
  <si>
    <t>Exclusive Apartment  219 | Shared Bathroom</t>
  </si>
  <si>
    <t>40.74696364707561</t>
  </si>
  <si>
    <t>High-End Massive 1 Bedroom Condo with Views</t>
  </si>
  <si>
    <t>Stunning Studio, Downtown Manhattan, W Residences</t>
  </si>
  <si>
    <t>Deluxe studio in Turtle Bay</t>
  </si>
  <si>
    <t>BEST Williamsburg location! Cozy</t>
  </si>
  <si>
    <t>40.71687043991017</t>
  </si>
  <si>
    <t>Starr Place I by RoveTravel | 2BR Duplex w/ Patio</t>
  </si>
  <si>
    <t>The Lisa II â€¢ Vibe 8729</t>
  </si>
  <si>
    <t>Cozy and Stylish 1 Bedroom Apt in the UWS #6166</t>
  </si>
  <si>
    <t>40.785255430388474</t>
  </si>
  <si>
    <t>Chelsea Vista II by Rove Travel 2BR PH with Roofto</t>
  </si>
  <si>
    <t>Entire 1BR Apartment near LGA Flushing, 7 Train</t>
  </si>
  <si>
    <t>40.780562658976734</t>
  </si>
  <si>
    <t>Sweet Family Studio</t>
  </si>
  <si>
    <t>Exclusive Apartment 724 | Shared bathroom</t>
  </si>
  <si>
    <t>40.747829432771994</t>
  </si>
  <si>
    <t>Private Studio 236 | Private Bathroom</t>
  </si>
  <si>
    <t>Two bedrooms best location in Manhattan.</t>
  </si>
  <si>
    <t>40.718694821035164</t>
  </si>
  <si>
    <t>Amazing UWS Sunny 2 Bedrooms with Balcony #6178</t>
  </si>
  <si>
    <t>Comfy Room in Hell's Kitchen</t>
  </si>
  <si>
    <t>Cozy 3BR/2BTH w/balcony</t>
  </si>
  <si>
    <t>Close to all best locations</t>
  </si>
  <si>
    <t>Stylish Park Ave Retreat+Rooftop</t>
  </si>
  <si>
    <t>40.74809246917742</t>
  </si>
  <si>
    <t>The Egale's Nest W/ Shared Bath</t>
  </si>
  <si>
    <t>Sunnyhome1p(Located in Flushingï¼‰</t>
  </si>
  <si>
    <t>Little Neck</t>
  </si>
  <si>
    <t>Adorable Basement Apt</t>
  </si>
  <si>
    <t>40.73029307653505</t>
  </si>
  <si>
    <t>7 Beds, Best for Families/Groups</t>
  </si>
  <si>
    <t>Standard Room with 1 King Bed</t>
  </si>
  <si>
    <t>SunnyHome9(Location in Flushingï¼‰</t>
  </si>
  <si>
    <t>New York House . Brand new</t>
  </si>
  <si>
    <t>The Max â€¢ Vibe 8731</t>
  </si>
  <si>
    <t>Big 1 Bedroom in Financial Dist.</t>
  </si>
  <si>
    <t>40.71045061275744</t>
  </si>
  <si>
    <t>The Hudson II â€¢ Vibe 8732</t>
  </si>
  <si>
    <t>Exclusive Studio 630 | Private Bathroom</t>
  </si>
  <si>
    <t>Hosted Fabulous Apt in Rosedale Queens NY</t>
  </si>
  <si>
    <t>A rare 2-double option in 1904 gem</t>
  </si>
  <si>
    <t>Convenient 1-bed Apartment close to NYU/Subway</t>
  </si>
  <si>
    <t>Furnished UES 2BR (30 days MIN)</t>
  </si>
  <si>
    <t>Washington Heights Apartment - fantastic views</t>
  </si>
  <si>
    <t>2BR Upper East (30 DAY MIN)</t>
  </si>
  <si>
    <t>40.782198814640076</t>
  </si>
  <si>
    <t>The Lisa III â€¢ Vibe 8735</t>
  </si>
  <si>
    <t>Home Sweet Home 2</t>
  </si>
  <si>
    <t>cozy peace house 2</t>
  </si>
  <si>
    <t>Exclusive Studio 409 | Private Bathroom</t>
  </si>
  <si>
    <t>Chic East Village 1BDR | Fast WiFi + Desk</t>
  </si>
  <si>
    <t>40.72752374436039</t>
  </si>
  <si>
    <t>Studio Apartment in Chelsea, NY - Balcony/Elevator</t>
  </si>
  <si>
    <t>Madison Ave Oasis</t>
  </si>
  <si>
    <t>40.80995769521154</t>
  </si>
  <si>
    <t>New Renovated UWS Private Bath Studio Elevator 42A</t>
  </si>
  <si>
    <t>Trendy Hotel with 2 Double Beds in Lower East Side</t>
  </si>
  <si>
    <t>Separate sleeping/living spaces &amp; sweet city views</t>
  </si>
  <si>
    <t>Modern Cozy Studio in the heart of Chelsea#6164</t>
  </si>
  <si>
    <t>40.74171344802058</t>
  </si>
  <si>
    <t>Family Studio for 5 people near Empire #53</t>
  </si>
  <si>
    <t>40.74600491979316</t>
  </si>
  <si>
    <t>2BR with great kitchen</t>
  </si>
  <si>
    <t>Clinton Hill - Stunning 1 bedroom</t>
  </si>
  <si>
    <t>Sunnyhome6P(Located in Flushing)</t>
  </si>
  <si>
    <t>Serenity at the Heart of NYC l No Cleaning fee</t>
  </si>
  <si>
    <t>Panoramic Corner King with Brooklyn Bridge View</t>
  </si>
  <si>
    <t>Newly Renovated Chelsea JR 1 BR</t>
  </si>
  <si>
    <t>Cozy Whole Apartment, Fast Wifi, Kitchen,TV,AC</t>
  </si>
  <si>
    <t>Cute Quiet Renovated UWS Studio W/ Elevator #618</t>
  </si>
  <si>
    <t>Mulzac Rentals - The Loft Penthouse</t>
  </si>
  <si>
    <t>40.68004625918556</t>
  </si>
  <si>
    <t>Exclusive Studio 536 | Private Bathroom</t>
  </si>
  <si>
    <t>Cozy and Sunny Studio in Chelsea #6154D</t>
  </si>
  <si>
    <t>Private Bedroom with In Suite bath in LES</t>
  </si>
  <si>
    <t>BigApple Journey | Broadway. Fitness Center</t>
  </si>
  <si>
    <t>40.76367171013065</t>
  </si>
  <si>
    <t>Tiny Shared Bath Private Studio Times Square #407</t>
  </si>
  <si>
    <t>Tiny Private Bath Private Studio Times Square #405</t>
  </si>
  <si>
    <t>40.758536356049206</t>
  </si>
  <si>
    <t>Stylish, Quiet Times Square Room w/Private Bath</t>
  </si>
  <si>
    <t>Chic Duplex 1BD Near Central Park, Upper East Side</t>
  </si>
  <si>
    <t>Brand New, Heart of Times Square | City View</t>
  </si>
  <si>
    <t>40.76056117967325</t>
  </si>
  <si>
    <t>Renovated 5 Bedroom APT</t>
  </si>
  <si>
    <t>Room in 1BR APT - East Village Oasis</t>
  </si>
  <si>
    <t>Tiny Private Bath Private Studio Times Square #414</t>
  </si>
  <si>
    <t>40.758915064243396</t>
  </si>
  <si>
    <t>The Grand â€¢ Vibe 8737</t>
  </si>
  <si>
    <t>Beautiful Queen bedroom 5 mins from JFK airport</t>
  </si>
  <si>
    <t>New Renovated UWS Private Bath Studio Elevator 324</t>
  </si>
  <si>
    <t>40.79317488964186</t>
  </si>
  <si>
    <t>Tiny Shared Bath Private Studio Times Square #203</t>
  </si>
  <si>
    <t>The Magic of the East</t>
  </si>
  <si>
    <t>Bright &amp; Spacious Fully Furnished 2-Bedrooms in Pr</t>
  </si>
  <si>
    <t>40.73301696777344</t>
  </si>
  <si>
    <t>East Side Manhattan quiet Room</t>
  </si>
  <si>
    <t>Tiny Shared Bath Private Studio Times Square #211</t>
  </si>
  <si>
    <t>Exclusive Apartment 417 | Shared Bathroom</t>
  </si>
  <si>
    <t>New 1-bed, Prime UES, W/D</t>
  </si>
  <si>
    <t>40.77179890022862</t>
  </si>
  <si>
    <t>The Jungle Wild Luxe Room.</t>
  </si>
  <si>
    <t>40.76466401553497</t>
  </si>
  <si>
    <t>Beautiful bedroom in a cozy home</t>
  </si>
  <si>
    <t>40.88075919048522</t>
  </si>
  <si>
    <t>Brand NEW Howard Beach Gem</t>
  </si>
  <si>
    <t>40.66369819507928</t>
  </si>
  <si>
    <t>Brownstone Garden Duplex</t>
  </si>
  <si>
    <t>Flex Room in Manhattan</t>
  </si>
  <si>
    <t>Cozy+Remodel+HeartOfAstoria+WFH+Close To NYC Train</t>
  </si>
  <si>
    <t>Cultural City| Empire State l High Floor</t>
  </si>
  <si>
    <t>Exclusive Apartment 528 | Shared Bathroom</t>
  </si>
  <si>
    <t>40.74809946448135</t>
  </si>
  <si>
    <t>Boutique hotel in Long Island City</t>
  </si>
  <si>
    <t>Whimsical Charm| Sightseeing. Rooftop Restaurant</t>
  </si>
  <si>
    <t>40.76535506701444</t>
  </si>
  <si>
    <t>Newly Renovated Studio in UES</t>
  </si>
  <si>
    <t>40.76997341274069</t>
  </si>
  <si>
    <t>Shared Bath Cute Loft Chelsea Micro Studio #3196</t>
  </si>
  <si>
    <t>Tiny Shared Bath Private Studio Times Square #508</t>
  </si>
  <si>
    <t>Dream Midtown, trendy hotel room</t>
  </si>
  <si>
    <t>The Gram â€¢ Vibe 8581</t>
  </si>
  <si>
    <t>40.74151870439823</t>
  </si>
  <si>
    <t>Hotel on Fifth Avenue with luxury touches</t>
  </si>
  <si>
    <t>Exclusive Apartment 512 | Shared Bathroom</t>
  </si>
  <si>
    <t>Luxury 3BE/3BA Duplex in Brooklyn/Few min to NYC</t>
  </si>
  <si>
    <t>Exclusive Apartment 813 | Shared Bathroom</t>
  </si>
  <si>
    <t>Cozy and Beautiful Room</t>
  </si>
  <si>
    <t>138 Bowery Studio</t>
  </si>
  <si>
    <t>Cozy Room Minutes from Manhattan</t>
  </si>
  <si>
    <t>40.82100602432106</t>
  </si>
  <si>
    <t>Tiny Shared Bath Private Studio Times Square #309</t>
  </si>
  <si>
    <t>40.75888172709082</t>
  </si>
  <si>
    <t>Premium Mount Hope Apartment</t>
  </si>
  <si>
    <t>Tiny Private Bath Private Studio Times Square #505</t>
  </si>
  <si>
    <t>The Lenox</t>
  </si>
  <si>
    <t>40.81070566011659</t>
  </si>
  <si>
    <t>Exclusive Apartment 526 | Shared Bathroom</t>
  </si>
  <si>
    <t>40.746440258977835</t>
  </si>
  <si>
    <t>Chic &amp; Stylish 2BD w Gym, Doorman nr Times Square</t>
  </si>
  <si>
    <t>Comfy queen, plus free coffee</t>
  </si>
  <si>
    <t>High Tech apartment in Brooklyn</t>
  </si>
  <si>
    <t>40.584283862117736</t>
  </si>
  <si>
    <t>Master bedroom with desk in Brooklyn</t>
  </si>
  <si>
    <t>40.69916899442408</t>
  </si>
  <si>
    <t>Exclusive Apartment 418 | Shared Bathroom</t>
  </si>
  <si>
    <t>40.74629417595903</t>
  </si>
  <si>
    <t>Good Day New York</t>
  </si>
  <si>
    <t>Exclusive apartment 727 | Shared Bathroom</t>
  </si>
  <si>
    <t>40.74785544490814</t>
  </si>
  <si>
    <t>Exclusive Apartment 218 | Shared Bathroom</t>
  </si>
  <si>
    <t>Lux style UWS penthouse(walk-up)</t>
  </si>
  <si>
    <t>Chic 1 Bed/1Bath in Manhattan</t>
  </si>
  <si>
    <t>Mac Does-It</t>
  </si>
  <si>
    <t>40.68214098797092</t>
  </si>
  <si>
    <t>Mac to Basics</t>
  </si>
  <si>
    <t>40.681989665693116</t>
  </si>
  <si>
    <t>Spacious, beautiful room UWS</t>
  </si>
  <si>
    <t>Cozy 2 bedroom UES (MIN 30 DAY)</t>
  </si>
  <si>
    <t>40.78130022750812</t>
  </si>
  <si>
    <t>The Rose Room</t>
  </si>
  <si>
    <t>40.687010632029214</t>
  </si>
  <si>
    <t>Coo Coo Cooper - Queen bed + En Suite Bathroom</t>
  </si>
  <si>
    <t>The Grand II â€¢ Vibe 8738</t>
  </si>
  <si>
    <t>2 "bedroom" with  outdoor space</t>
  </si>
  <si>
    <t>Exclusive Apartment 815 | Shared Bathroom</t>
  </si>
  <si>
    <t>40.74834077517245</t>
  </si>
  <si>
    <t>The Peony Room</t>
  </si>
  <si>
    <t>40.688612366962886</t>
  </si>
  <si>
    <t>Cozy Place in Hudson Yards</t>
  </si>
  <si>
    <t>SkyView Suite</t>
  </si>
  <si>
    <t>Beautiful Day!</t>
  </si>
  <si>
    <t>40.672807227592976</t>
  </si>
  <si>
    <t>Urban Charm: Stylish Subway Hideaway</t>
  </si>
  <si>
    <t>40.668571238753096</t>
  </si>
  <si>
    <t>Hells Kitchen Street View Room</t>
  </si>
  <si>
    <t>Large Queen Bed Apt  Workstation &amp; Fast Wifi.</t>
  </si>
  <si>
    <t>Crown Hghts+Brownstone Room w/En Suite+A/C Trains</t>
  </si>
  <si>
    <t>40.67703900000001</t>
  </si>
  <si>
    <t>Renovated Modern 1 BR in the Heart of Midtown East</t>
  </si>
  <si>
    <t>40.73571675397718</t>
  </si>
  <si>
    <t>Bright Private Room in Brooklyn</t>
  </si>
  <si>
    <t>Fully Equipped Daybed Rm, A/C Trains, Shared Bath</t>
  </si>
  <si>
    <t>Urban Refuge: Bay Ridge Warm Studio Escape</t>
  </si>
  <si>
    <t>City Sanctuary: Bay Ridge Tranquil Studio</t>
  </si>
  <si>
    <t>Luxury Timber Loft in the Heart of Williamsburg</t>
  </si>
  <si>
    <t>40.714267337669426</t>
  </si>
  <si>
    <t>Bay Ridge Studio with Classic New York Charm</t>
  </si>
  <si>
    <t>Prime Spot: Cozy Studio in Bay Ridge</t>
  </si>
  <si>
    <t>Urban Style Studio: Experience NYC in Bay Ridge</t>
  </si>
  <si>
    <t>Tiny Shared Bath Private Studio Times Square #510</t>
  </si>
  <si>
    <t>Cozy Studio private near Bus Station/LGA/US Open</t>
  </si>
  <si>
    <t>Great Studio for groups NY Empire State Views #8</t>
  </si>
  <si>
    <t>Bliss House â€¢ Fifth Ave â€¢ Parisian 2-Bed â€¢ No2A</t>
  </si>
  <si>
    <t>Tranquil Escape in Scenic NYC</t>
  </si>
  <si>
    <t>Peaceful Bklyn Garden Apartment</t>
  </si>
  <si>
    <t>40.64736300000001</t>
  </si>
  <si>
    <t>The Emerson â€¢ Vibe 8742</t>
  </si>
  <si>
    <t>Sonder Battery Park | Queen Studio Apartment</t>
  </si>
  <si>
    <t>40.70640865505761</t>
  </si>
  <si>
    <t>Sonder Battery Park | King Studio Apartment</t>
  </si>
  <si>
    <t>40.70643865068346</t>
  </si>
  <si>
    <t>Stunning Designer Chelsea Studio On The Best Block</t>
  </si>
  <si>
    <t>Times Square Manhattan 2bd with Views &amp; High Floor</t>
  </si>
  <si>
    <t>Shared Bathroom Tiny Sunny Chelsea Studio #323</t>
  </si>
  <si>
    <t>Flushing lux bedroom3  TV/AC near Queens college</t>
  </si>
  <si>
    <t>40.73661861279054</t>
  </si>
  <si>
    <t>Urban Escape | Museums. Fitness Center</t>
  </si>
  <si>
    <t>40.763850899999994</t>
  </si>
  <si>
    <t>Private Room Luxury Apt Building/Lower Manhattan</t>
  </si>
  <si>
    <t>40.704618337796624</t>
  </si>
  <si>
    <t>NYC Chelsea Studio &lt;Share bathroom&gt;</t>
  </si>
  <si>
    <t>40.70100014403156</t>
  </si>
  <si>
    <t>Stylish, Chic, Modern Spacious NoHo/E.Village</t>
  </si>
  <si>
    <t>EV Manhattan Studio near subway</t>
  </si>
  <si>
    <t>Distinctively Unique Stay In Lower East Side</t>
  </si>
  <si>
    <t>40.71532331961518</t>
  </si>
  <si>
    <t>Steps From The Lower East Side | Sightseeing</t>
  </si>
  <si>
    <t>40.71537027281324</t>
  </si>
  <si>
    <t>Exclusive Lodge</t>
  </si>
  <si>
    <t>40.86522919684173</t>
  </si>
  <si>
    <t>Spacious 2 Bedroom near United Nations</t>
  </si>
  <si>
    <t>Newly renovated two Bedrooms</t>
  </si>
  <si>
    <t>40.745487768816766</t>
  </si>
  <si>
    <t>Charming Studio Retreat in UES</t>
  </si>
  <si>
    <t>Brand New 2BR, W/D Prime Midtown</t>
  </si>
  <si>
    <t>Garden level apartment - 1B</t>
  </si>
  <si>
    <t>New York City Queen Royal Bedroom</t>
  </si>
  <si>
    <t>40.83324081400445</t>
  </si>
  <si>
    <t>Exclusive Studio 906 | Private Bathroom</t>
  </si>
  <si>
    <t>40.747658013314386</t>
  </si>
  <si>
    <t>Bright Cozy Loft With Water View</t>
  </si>
  <si>
    <t>Exclusive Apartment 432 | Shared Bathroom</t>
  </si>
  <si>
    <t>40.74808436868909</t>
  </si>
  <si>
    <t>Double Beds | Breakfast Included. Manhattan View</t>
  </si>
  <si>
    <t>Jamaica 3BR/1BA lavishApartment in heart of Queens</t>
  </si>
  <si>
    <t>Stunning 2BD/2BA in BxBrownstone</t>
  </si>
  <si>
    <t>40.82040871868392</t>
  </si>
  <si>
    <t>The haven retreat/near JFK</t>
  </si>
  <si>
    <t>Exclusive Apartment 631 | Shared Bathroom</t>
  </si>
  <si>
    <t>40.74815895408499</t>
  </si>
  <si>
    <t>Mod interiors inside Italian Renaissance faÃ§ade</t>
  </si>
  <si>
    <t>Full Pod in Pod 51 Hotel</t>
  </si>
  <si>
    <t>Low-key home base in Murray Hill</t>
  </si>
  <si>
    <t>Cozy UES Studio w/ Doorman, Gym and Pool #6185</t>
  </si>
  <si>
    <t>40.785414106414855</t>
  </si>
  <si>
    <t>Greenwich House â€¢ Biggy 1-Bedroom â€¢ No3</t>
  </si>
  <si>
    <t>1st Floor  two Bedroom apartment</t>
  </si>
  <si>
    <t>Beautiful Cozy 1BR Apt Step from Train, 15min City</t>
  </si>
  <si>
    <t>Amazing 1 Bed Loft w/Laundry &amp; Elevator #6183</t>
  </si>
  <si>
    <t>Guest Bedroom with private bath in Bushwick</t>
  </si>
  <si>
    <t>Gorgeous apartment in Bed-Stuy</t>
  </si>
  <si>
    <t>Sunny one bedroom apartment</t>
  </si>
  <si>
    <t>Private Apartment in Astoria</t>
  </si>
  <si>
    <t>40.763087219873654</t>
  </si>
  <si>
    <t>Beautiful, Clean, and Comfortable - Gold</t>
  </si>
  <si>
    <t>40.59992047465638</t>
  </si>
  <si>
    <t>NYCâ€™s largest all-season hotel rooftop bar</t>
  </si>
  <si>
    <t>626 10th ave 2 bedroom apt</t>
  </si>
  <si>
    <t>Chic downtown, w/ w/d in unit, By Subway</t>
  </si>
  <si>
    <t>Spacious 3BR Apt Near Central Park &amp; 6 Train</t>
  </si>
  <si>
    <t>40.79270800274113</t>
  </si>
  <si>
    <t>Pre-war beauty</t>
  </si>
  <si>
    <t>Delightful Room in Midtown Manhattan</t>
  </si>
  <si>
    <t>40.75572704799652</t>
  </si>
  <si>
    <t>Charming Guest Suite in Park Slope</t>
  </si>
  <si>
    <t>Private Room, Manhattan New York</t>
  </si>
  <si>
    <t>40.748043972719394</t>
  </si>
  <si>
    <t>Private Master BR (private Bath)</t>
  </si>
  <si>
    <t>40.841472170128526</t>
  </si>
  <si>
    <t>Stunning Duplex in Brooklyn</t>
  </si>
  <si>
    <t>1 bedroom apt with king bed</t>
  </si>
  <si>
    <t>40.89374268181802</t>
  </si>
  <si>
    <t>Perfection on the Upper East</t>
  </si>
  <si>
    <t>The Cottage Space</t>
  </si>
  <si>
    <t>Trendy Williamsburg Hotel with rooftop bar</t>
  </si>
  <si>
    <t>Nice Manhattan Stay</t>
  </si>
  <si>
    <t>Heart Of Brooklyn</t>
  </si>
  <si>
    <t>Urban Oasis Brooklyn</t>
  </si>
  <si>
    <t>40.57835826456867</t>
  </si>
  <si>
    <t>Modern new 1 bed w/ rooftop</t>
  </si>
  <si>
    <t>40.68655947267703</t>
  </si>
  <si>
    <t>brooklyn private room - D4</t>
  </si>
  <si>
    <t>40.69035222572368</t>
  </si>
  <si>
    <t>Spacious 1BR Apt in Bedstuy</t>
  </si>
  <si>
    <t>Classy 2 Bedroom near United Nations</t>
  </si>
  <si>
    <t>40.75559586331345</t>
  </si>
  <si>
    <t>138 Bowery 2 bed 2 bath apt</t>
  </si>
  <si>
    <t>407 West 51st  1 bed 1 bath</t>
  </si>
  <si>
    <t>Cozy Apartment near Manhattan</t>
  </si>
  <si>
    <t>40.744114093535664</t>
  </si>
  <si>
    <t>Cute 1BD heart of Williamsburg!</t>
  </si>
  <si>
    <t>Sunny 1-Bedroom Apt. in Manhattan</t>
  </si>
  <si>
    <t>40.78875151978058</t>
  </si>
  <si>
    <t>Wonderful Large 1 Bedroom !</t>
  </si>
  <si>
    <t>40.70929627880747</t>
  </si>
  <si>
    <t>Serene Suite w/ Kitchenette Near Central Park</t>
  </si>
  <si>
    <t>Experience True NYC Culture! Steps to Central Park</t>
  </si>
  <si>
    <t>Warm and Inviting Apartment Perfect for Long Stays</t>
  </si>
  <si>
    <t>Easy Access Large 1br Clinton Hill, W/D</t>
  </si>
  <si>
    <t>Monthly Gem | 2 Bed | WFH Office | 5 Subway Lines</t>
  </si>
  <si>
    <t>Grace NYC Suite near NYC 15min</t>
  </si>
  <si>
    <t>40.76303589600043</t>
  </si>
  <si>
    <t>Sunshine Village I</t>
  </si>
  <si>
    <t>Spacious 1-BR in Greenpoint, BK</t>
  </si>
  <si>
    <t>40.724422095441376</t>
  </si>
  <si>
    <t>Renovated 1 BR~UWS~Central Park</t>
  </si>
  <si>
    <t>Sunny top floor &amp; in unit W/D</t>
  </si>
  <si>
    <t>40.87528681174713</t>
  </si>
  <si>
    <t>Recently Renovated,2 BR/1Bath,Colombia University</t>
  </si>
  <si>
    <t>40.80321635436981</t>
  </si>
  <si>
    <t>Entire cozy 1 Bedroom apartment</t>
  </si>
  <si>
    <t>40.71485948490361</t>
  </si>
  <si>
    <t>Beautiful Garden Studio</t>
  </si>
  <si>
    <t>40.67417846904713</t>
  </si>
  <si>
    <t>626 10th avenue Junior 1 bed</t>
  </si>
  <si>
    <t>Exclusive Studio 1410 | Private Bathroom</t>
  </si>
  <si>
    <t>40.74779764513063</t>
  </si>
  <si>
    <t>Queens Studio Jewelâ€”Luxury &amp; Comfort Combined</t>
  </si>
  <si>
    <t>Exclusive Studio 102 | Half Bathroom</t>
  </si>
  <si>
    <t>Cozy Luxury Queen</t>
  </si>
  <si>
    <t>40.63465868386114</t>
  </si>
  <si>
    <t>Double Bed/Bedrm, Hall Bath in Prewar Doorman Apt</t>
  </si>
  <si>
    <t>Exquisite Studio Near JFK</t>
  </si>
  <si>
    <t>Gorgeous, sun-filled, and a view</t>
  </si>
  <si>
    <t>Bklyn studio Apt 20 min to JFK</t>
  </si>
  <si>
    <t>Stylish Prime Williamsburg King Bed with Office</t>
  </si>
  <si>
    <t>Apartment in Bushwick</t>
  </si>
  <si>
    <t>Home Away From Home:Home</t>
  </si>
  <si>
    <t>Artist Oasis on the Park</t>
  </si>
  <si>
    <t>40.72432357951167</t>
  </si>
  <si>
    <t>Full Suite Near JFK Airport</t>
  </si>
  <si>
    <t>40.68256349469537</t>
  </si>
  <si>
    <t>Spacious 2BR Near LaGuardia Airport in Astoria</t>
  </si>
  <si>
    <t>40.77231124671164</t>
  </si>
  <si>
    <t>Newly furnished one bedroom apartment</t>
  </si>
  <si>
    <t>Tiny Shared Bath Private Studio Times Square #104</t>
  </si>
  <si>
    <t>Historic Charm in Brooklyn: Brownstone Bliss</t>
  </si>
  <si>
    <t>Light &amp; Airy Brownstone Studio</t>
  </si>
  <si>
    <t>Large Room in heart of LES</t>
  </si>
  <si>
    <t>One Bedroom for Longer Stays</t>
  </si>
  <si>
    <t>Shared Bathroom Tiny Single Chelsea Studio #3406</t>
  </si>
  <si>
    <t>Great Sapce Near Prospect Park</t>
  </si>
  <si>
    <t>40.65704815911191</t>
  </si>
  <si>
    <t>Modern 1 Bedroom Close to Subway</t>
  </si>
  <si>
    <t>40.68317763514738</t>
  </si>
  <si>
    <t>Cozy 2-Person Apt Near JFK Airport &amp; Shopping Area</t>
  </si>
  <si>
    <t>40.69357692426255</t>
  </si>
  <si>
    <t>Large Modern Bedroom 1-B</t>
  </si>
  <si>
    <t>40.89283171537053</t>
  </si>
  <si>
    <t>*1BR apt â€“ Walk to Times Sq &amp; Empire State Bldg !*</t>
  </si>
  <si>
    <t>NYC Renovated Private Room (Shared Bathroom)</t>
  </si>
  <si>
    <t>Prime Madison Park location &amp; rooftop terrace</t>
  </si>
  <si>
    <t>Sonder The Merchant | Accessible Double Full Room</t>
  </si>
  <si>
    <t>40.72103063916854</t>
  </si>
  <si>
    <t>Room</t>
  </si>
  <si>
    <t>Borough</t>
  </si>
  <si>
    <t>price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</si>
  <si>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</si>
  <si>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</si>
  <si>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</si>
  <si>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</si>
  <si>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</si>
  <si>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</si>
  <si>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</si>
  <si>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</si>
  <si>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</si>
  <si>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</si>
  <si>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</si>
  <si>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</si>
  <si>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</si>
  <si>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beds</t>
  </si>
  <si>
    <t>bathrooms</t>
  </si>
  <si>
    <t>borough</t>
  </si>
  <si>
    <t>room</t>
  </si>
  <si>
    <t>Number of reviews</t>
  </si>
  <si>
    <t>Reviews per month</t>
  </si>
  <si>
    <t>SUMMARY OUTPUT</t>
  </si>
  <si>
    <t>Regression Statistics</t>
  </si>
  <si>
    <t>Multiple R</t>
  </si>
  <si>
    <t>R Square</t>
  </si>
  <si>
    <t>Adjusted R Square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</si>
  <si>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</si>
  <si>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</si>
  <si>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</si>
  <si>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</si>
  <si>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</si>
  <si>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</si>
  <si>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</si>
  <si>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</si>
  <si>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</si>
  <si>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</si>
  <si>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</si>
  <si>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</si>
  <si>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</si>
  <si>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</si>
  <si>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</si>
  <si>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</si>
  <si>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</si>
  <si>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</si>
  <si>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Estimated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</si>
</sst>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8" fontId="0" fillId="0" borderId="0" xfId="0" applyNumberFormat="1"/>
    <xf numFmtId="0" fontId="0" fillId="0" borderId="0" xfId="0" quotePrefix="1"/>
    <xf numFmtId="0" fontId="0" fillId="0" borderId="1" xfId="0" applyBorder="1"/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Continuous"/>
    </xf>
    <xf numFmtId="0" fontId="0" fillId="0" borderId="0" xfId="0" applyAlignment="1">
      <alignment horizontal="center" vertical="center"/>
    </xf>
    <xf numFmtId="0" fontId="0" fillId="3" borderId="0" xfId="0" applyFill="1"/>
    <xf numFmtId="0" fontId="0" fillId="0" borderId="3" xfId="0" applyBorder="1"/>
    <xf numFmtId="8" fontId="0" fillId="0" borderId="3" xfId="0" applyNumberFormat="1" applyBorder="1"/>
    <xf numFmtId="0" fontId="1" fillId="2" borderId="0" xfId="0" applyFont="1" applyFill="1"/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2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Continuous"/>
    </xf>
    <xf numFmtId="0" fontId="0" fillId="3" borderId="0" xfId="0" applyFill="1" applyBorder="1" applyAlignment="1"/>
  </cellXfs>
  <cellStyles count="1">
    <cellStyle name="Normal" xfId="0" builtinId="0"/>
  </cellStyles>
  <dxfs count="13">
    <dxf>
      <numFmt numFmtId="0" formatCode="General"/>
    </dxf>
    <dxf>
      <numFmt numFmtId="19" formatCode="m/d/yyyy"/>
    </dxf>
    <dxf>
      <numFmt numFmtId="12" formatCode="&quot;$&quot;#,##0.00_);[Red]\(&quot;$&quot;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2" formatCode="&quot;$&quot;#,##0.00_);[Red]\(&quot;$&quot;#,##0.00\)"/>
      <border diagonalUp="0" diagonalDown="0">
        <left/>
        <right/>
        <top style="thin">
          <color theme="1"/>
        </top>
        <bottom/>
        <vertical/>
        <horizontal/>
      </border>
    </dxf>
    <dxf>
      <border outline="0">
        <right style="thin">
          <color theme="1"/>
        </right>
        <top style="thin">
          <color theme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1"/>
          <bgColor theme="1"/>
        </patternFill>
      </fill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</dxf>
    <dxf>
      <numFmt numFmtId="19" formatCode="m/d/yyyy"/>
    </dxf>
    <dxf>
      <numFmt numFmtId="12" formatCode="&quot;$&quot;#,##0.00_);[Red]\(&quot;$&quot;#,##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Actual Price Vs Estimated Price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'Actual Price Vs Estimated Price'!$A$1</c:f>
              <c:strCache>
                <c:ptCount val="1"/>
                <c:pt idx="0">
                  <c:v>Price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'Actual Price Vs Estimated Price'!$A$2:$A$11</c:f>
              <c:numCache>
                <c:formatCode>"$"#,##0.00_);[Red]\("$"#,##0.00\)</c:formatCode>
                <c:ptCount val="10"/>
                <c:pt idx="0">
                  <c:v>59</c:v>
                </c:pt>
                <c:pt idx="1">
                  <c:v>85</c:v>
                </c:pt>
                <c:pt idx="2">
                  <c:v>90</c:v>
                </c:pt>
                <c:pt idx="3">
                  <c:v>116</c:v>
                </c:pt>
                <c:pt idx="4">
                  <c:v>60</c:v>
                </c:pt>
                <c:pt idx="5">
                  <c:v>195</c:v>
                </c:pt>
                <c:pt idx="6">
                  <c:v>336</c:v>
                </c:pt>
                <c:pt idx="7">
                  <c:v>246</c:v>
                </c:pt>
                <c:pt idx="8">
                  <c:v>130</c:v>
                </c:pt>
                <c:pt idx="9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34-4007-B595-10A0353FACCB}"/>
            </c:ext>
          </c:extLst>
        </c:ser>
        <c:ser>
          <c:idx val="1"/>
          <c:order val="1"/>
          <c:tx>
            <c:strRef>
              <c:f>'Actual Price Vs Estimated Price'!$B$1</c:f>
              <c:strCache>
                <c:ptCount val="1"/>
                <c:pt idx="0">
                  <c:v>Estimated Price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'Actual Price Vs Estimated Price'!$B$2:$B$11</c:f>
              <c:numCache>
                <c:formatCode>General</c:formatCode>
                <c:ptCount val="10"/>
                <c:pt idx="0">
                  <c:v>94.070000000000007</c:v>
                </c:pt>
                <c:pt idx="1">
                  <c:v>82.510000000000019</c:v>
                </c:pt>
                <c:pt idx="2">
                  <c:v>83.670000000000016</c:v>
                </c:pt>
                <c:pt idx="3">
                  <c:v>154.95000000000002</c:v>
                </c:pt>
                <c:pt idx="4">
                  <c:v>124.66000000000004</c:v>
                </c:pt>
                <c:pt idx="5">
                  <c:v>126.61000000000001</c:v>
                </c:pt>
                <c:pt idx="6">
                  <c:v>237.34000000000006</c:v>
                </c:pt>
                <c:pt idx="7">
                  <c:v>160.75000000000003</c:v>
                </c:pt>
                <c:pt idx="8">
                  <c:v>172.45000000000002</c:v>
                </c:pt>
                <c:pt idx="9">
                  <c:v>69.849999999999994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34-4007-B595-10A0353FAC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4537279"/>
        <c:axId val="1934539679"/>
      </c:lineChart>
      <c:catAx>
        <c:axId val="193453727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4539679"/>
        <c:crosses val="autoZero"/>
        <c:auto val="1"/>
        <c:lblAlgn val="ctr"/>
        <c:lblOffset val="100"/>
        <c:noMultiLvlLbl val="0"/>
      </c:catAx>
      <c:valAx>
        <c:axId val="1934539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4537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txData>
          <cx:v>Nieghbourhood Group Vs Price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Nieghbourhood Group Vs Price</a:t>
          </a:r>
        </a:p>
      </cx:txPr>
    </cx:title>
    <cx:plotArea>
      <cx:plotAreaRegion>
        <cx:series layoutId="boxWhisker" uniqueId="{FD0FF8C4-0AEF-4FA4-AC1F-A3B7011B1687}">
          <cx:tx>
            <cx:txData>
              <cx:f>_xlchart.v1.1</cx:f>
              <cx:v>price</cx:v>
            </cx:txData>
          </cx:tx>
          <cx:spPr>
            <a:solidFill>
              <a:schemeClr val="accent1">
                <a:lumMod val="20000"/>
                <a:lumOff val="80000"/>
              </a:schemeClr>
            </a:solidFill>
          </cx:spPr>
          <cx:dataLabels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tle>
          <cx:tx>
            <cx:txData>
              <cx:v>Cities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Cities</a:t>
              </a:r>
            </a:p>
          </cx:txPr>
        </cx:title>
        <cx:tickLabels/>
      </cx:axis>
      <cx:axis id="1">
        <cx:valScaling/>
        <cx:title>
          <cx:tx>
            <cx:txData>
              <cx:v>Price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Price</a:t>
              </a:r>
            </a:p>
          </cx:txPr>
        </cx:title>
        <cx:majorGridlines/>
        <cx:tickLabels/>
      </cx:axis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val">
        <cx:f>_xlchart.v1.5</cx:f>
      </cx:numDim>
    </cx:data>
  </cx:chartData>
  <cx:chart>
    <cx:title pos="t" align="ctr" overlay="0">
      <cx:tx>
        <cx:txData>
          <cx:v>Room Type Vs Price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Room Type Vs Price</a:t>
          </a:r>
        </a:p>
      </cx:txPr>
    </cx:title>
    <cx:plotArea>
      <cx:plotAreaRegion>
        <cx:series layoutId="boxWhisker" uniqueId="{E5D56A53-F7F9-47EA-AAE8-E6208F3FD1EF}">
          <cx:tx>
            <cx:txData>
              <cx:f>_xlchart.v1.4</cx:f>
              <cx:v>price</cx:v>
            </cx:txData>
          </cx:tx>
          <cx:spPr>
            <a:solidFill>
              <a:schemeClr val="tx2">
                <a:lumMod val="10000"/>
                <a:lumOff val="90000"/>
              </a:schemeClr>
            </a:solidFill>
          </cx:spPr>
          <cx:dataLabels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tle>
          <cx:tx>
            <cx:txData>
              <cx:v>Room Type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Room Type</a:t>
              </a:r>
            </a:p>
          </cx:txPr>
        </cx:title>
        <cx:tickLabels/>
      </cx:axis>
      <cx:axis id="1">
        <cx:valScaling/>
        <cx:title>
          <cx:tx>
            <cx:txData>
              <cx:v>Price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Price</a:t>
              </a:r>
            </a:p>
          </cx:txPr>
        </cx:title>
        <cx:majorGridlines/>
        <cx:tickLabels/>
      </cx:axis>
    </cx:plotArea>
    <cx:legend pos="t" align="ctr" overlay="0"/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  <cx:data id="1">
      <cx:numDim type="val">
        <cx:f>_xlchart.v1.9</cx:f>
      </cx:numDim>
    </cx:data>
    <cx:data id="2">
      <cx:numDim type="val">
        <cx:f>_xlchart.v1.11</cx:f>
      </cx:numDim>
    </cx:data>
    <cx:data id="3">
      <cx:numDim type="val">
        <cx:f>_xlchart.v1.13</cx:f>
      </cx:numDim>
    </cx:data>
    <cx:data id="4">
      <cx:numDim type="val">
        <cx:f>_xlchart.v1.15</cx:f>
      </cx:numDim>
    </cx:data>
    <cx:data id="5">
      <cx:numDim type="val">
        <cx:f>_xlchart.v1.17</cx:f>
      </cx:numDim>
    </cx:data>
    <cx:data id="6">
      <cx:numDim type="val">
        <cx:f>_xlchart.v1.19</cx:f>
      </cx:numDim>
    </cx:data>
    <cx:data id="7">
      <cx:numDim type="val">
        <cx:f>_xlchart.v1.21</cx:f>
      </cx:numDim>
    </cx:data>
    <cx:data id="8">
      <cx:numDim type="val">
        <cx:f>_xlchart.v1.23</cx:f>
      </cx:numDim>
    </cx:data>
    <cx:data id="9">
      <cx:numDim type="val">
        <cx:f>_xlchart.v1.25</cx:f>
      </cx:numDim>
    </cx:data>
  </cx:chartData>
  <cx:chart>
    <cx:title pos="t" align="ctr" overlay="0">
      <cx:tx>
        <cx:txData>
          <cx:v>Correlation Matrix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Correlation Matrix</a:t>
          </a:r>
        </a:p>
      </cx:txPr>
    </cx:title>
    <cx:plotArea>
      <cx:plotAreaRegion>
        <cx:series layoutId="boxWhisker" uniqueId="{E51692B9-FB8A-42CE-88F1-24C3C4B5446E}">
          <cx:tx>
            <cx:txData>
              <cx:f>_xlchart.v1.6</cx:f>
              <cx:v>price</cx:v>
            </cx:txData>
          </cx:tx>
          <cx:spPr>
            <a:solidFill>
              <a:schemeClr val="accent1">
                <a:lumMod val="20000"/>
                <a:lumOff val="80000"/>
              </a:schemeClr>
            </a:solidFill>
          </cx:spPr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281DAD3A-8AEC-4B3F-BE96-EE356D30DA1F}">
          <cx:tx>
            <cx:txData>
              <cx:f>_xlchart.v1.8</cx:f>
              <cx:v>beds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38BE834B-89FB-43CC-B9C6-3C0FBAC26EC9}">
          <cx:tx>
            <cx:txData>
              <cx:f>_xlchart.v1.10</cx:f>
              <cx:v>bathrooms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8B0FB69F-8A72-4ADB-8F0D-F12686E84BA2}">
          <cx:tx>
            <cx:txData>
              <cx:f>_xlchart.v1.12</cx:f>
              <cx:v>borough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7A5FFDDE-A010-4448-B58D-E15E8A630BEB}">
          <cx:tx>
            <cx:txData>
              <cx:f>_xlchart.v1.14</cx:f>
              <cx:v>room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  <cx:series layoutId="boxWhisker" uniqueId="{9FD9BBB3-FD8E-42F1-97D1-85ED5FC47EFD}">
          <cx:tx>
            <cx:txData>
              <cx:f>_xlchart.v1.16</cx:f>
              <cx:v>Number of reviews</cx:v>
            </cx:txData>
          </cx:tx>
          <cx:spPr>
            <a:solidFill>
              <a:schemeClr val="accent3">
                <a:lumMod val="20000"/>
                <a:lumOff val="80000"/>
              </a:schemeClr>
            </a:solidFill>
          </cx:spPr>
          <cx:dataId val="5"/>
          <cx:layoutPr>
            <cx:visibility meanLine="0" meanMarker="1" nonoutliers="0" outliers="1"/>
            <cx:statistics quartileMethod="exclusive"/>
          </cx:layoutPr>
        </cx:series>
        <cx:series layoutId="boxWhisker" uniqueId="{5EA98259-2E3E-42E7-80CB-5194113020C7}">
          <cx:tx>
            <cx:txData>
              <cx:f>_xlchart.v1.18</cx:f>
              <cx:v>Reviews per month</cx:v>
            </cx:txData>
          </cx:tx>
          <cx:dataId val="6"/>
          <cx:layoutPr>
            <cx:visibility meanLine="0" meanMarker="1" nonoutliers="0" outliers="1"/>
            <cx:statistics quartileMethod="exclusive"/>
          </cx:layoutPr>
        </cx:series>
        <cx:series layoutId="boxWhisker" uniqueId="{70A6A697-D8BC-4A53-A88D-4E707B7B5C21}">
          <cx:tx>
            <cx:txData>
              <cx:f>_xlchart.v1.20</cx:f>
              <cx:v>Availability 365</cx:v>
            </cx:txData>
          </cx:tx>
          <cx:spPr>
            <a:solidFill>
              <a:schemeClr val="accent2">
                <a:lumMod val="20000"/>
                <a:lumOff val="80000"/>
              </a:schemeClr>
            </a:solidFill>
          </cx:spPr>
          <cx:dataId val="7"/>
          <cx:layoutPr>
            <cx:visibility meanLine="0" meanMarker="1" nonoutliers="0" outliers="1"/>
            <cx:statistics quartileMethod="exclusive"/>
          </cx:layoutPr>
        </cx:series>
        <cx:series layoutId="boxWhisker" uniqueId="{B3309478-D0C1-44A2-BCB0-E2D65CE75370}">
          <cx:tx>
            <cx:txData>
              <cx:f>_xlchart.v1.22</cx:f>
              <cx:v>Minimum Nights</cx:v>
            </cx:txData>
          </cx:tx>
          <cx:spPr>
            <a:solidFill>
              <a:schemeClr val="accent6">
                <a:lumMod val="20000"/>
                <a:lumOff val="80000"/>
              </a:schemeClr>
            </a:solidFill>
          </cx:spPr>
          <cx:dataId val="8"/>
          <cx:layoutPr>
            <cx:visibility meanLine="0" meanMarker="1" nonoutliers="0" outliers="1"/>
            <cx:statistics quartileMethod="exclusive"/>
          </cx:layoutPr>
        </cx:series>
        <cx:series layoutId="boxWhisker" uniqueId="{E3B0A7F4-0C50-4D14-B5F1-1928126158D8}">
          <cx:tx>
            <cx:txData>
              <cx:f>_xlchart.v1.24</cx:f>
              <cx:v>Accommodates</cx:v>
            </cx:txData>
          </cx:tx>
          <cx:dataId val="9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15</xdr:col>
      <xdr:colOff>480060</xdr:colOff>
      <xdr:row>28</xdr:row>
      <xdr:rowOff>160020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8060C967-923B-4BF1-8CA2-84558D422F9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15640" y="182880"/>
              <a:ext cx="7185660" cy="50977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289560</xdr:colOff>
      <xdr:row>0</xdr:row>
      <xdr:rowOff>179070</xdr:rowOff>
    </xdr:from>
    <xdr:to>
      <xdr:col>14</xdr:col>
      <xdr:colOff>152400</xdr:colOff>
      <xdr:row>29</xdr:row>
      <xdr:rowOff>91440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0F31C938-D1ED-CD8C-C988-0DEC8C3458D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69820" y="179070"/>
              <a:ext cx="6568440" cy="52158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45720</xdr:colOff>
      <xdr:row>14</xdr:row>
      <xdr:rowOff>3810</xdr:rowOff>
    </xdr:from>
    <xdr:to>
      <xdr:col>22</xdr:col>
      <xdr:colOff>502920</xdr:colOff>
      <xdr:row>38</xdr:row>
      <xdr:rowOff>175260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47A6D48C-ED95-31DD-D962-0FE2BE2C8C5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677400" y="2579370"/>
              <a:ext cx="10744200" cy="45605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45720</xdr:colOff>
      <xdr:row>0</xdr:row>
      <xdr:rowOff>167640</xdr:rowOff>
    </xdr:from>
    <xdr:to>
      <xdr:col>13</xdr:col>
      <xdr:colOff>495300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4C6786-31AF-E99C-EB76-9ACC15AB54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6AB297B-7E7B-4A86-BAF6-08CC3D2DC7EF}" name="Table9" displayName="Table9" ref="A1:S1043" totalsRowShown="0">
  <autoFilter ref="A1:S1043" xr:uid="{46AB297B-7E7B-4A86-BAF6-08CC3D2DC7EF}"/>
  <tableColumns count="19">
    <tableColumn id="1" xr3:uid="{9CC8AB90-1B88-4025-A3ED-22DD19B764BF}" name="Name"/>
    <tableColumn id="2" xr3:uid="{9B0150AB-8224-425B-A285-14186C66B4E3}" name="Neighbourhood"/>
    <tableColumn id="3" xr3:uid="{DA57FCE1-2041-42B8-8582-313AE7D0BAB2}" name="Neighbourhood Group"/>
    <tableColumn id="4" xr3:uid="{0A3AD1CE-27DC-4338-B263-EBE6278DB553}" name="Latitude"/>
    <tableColumn id="5" xr3:uid="{B6FA061E-CFA4-4DE6-A778-636DB978850F}" name="Longitude"/>
    <tableColumn id="6" xr3:uid="{C6518C6E-2299-4206-8EE1-525860014EFC}" name="Room Type"/>
    <tableColumn id="7" xr3:uid="{C97E73AD-F048-4B5B-A80D-F9229A920F41}" name="Accommodates"/>
    <tableColumn id="8" xr3:uid="{224F8AF5-4090-4D4E-8186-DA363C209903}" name="Bathrooms"/>
    <tableColumn id="9" xr3:uid="{84A5913C-0864-4380-A188-DD74AFDC4074}" name="Bedrooms"/>
    <tableColumn id="10" xr3:uid="{1BE581F3-986D-410E-96A3-F8B3CBB8DC77}" name="Beds"/>
    <tableColumn id="11" xr3:uid="{50173DA3-8AC7-409B-97E5-DBC34D64554E}" name="Minimum Nights"/>
    <tableColumn id="12" xr3:uid="{EBED4281-39C3-4FD2-8543-AADF3EA3836F}" name="Availability 365"/>
    <tableColumn id="13" xr3:uid="{A09CB7C4-2312-45BC-ADB2-079D8798A558}" name="Number of Reviews"/>
    <tableColumn id="14" xr3:uid="{B16A883A-1833-4A62-BDA3-1F1785AF4580}" name="Reviews per Month"/>
    <tableColumn id="15" xr3:uid="{EC7AD0FD-D0AE-489E-BC75-462D2510D531}" name="Room">
      <calculatedColumnFormula>IF(F2="Private room",1,0)</calculatedColumnFormula>
    </tableColumn>
    <tableColumn id="16" xr3:uid="{72A4613E-CEFE-459E-A20A-C7CB2713F968}" name="Borough">
      <calculatedColumnFormula>IF(C2="Manhattan",4,IF(C2="Brooklyn",2,0))</calculatedColumnFormula>
    </tableColumn>
    <tableColumn id="17" xr3:uid="{4E9F7144-14BE-45A3-95AA-839784DC5EAB}" name="Price" dataDxfId="12"/>
    <tableColumn id="18" xr3:uid="{3AC2FFE6-3775-4676-99E7-F6AC70893924}" name="Last Review" dataDxfId="11"/>
    <tableColumn id="19" xr3:uid="{30BBCE86-CFF3-4E76-9032-79388220658A}" name="Estimated Price" dataDxfId="10">
      <calculatedColumnFormula>155.11+(18.98*Table9[[#This Row],[Accommodates]])+(11.22*Table9[[#This Row],[Bathrooms]])-(3.35*Table9[[#This Row],[Minimum Nights]])-(0.04*Table9[[#This Row],[Availability 365]])-(43.3*Table9[[#This Row],[Room]])+(15.23*Table9[[#This Row],[Borough]])</calculatedColumnFormula>
    </tableColumn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02977A-73FB-4B5B-9713-993D1E3750D5}" name="Table1" displayName="Table1" ref="A1:A1043" totalsRowShown="0" headerRowDxfId="9" dataDxfId="8">
  <autoFilter ref="A1:A1043" xr:uid="{8402977A-73FB-4B5B-9713-993D1E3750D5}"/>
  <tableColumns count="1">
    <tableColumn id="1" xr3:uid="{75CF612B-F693-4561-B803-FF4934DF6B7A}" name="price" dataDxfId="7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D4AE86C-3DB4-418F-99C1-64670344B1CC}" name="Table8" displayName="Table8" ref="A1:B1043" totalsRowShown="0">
  <autoFilter ref="A1:B1043" xr:uid="{5D4AE86C-3DB4-418F-99C1-64670344B1CC}"/>
  <tableColumns count="2">
    <tableColumn id="1" xr3:uid="{3FA32CFF-05C2-42A0-8CB5-E8EDA32946AA}" name="Neighbourhood Group"/>
    <tableColumn id="2" xr3:uid="{5EEE207E-02A6-4FBD-AC93-4A2E9D0F0C06}" name="price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36C754F-A26A-4923-A09F-D5F682DAD45A}" name="Table7" displayName="Table7" ref="A1:B1043" totalsRowShown="0">
  <autoFilter ref="A1:B1043" xr:uid="{F36C754F-A26A-4923-A09F-D5F682DAD45A}"/>
  <tableColumns count="2">
    <tableColumn id="1" xr3:uid="{D0101403-E7A9-4352-9F1A-72BCA7832619}" name="Room Type"/>
    <tableColumn id="2" xr3:uid="{27C136E2-2DD7-4E15-9CA3-EDDA6624AC11}" name="price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4F58E4C-E351-4233-A761-BF511B8AA6AF}" name="Table6" displayName="Table6" ref="A1:J1043" totalsRowShown="0">
  <autoFilter ref="A1:J1043" xr:uid="{94F58E4C-E351-4233-A761-BF511B8AA6AF}"/>
  <tableColumns count="10">
    <tableColumn id="1" xr3:uid="{BEE95D96-8463-4415-A2D8-84FA30F62CE6}" name="price"/>
    <tableColumn id="2" xr3:uid="{DEEFED08-FFB5-4589-81EB-92C0514A388D}" name="beds"/>
    <tableColumn id="3" xr3:uid="{FF486C8A-4B6C-47E5-9C87-D9AA6861A54A}" name="bathrooms"/>
    <tableColumn id="4" xr3:uid="{1B0AFF8E-462C-43C5-BE41-8539CC4F45EB}" name="borough"/>
    <tableColumn id="5" xr3:uid="{6A47EAEC-D3FF-4669-8296-886197F3A865}" name="room"/>
    <tableColumn id="6" xr3:uid="{2FF87A8A-A154-40A1-9B0C-369FFC26C347}" name="Number of reviews"/>
    <tableColumn id="7" xr3:uid="{654FFF3B-933E-4545-8A7E-2EA797104020}" name="Reviews per month"/>
    <tableColumn id="8" xr3:uid="{BCC767AA-96EB-464D-9CC3-7F374AEC99E1}" name="Availability 365"/>
    <tableColumn id="9" xr3:uid="{EE1370D8-C831-458A-A173-06B9A474B768}" name="Minimum Nights"/>
    <tableColumn id="10" xr3:uid="{3C1AC1A4-147E-44E8-A0C7-C4EABF3D047C}" name="Accommodates"/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93DB5BC-2BD5-454C-8164-FFAEE47D0AB0}" name="Table95" displayName="Table95" ref="A1:S1043" totalsRowShown="0">
  <autoFilter ref="A1:S1043" xr:uid="{693DB5BC-2BD5-454C-8164-FFAEE47D0AB0}"/>
  <tableColumns count="19">
    <tableColumn id="1" xr3:uid="{48A4BB40-5C74-444E-9AB9-EB12357E418B}" name="Name"/>
    <tableColumn id="2" xr3:uid="{93AAE2A0-D43F-4D20-9572-2494BC3F5716}" name="Neighbourhood"/>
    <tableColumn id="3" xr3:uid="{6B0ABD89-CB01-474C-A334-A3EFA89274C6}" name="Neighbourhood Group"/>
    <tableColumn id="4" xr3:uid="{C3BF231E-C6DA-437C-A7C6-754CE7E882CE}" name="Latitude"/>
    <tableColumn id="5" xr3:uid="{3170D2E2-7991-47DE-BAC4-87C449EE7853}" name="Longitude"/>
    <tableColumn id="6" xr3:uid="{FA4EDB4D-6999-4EF5-BACB-09F3FF2E4D78}" name="Room Type"/>
    <tableColumn id="7" xr3:uid="{15AEA7F4-8D83-46BD-A49F-1450851ABB74}" name="Accommodates"/>
    <tableColumn id="8" xr3:uid="{3F07CA66-748A-456E-8932-B01F3E01939F}" name="Bathrooms"/>
    <tableColumn id="9" xr3:uid="{8F152DE7-2FBC-415F-A045-91C72CE4A3A2}" name="Bedrooms"/>
    <tableColumn id="10" xr3:uid="{209DE268-524C-4D75-B34B-39469D0A2600}" name="Beds"/>
    <tableColumn id="11" xr3:uid="{04651D6C-009B-4A07-AF27-1CA46AE94B74}" name="Minimum Nights"/>
    <tableColumn id="12" xr3:uid="{EA5A43BB-C540-4656-9D1F-7822B0C04EE0}" name="Availability 365"/>
    <tableColumn id="13" xr3:uid="{BAD3AA4C-1DB7-4D60-9ABB-F73D2722149D}" name="Number of Reviews"/>
    <tableColumn id="14" xr3:uid="{A93F72A9-F7CA-4AC4-9D9D-ED943899C705}" name="Reviews per Month"/>
    <tableColumn id="15" xr3:uid="{387EF76A-A829-4734-8D37-7DED97FBA8A2}" name="Room">
      <calculatedColumnFormula>IF(F2="Private room",1,0)</calculatedColumnFormula>
    </tableColumn>
    <tableColumn id="16" xr3:uid="{650EDF51-DE54-4C84-B0B3-82BAB805F946}" name="Borough">
      <calculatedColumnFormula>IF(C2="Manhattan",4,IF(C2="Brooklyn",2,0))</calculatedColumnFormula>
    </tableColumn>
    <tableColumn id="17" xr3:uid="{C43B2058-87CD-45E2-B86A-A161A42C0151}" name="Price" dataDxfId="2"/>
    <tableColumn id="18" xr3:uid="{DC778F54-ABF9-4D90-8CE2-AAB750EF929F}" name="Last Review" dataDxfId="1"/>
    <tableColumn id="19" xr3:uid="{2DDC7D70-3F3B-46E6-BAE3-B4AA37CFE10A}" name="Estimated Price" dataDxfId="0">
      <calculatedColumnFormula>155.11+(18.98*Table95[[#This Row],[Accommodates]])+(11.22*Table95[[#This Row],[Bathrooms]])-(3.35*Table95[[#This Row],[Minimum Nights]])-(0.04*Table95[[#This Row],[Availability 365]])-(43.3*Table95[[#This Row],[Room]])+(15.23*Table95[[#This Row],[Borough]])</calculatedColumnFormula>
    </tableColumn>
  </tableColumns>
  <tableStyleInfo name="TableStyleLight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7AA9C55-838E-40D8-BEED-5B154365855D}" name="Table5" displayName="Table5" ref="A1:G1043" totalsRowShown="0">
  <autoFilter ref="A1:G1043" xr:uid="{A7AA9C55-838E-40D8-BEED-5B154365855D}"/>
  <tableColumns count="7">
    <tableColumn id="1" xr3:uid="{975F7BBE-18E5-4716-A8F5-27654664A5DC}" name="price"/>
    <tableColumn id="2" xr3:uid="{88680956-771F-4D3C-AFAE-33B4A0E5FFA6}" name="bathrooms"/>
    <tableColumn id="3" xr3:uid="{C1F80CCA-E437-4F66-A211-B865C0D05F3A}" name="borough"/>
    <tableColumn id="4" xr3:uid="{EC7DB7B9-FFE2-4634-80B7-D55AAF14C61C}" name="room"/>
    <tableColumn id="5" xr3:uid="{EEDAC5EF-C544-46DE-A93F-3087CA1551F5}" name="Availability 365"/>
    <tableColumn id="6" xr3:uid="{9FD355CA-94B5-4D9F-949B-98D3592691F8}" name="Minimum Nights"/>
    <tableColumn id="7" xr3:uid="{C5F7FF25-6F5A-4A6A-8D9A-73B80DB8307E}" name="Accommodates"/>
  </tableColumns>
  <tableStyleInfo name="TableStyleLight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29C9C59-FA77-4CCB-9240-5D790382773D}" name="Table12" displayName="Table12" ref="A1:J509" totalsRowShown="0">
  <autoFilter ref="A1:J509" xr:uid="{829C9C59-FA77-4CCB-9240-5D790382773D}"/>
  <tableColumns count="10">
    <tableColumn id="1" xr3:uid="{850BBE4C-A2AF-46A1-A50C-883A8CA07A2D}" name="price"/>
    <tableColumn id="2" xr3:uid="{9F9E6562-B335-4DFE-B266-00FD1C984DDE}" name="beds"/>
    <tableColumn id="3" xr3:uid="{134563B4-88F1-4EEC-8055-80250659E3BA}" name="bathrooms"/>
    <tableColumn id="4" xr3:uid="{5C2B66B0-6C46-45B7-B754-9E18950B877C}" name="borough"/>
    <tableColumn id="5" xr3:uid="{6765B8DB-4B35-4F7A-B247-9E3DDFA25FB9}" name="room"/>
    <tableColumn id="6" xr3:uid="{CFF4C7B8-B459-46DE-BC15-1ADCFE97E6B8}" name="Number of reviews"/>
    <tableColumn id="7" xr3:uid="{33FA112D-8A14-4DBC-AF6E-33B7018F7624}" name="Reviews per month"/>
    <tableColumn id="8" xr3:uid="{3352B006-142E-462E-837D-E706DD339DE3}" name="Availability 365"/>
    <tableColumn id="9" xr3:uid="{C6D9CBA0-0CF9-4BD9-9A59-C7AFE1877D23}" name="Minimum Nights"/>
    <tableColumn id="10" xr3:uid="{E2AF7564-2755-465F-8B48-7D93A60A77E6}" name="Accommodates"/>
  </tableColumns>
  <tableStyleInfo name="TableStyleLight8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4201EBD-FB41-4B6A-B0CE-5F562E3C2964}" name="Table10" displayName="Table10" ref="A1:B11" totalsRowShown="0" headerRowDxfId="6" tableBorderDxfId="5">
  <autoFilter ref="A1:B11" xr:uid="{94201EBD-FB41-4B6A-B0CE-5F562E3C2964}"/>
  <tableColumns count="2">
    <tableColumn id="1" xr3:uid="{D901F0C2-0AB4-4100-B9E7-3A8E2427A516}" name="Price" dataDxfId="4"/>
    <tableColumn id="2" xr3:uid="{D65A551E-0EA5-4195-ABE4-9F1678DC7195}" name="Estimated Price" dataDxfId="3">
      <calculatedColumnFormula>155.11+(18.98*Table9[[#This Row],[Accommodates]])+(11.22*Table9[[#This Row],[Bathrooms]])-(3.35*Table9[[#This Row],[Minimum Nights]])-(0.04*Table9[[#This Row],[Availability 365]])-(43.3*Table9[[#This Row],[Room]])+(15.23*Table9[[#This Row],[Borough]])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0BEDA-959A-4E23-99BF-05301E24C53B}">
  <dimension ref="A1:S1043"/>
  <sheetViews>
    <sheetView topLeftCell="E1" workbookViewId="0">
      <selection sqref="A1:S1043"/>
    </sheetView>
  </sheetViews>
  <sheetFormatPr defaultRowHeight="14.4" x14ac:dyDescent="0.3"/>
  <cols>
    <col min="1" max="1" width="53.77734375" bestFit="1" customWidth="1"/>
    <col min="2" max="2" width="22.5546875" bestFit="1" customWidth="1"/>
    <col min="3" max="3" width="21.5546875" bestFit="1" customWidth="1"/>
    <col min="4" max="4" width="18.77734375" bestFit="1" customWidth="1"/>
    <col min="5" max="5" width="12.6640625" bestFit="1" customWidth="1"/>
    <col min="6" max="6" width="13.88671875" bestFit="1" customWidth="1"/>
    <col min="7" max="7" width="16.44140625" bestFit="1" customWidth="1"/>
    <col min="8" max="8" width="12.21875" bestFit="1" customWidth="1"/>
    <col min="9" max="9" width="11.6640625" bestFit="1" customWidth="1"/>
    <col min="10" max="10" width="7.33203125" bestFit="1" customWidth="1"/>
    <col min="11" max="11" width="16.88671875" bestFit="1" customWidth="1"/>
    <col min="12" max="12" width="16.109375" bestFit="1" customWidth="1"/>
    <col min="13" max="13" width="19.109375" bestFit="1" customWidth="1"/>
    <col min="14" max="14" width="18.6640625" bestFit="1" customWidth="1"/>
    <col min="15" max="15" width="8" bestFit="1" customWidth="1"/>
    <col min="16" max="16" width="9.88671875" bestFit="1" customWidth="1"/>
    <col min="17" max="17" width="8.109375" bestFit="1" customWidth="1"/>
    <col min="18" max="18" width="12.88671875" bestFit="1" customWidth="1"/>
    <col min="19" max="19" width="16.554687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1405</v>
      </c>
      <c r="P1" t="s">
        <v>1406</v>
      </c>
      <c r="Q1" t="s">
        <v>14</v>
      </c>
      <c r="R1" t="s">
        <v>15</v>
      </c>
      <c r="S1" t="s">
        <v>1450</v>
      </c>
    </row>
    <row r="2" spans="1:19" x14ac:dyDescent="0.3">
      <c r="A2" t="s">
        <v>25</v>
      </c>
      <c r="B2" t="s">
        <v>24</v>
      </c>
      <c r="C2" t="s">
        <v>20</v>
      </c>
      <c r="D2">
        <v>40.787779999999998</v>
      </c>
      <c r="E2">
        <v>-73.947590000000005</v>
      </c>
      <c r="F2" t="s">
        <v>18</v>
      </c>
      <c r="G2">
        <v>1</v>
      </c>
      <c r="H2">
        <v>1</v>
      </c>
      <c r="I2">
        <v>2</v>
      </c>
      <c r="J2">
        <v>2</v>
      </c>
      <c r="K2">
        <v>30</v>
      </c>
      <c r="L2">
        <v>209</v>
      </c>
      <c r="M2">
        <v>252</v>
      </c>
      <c r="N2">
        <v>1.33</v>
      </c>
      <c r="O2">
        <f>IF(F2="Private room",1,0)</f>
        <v>1</v>
      </c>
      <c r="P2">
        <f>IF(C2="Manhattan",4,IF(C2="Brooklyn",2,0))</f>
        <v>4</v>
      </c>
      <c r="Q2" s="2">
        <v>59</v>
      </c>
      <c r="R2" s="1">
        <v>45745</v>
      </c>
      <c r="S2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94.070000000000007</v>
      </c>
    </row>
    <row r="3" spans="1:19" x14ac:dyDescent="0.3">
      <c r="A3" t="s">
        <v>34</v>
      </c>
      <c r="B3" t="s">
        <v>33</v>
      </c>
      <c r="C3" t="s">
        <v>17</v>
      </c>
      <c r="D3" s="3" t="s">
        <v>35</v>
      </c>
      <c r="E3">
        <v>-73.974618967319799</v>
      </c>
      <c r="F3" t="s">
        <v>18</v>
      </c>
      <c r="G3">
        <v>2</v>
      </c>
      <c r="H3">
        <v>1</v>
      </c>
      <c r="I3">
        <v>1</v>
      </c>
      <c r="J3">
        <v>1</v>
      </c>
      <c r="K3">
        <v>30</v>
      </c>
      <c r="L3">
        <v>211</v>
      </c>
      <c r="M3">
        <v>74</v>
      </c>
      <c r="N3">
        <v>0.42</v>
      </c>
      <c r="O3">
        <f t="shared" ref="O3:O66" si="0">IF(F3="Private room",1,0)</f>
        <v>1</v>
      </c>
      <c r="P3">
        <f t="shared" ref="P3:P66" si="1">IF(C3="Manhattan",4,IF(C3="Brooklyn",2,0))</f>
        <v>2</v>
      </c>
      <c r="Q3" s="2">
        <v>85</v>
      </c>
      <c r="R3" s="1">
        <v>45737</v>
      </c>
      <c r="S3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82.510000000000019</v>
      </c>
    </row>
    <row r="4" spans="1:19" x14ac:dyDescent="0.3">
      <c r="A4" t="s">
        <v>39</v>
      </c>
      <c r="B4" t="s">
        <v>27</v>
      </c>
      <c r="C4" t="s">
        <v>17</v>
      </c>
      <c r="D4">
        <v>40.682940000000002</v>
      </c>
      <c r="E4">
        <v>-73.956819999999993</v>
      </c>
      <c r="F4" t="s">
        <v>18</v>
      </c>
      <c r="G4">
        <v>2</v>
      </c>
      <c r="H4">
        <v>1</v>
      </c>
      <c r="I4">
        <v>1</v>
      </c>
      <c r="J4">
        <v>2</v>
      </c>
      <c r="K4">
        <v>30</v>
      </c>
      <c r="L4">
        <v>182</v>
      </c>
      <c r="M4">
        <v>82</v>
      </c>
      <c r="N4">
        <v>0.45</v>
      </c>
      <c r="O4">
        <f t="shared" si="0"/>
        <v>1</v>
      </c>
      <c r="P4">
        <f t="shared" si="1"/>
        <v>2</v>
      </c>
      <c r="Q4" s="2">
        <v>90</v>
      </c>
      <c r="R4" s="1">
        <v>45747</v>
      </c>
      <c r="S4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83.670000000000016</v>
      </c>
    </row>
    <row r="5" spans="1:19" x14ac:dyDescent="0.3">
      <c r="A5" t="s">
        <v>47</v>
      </c>
      <c r="B5" t="s">
        <v>24</v>
      </c>
      <c r="C5" t="s">
        <v>20</v>
      </c>
      <c r="D5">
        <v>40.807470000000002</v>
      </c>
      <c r="E5">
        <v>-73.940759999999997</v>
      </c>
      <c r="F5" t="s">
        <v>21</v>
      </c>
      <c r="G5">
        <v>2</v>
      </c>
      <c r="H5">
        <v>1</v>
      </c>
      <c r="I5">
        <v>1</v>
      </c>
      <c r="J5">
        <v>1</v>
      </c>
      <c r="K5">
        <v>30</v>
      </c>
      <c r="L5">
        <v>244</v>
      </c>
      <c r="M5">
        <v>392</v>
      </c>
      <c r="N5">
        <v>2.2200000000000002</v>
      </c>
      <c r="O5">
        <f t="shared" si="0"/>
        <v>0</v>
      </c>
      <c r="P5">
        <f t="shared" si="1"/>
        <v>4</v>
      </c>
      <c r="Q5" s="2">
        <v>116</v>
      </c>
      <c r="R5" s="1">
        <v>45742</v>
      </c>
      <c r="S5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154.95000000000002</v>
      </c>
    </row>
    <row r="6" spans="1:19" x14ac:dyDescent="0.3">
      <c r="A6" t="s">
        <v>52</v>
      </c>
      <c r="B6" t="s">
        <v>28</v>
      </c>
      <c r="C6" t="s">
        <v>20</v>
      </c>
      <c r="D6">
        <v>40.81006</v>
      </c>
      <c r="E6">
        <v>-73.945589999999996</v>
      </c>
      <c r="F6" t="s">
        <v>18</v>
      </c>
      <c r="G6">
        <v>2</v>
      </c>
      <c r="H6">
        <v>1.5</v>
      </c>
      <c r="I6">
        <v>1</v>
      </c>
      <c r="J6">
        <v>2</v>
      </c>
      <c r="K6">
        <v>30</v>
      </c>
      <c r="L6">
        <v>59</v>
      </c>
      <c r="M6">
        <v>283</v>
      </c>
      <c r="N6">
        <v>1.62</v>
      </c>
      <c r="O6">
        <f t="shared" si="0"/>
        <v>1</v>
      </c>
      <c r="P6">
        <f t="shared" si="1"/>
        <v>4</v>
      </c>
      <c r="Q6" s="2">
        <v>60</v>
      </c>
      <c r="R6" s="1">
        <v>45725</v>
      </c>
      <c r="S6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124.66000000000004</v>
      </c>
    </row>
    <row r="7" spans="1:19" x14ac:dyDescent="0.3">
      <c r="A7" t="s">
        <v>63</v>
      </c>
      <c r="B7" t="s">
        <v>23</v>
      </c>
      <c r="C7" t="s">
        <v>17</v>
      </c>
      <c r="D7">
        <v>40.715119999999999</v>
      </c>
      <c r="E7">
        <v>-73.95899</v>
      </c>
      <c r="F7" t="s">
        <v>21</v>
      </c>
      <c r="G7">
        <v>2</v>
      </c>
      <c r="H7">
        <v>1</v>
      </c>
      <c r="I7">
        <v>1</v>
      </c>
      <c r="J7">
        <v>1</v>
      </c>
      <c r="K7">
        <v>30</v>
      </c>
      <c r="L7">
        <v>191</v>
      </c>
      <c r="M7">
        <v>299</v>
      </c>
      <c r="N7">
        <v>1.66</v>
      </c>
      <c r="O7">
        <f t="shared" si="0"/>
        <v>0</v>
      </c>
      <c r="P7">
        <f t="shared" si="1"/>
        <v>2</v>
      </c>
      <c r="Q7" s="2">
        <v>195</v>
      </c>
      <c r="R7" s="1">
        <v>45747</v>
      </c>
      <c r="S7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126.61000000000001</v>
      </c>
    </row>
    <row r="8" spans="1:19" x14ac:dyDescent="0.3">
      <c r="A8" t="s">
        <v>69</v>
      </c>
      <c r="B8" t="s">
        <v>33</v>
      </c>
      <c r="C8" t="s">
        <v>17</v>
      </c>
      <c r="D8">
        <v>40.674970000000002</v>
      </c>
      <c r="E8">
        <v>-73.977959999999996</v>
      </c>
      <c r="F8" t="s">
        <v>18</v>
      </c>
      <c r="G8">
        <v>4</v>
      </c>
      <c r="H8">
        <v>2.5</v>
      </c>
      <c r="I8">
        <v>2</v>
      </c>
      <c r="J8">
        <v>2</v>
      </c>
      <c r="K8">
        <v>2</v>
      </c>
      <c r="L8">
        <v>55</v>
      </c>
      <c r="M8">
        <v>48</v>
      </c>
      <c r="N8">
        <v>0.31</v>
      </c>
      <c r="O8">
        <f t="shared" si="0"/>
        <v>1</v>
      </c>
      <c r="P8">
        <f t="shared" si="1"/>
        <v>2</v>
      </c>
      <c r="Q8" s="2">
        <v>336</v>
      </c>
      <c r="R8" s="1">
        <v>45734</v>
      </c>
      <c r="S8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237.34000000000006</v>
      </c>
    </row>
    <row r="9" spans="1:19" x14ac:dyDescent="0.3">
      <c r="A9" t="s">
        <v>77</v>
      </c>
      <c r="B9" t="s">
        <v>53</v>
      </c>
      <c r="C9" t="s">
        <v>20</v>
      </c>
      <c r="D9">
        <v>40.796320000000001</v>
      </c>
      <c r="E9">
        <v>-73.976429999999993</v>
      </c>
      <c r="F9" t="s">
        <v>21</v>
      </c>
      <c r="G9">
        <v>2</v>
      </c>
      <c r="H9">
        <v>1</v>
      </c>
      <c r="I9">
        <v>1</v>
      </c>
      <c r="J9">
        <v>1</v>
      </c>
      <c r="K9">
        <v>30</v>
      </c>
      <c r="L9">
        <v>99</v>
      </c>
      <c r="M9">
        <v>245</v>
      </c>
      <c r="N9">
        <v>1.51</v>
      </c>
      <c r="O9">
        <f t="shared" si="0"/>
        <v>0</v>
      </c>
      <c r="P9">
        <f t="shared" si="1"/>
        <v>4</v>
      </c>
      <c r="Q9" s="2">
        <v>246</v>
      </c>
      <c r="R9" s="1">
        <v>45747</v>
      </c>
      <c r="S9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160.75000000000003</v>
      </c>
    </row>
    <row r="10" spans="1:19" x14ac:dyDescent="0.3">
      <c r="A10" t="s">
        <v>79</v>
      </c>
      <c r="B10" t="s">
        <v>24</v>
      </c>
      <c r="C10" t="s">
        <v>20</v>
      </c>
      <c r="D10">
        <v>40.789589999999997</v>
      </c>
      <c r="E10">
        <v>-73.947050000000004</v>
      </c>
      <c r="F10" t="s">
        <v>21</v>
      </c>
      <c r="G10">
        <v>3</v>
      </c>
      <c r="H10">
        <v>1</v>
      </c>
      <c r="I10">
        <v>1</v>
      </c>
      <c r="J10">
        <v>1</v>
      </c>
      <c r="K10">
        <v>30</v>
      </c>
      <c r="L10">
        <v>281</v>
      </c>
      <c r="M10">
        <v>127</v>
      </c>
      <c r="N10">
        <v>0.77</v>
      </c>
      <c r="O10">
        <f t="shared" si="0"/>
        <v>0</v>
      </c>
      <c r="P10">
        <f t="shared" si="1"/>
        <v>4</v>
      </c>
      <c r="Q10" s="2">
        <v>130</v>
      </c>
      <c r="R10" s="1">
        <v>45746</v>
      </c>
      <c r="S10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172.45000000000002</v>
      </c>
    </row>
    <row r="11" spans="1:19" x14ac:dyDescent="0.3">
      <c r="A11" t="s">
        <v>81</v>
      </c>
      <c r="B11" t="s">
        <v>16</v>
      </c>
      <c r="C11" t="s">
        <v>17</v>
      </c>
      <c r="D11">
        <v>40.642949999999999</v>
      </c>
      <c r="E11">
        <v>-73.972930000000005</v>
      </c>
      <c r="F11" t="s">
        <v>18</v>
      </c>
      <c r="G11">
        <v>1</v>
      </c>
      <c r="H11">
        <v>1</v>
      </c>
      <c r="I11">
        <v>1</v>
      </c>
      <c r="J11">
        <v>1</v>
      </c>
      <c r="K11">
        <v>30</v>
      </c>
      <c r="L11">
        <v>53</v>
      </c>
      <c r="M11">
        <v>62</v>
      </c>
      <c r="N11">
        <v>0.53</v>
      </c>
      <c r="O11">
        <f t="shared" si="0"/>
        <v>1</v>
      </c>
      <c r="P11">
        <f t="shared" si="1"/>
        <v>2</v>
      </c>
      <c r="Q11" s="2">
        <v>78</v>
      </c>
      <c r="R11" s="1">
        <v>45744</v>
      </c>
      <c r="S11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69.849999999999994</v>
      </c>
    </row>
    <row r="12" spans="1:19" x14ac:dyDescent="0.3">
      <c r="A12" t="s">
        <v>88</v>
      </c>
      <c r="B12" t="s">
        <v>27</v>
      </c>
      <c r="C12" t="s">
        <v>17</v>
      </c>
      <c r="D12">
        <v>40.690489999999997</v>
      </c>
      <c r="E12">
        <v>-73.932119999999998</v>
      </c>
      <c r="F12" t="s">
        <v>21</v>
      </c>
      <c r="G12">
        <v>4</v>
      </c>
      <c r="H12">
        <v>1</v>
      </c>
      <c r="I12">
        <v>2</v>
      </c>
      <c r="J12">
        <v>2</v>
      </c>
      <c r="K12">
        <v>30</v>
      </c>
      <c r="L12">
        <v>249</v>
      </c>
      <c r="M12">
        <v>67</v>
      </c>
      <c r="N12">
        <v>0.4</v>
      </c>
      <c r="O12">
        <f t="shared" si="0"/>
        <v>0</v>
      </c>
      <c r="P12">
        <f t="shared" si="1"/>
        <v>2</v>
      </c>
      <c r="Q12" s="2">
        <v>95</v>
      </c>
      <c r="R12" s="1">
        <v>45717</v>
      </c>
      <c r="S12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162.25000000000003</v>
      </c>
    </row>
    <row r="13" spans="1:19" x14ac:dyDescent="0.3">
      <c r="A13" t="s">
        <v>90</v>
      </c>
      <c r="B13" t="s">
        <v>27</v>
      </c>
      <c r="C13" t="s">
        <v>17</v>
      </c>
      <c r="D13">
        <v>40.684350000000002</v>
      </c>
      <c r="E13">
        <v>-73.948250000000002</v>
      </c>
      <c r="F13" t="s">
        <v>18</v>
      </c>
      <c r="G13">
        <v>2</v>
      </c>
      <c r="H13">
        <v>1</v>
      </c>
      <c r="I13">
        <v>2</v>
      </c>
      <c r="J13">
        <v>1</v>
      </c>
      <c r="K13">
        <v>30</v>
      </c>
      <c r="L13">
        <v>173</v>
      </c>
      <c r="M13">
        <v>50</v>
      </c>
      <c r="N13">
        <v>0.32</v>
      </c>
      <c r="O13">
        <f t="shared" si="0"/>
        <v>1</v>
      </c>
      <c r="P13">
        <f t="shared" si="1"/>
        <v>2</v>
      </c>
      <c r="Q13" s="2">
        <v>50</v>
      </c>
      <c r="R13" s="1">
        <v>45731</v>
      </c>
      <c r="S13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84.03000000000003</v>
      </c>
    </row>
    <row r="14" spans="1:19" x14ac:dyDescent="0.3">
      <c r="A14" t="s">
        <v>100</v>
      </c>
      <c r="B14" t="s">
        <v>38</v>
      </c>
      <c r="C14" t="s">
        <v>20</v>
      </c>
      <c r="D14">
        <v>40.761139999999997</v>
      </c>
      <c r="E14">
        <v>-73.993690000000001</v>
      </c>
      <c r="F14" t="s">
        <v>21</v>
      </c>
      <c r="G14">
        <v>2</v>
      </c>
      <c r="H14">
        <v>1</v>
      </c>
      <c r="I14">
        <v>0</v>
      </c>
      <c r="J14">
        <v>1</v>
      </c>
      <c r="K14">
        <v>30</v>
      </c>
      <c r="L14">
        <v>81</v>
      </c>
      <c r="M14">
        <v>80</v>
      </c>
      <c r="N14">
        <v>0.52</v>
      </c>
      <c r="O14">
        <f t="shared" si="0"/>
        <v>0</v>
      </c>
      <c r="P14">
        <f t="shared" si="1"/>
        <v>4</v>
      </c>
      <c r="Q14" s="2">
        <v>150</v>
      </c>
      <c r="R14" s="1">
        <v>45747</v>
      </c>
      <c r="S14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161.47000000000003</v>
      </c>
    </row>
    <row r="15" spans="1:19" x14ac:dyDescent="0.3">
      <c r="A15" t="s">
        <v>103</v>
      </c>
      <c r="B15" t="s">
        <v>26</v>
      </c>
      <c r="C15" t="s">
        <v>17</v>
      </c>
      <c r="D15">
        <v>40.69106</v>
      </c>
      <c r="E15">
        <v>-73.971100000000007</v>
      </c>
      <c r="F15" t="s">
        <v>21</v>
      </c>
      <c r="G15">
        <v>2</v>
      </c>
      <c r="H15">
        <v>1</v>
      </c>
      <c r="I15">
        <v>1</v>
      </c>
      <c r="J15">
        <v>1</v>
      </c>
      <c r="K15">
        <v>30</v>
      </c>
      <c r="L15">
        <v>136</v>
      </c>
      <c r="M15">
        <v>124</v>
      </c>
      <c r="N15">
        <v>0.81</v>
      </c>
      <c r="O15">
        <f t="shared" si="0"/>
        <v>0</v>
      </c>
      <c r="P15">
        <f t="shared" si="1"/>
        <v>2</v>
      </c>
      <c r="Q15" s="2">
        <v>117</v>
      </c>
      <c r="R15" s="1">
        <v>45719</v>
      </c>
      <c r="S15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128.81000000000003</v>
      </c>
    </row>
    <row r="16" spans="1:19" x14ac:dyDescent="0.3">
      <c r="A16" t="s">
        <v>105</v>
      </c>
      <c r="B16" t="s">
        <v>72</v>
      </c>
      <c r="C16" t="s">
        <v>20</v>
      </c>
      <c r="D16">
        <v>40.733422889655699</v>
      </c>
      <c r="E16">
        <v>-73.985510255823797</v>
      </c>
      <c r="F16" t="s">
        <v>21</v>
      </c>
      <c r="G16">
        <v>2</v>
      </c>
      <c r="H16">
        <v>1</v>
      </c>
      <c r="I16">
        <v>1</v>
      </c>
      <c r="J16">
        <v>1</v>
      </c>
      <c r="K16">
        <v>30</v>
      </c>
      <c r="L16">
        <v>70</v>
      </c>
      <c r="M16">
        <v>242</v>
      </c>
      <c r="N16">
        <v>1.61</v>
      </c>
      <c r="O16">
        <f t="shared" si="0"/>
        <v>0</v>
      </c>
      <c r="P16">
        <f t="shared" si="1"/>
        <v>4</v>
      </c>
      <c r="Q16" s="2">
        <v>297</v>
      </c>
      <c r="R16" s="1">
        <v>45746</v>
      </c>
      <c r="S16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161.91000000000003</v>
      </c>
    </row>
    <row r="17" spans="1:19" x14ac:dyDescent="0.3">
      <c r="A17" t="s">
        <v>107</v>
      </c>
      <c r="B17" t="s">
        <v>27</v>
      </c>
      <c r="C17" t="s">
        <v>17</v>
      </c>
      <c r="D17">
        <v>40.68524</v>
      </c>
      <c r="E17">
        <v>-73.936040000000006</v>
      </c>
      <c r="F17" t="s">
        <v>21</v>
      </c>
      <c r="G17">
        <v>4</v>
      </c>
      <c r="H17">
        <v>1</v>
      </c>
      <c r="I17">
        <v>2</v>
      </c>
      <c r="J17">
        <v>3</v>
      </c>
      <c r="K17">
        <v>30</v>
      </c>
      <c r="L17">
        <v>86</v>
      </c>
      <c r="M17">
        <v>272</v>
      </c>
      <c r="N17">
        <v>1.79</v>
      </c>
      <c r="O17">
        <f t="shared" si="0"/>
        <v>0</v>
      </c>
      <c r="P17">
        <f t="shared" si="1"/>
        <v>2</v>
      </c>
      <c r="Q17" s="2">
        <v>109</v>
      </c>
      <c r="R17" s="1">
        <v>45719</v>
      </c>
      <c r="S17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168.77000000000004</v>
      </c>
    </row>
    <row r="18" spans="1:19" x14ac:dyDescent="0.3">
      <c r="A18" t="s">
        <v>108</v>
      </c>
      <c r="B18" t="s">
        <v>48</v>
      </c>
      <c r="C18" t="s">
        <v>20</v>
      </c>
      <c r="D18">
        <v>40.728230000000003</v>
      </c>
      <c r="E18">
        <v>-74.001260000000002</v>
      </c>
      <c r="F18" t="s">
        <v>21</v>
      </c>
      <c r="G18">
        <v>3</v>
      </c>
      <c r="H18">
        <v>1</v>
      </c>
      <c r="I18">
        <v>1</v>
      </c>
      <c r="J18">
        <v>2</v>
      </c>
      <c r="K18">
        <v>30</v>
      </c>
      <c r="L18">
        <v>317</v>
      </c>
      <c r="M18">
        <v>102</v>
      </c>
      <c r="N18">
        <v>0.69</v>
      </c>
      <c r="O18">
        <f t="shared" si="0"/>
        <v>0</v>
      </c>
      <c r="P18">
        <f t="shared" si="1"/>
        <v>4</v>
      </c>
      <c r="Q18" s="2">
        <v>293</v>
      </c>
      <c r="R18" s="1">
        <v>45741</v>
      </c>
      <c r="S18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171.01</v>
      </c>
    </row>
    <row r="19" spans="1:19" x14ac:dyDescent="0.3">
      <c r="A19" t="s">
        <v>109</v>
      </c>
      <c r="B19" t="s">
        <v>23</v>
      </c>
      <c r="C19" t="s">
        <v>17</v>
      </c>
      <c r="D19" s="3" t="s">
        <v>110</v>
      </c>
      <c r="E19">
        <v>-73.960429146246099</v>
      </c>
      <c r="F19" t="s">
        <v>18</v>
      </c>
      <c r="G19">
        <v>2</v>
      </c>
      <c r="H19">
        <v>1</v>
      </c>
      <c r="I19">
        <v>1</v>
      </c>
      <c r="J19">
        <v>2</v>
      </c>
      <c r="K19">
        <v>4</v>
      </c>
      <c r="L19">
        <v>194</v>
      </c>
      <c r="M19">
        <v>127</v>
      </c>
      <c r="N19">
        <v>0.86</v>
      </c>
      <c r="O19">
        <f t="shared" si="0"/>
        <v>1</v>
      </c>
      <c r="P19">
        <f t="shared" si="1"/>
        <v>2</v>
      </c>
      <c r="Q19" s="2">
        <v>165</v>
      </c>
      <c r="R19" s="1">
        <v>45724</v>
      </c>
      <c r="S19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170.29000000000005</v>
      </c>
    </row>
    <row r="20" spans="1:19" x14ac:dyDescent="0.3">
      <c r="A20" t="s">
        <v>112</v>
      </c>
      <c r="B20" t="s">
        <v>27</v>
      </c>
      <c r="C20" t="s">
        <v>17</v>
      </c>
      <c r="D20">
        <v>40.699080000000002</v>
      </c>
      <c r="E20">
        <v>-73.95317</v>
      </c>
      <c r="F20" t="s">
        <v>21</v>
      </c>
      <c r="G20">
        <v>4</v>
      </c>
      <c r="H20">
        <v>1</v>
      </c>
      <c r="I20">
        <v>2</v>
      </c>
      <c r="J20">
        <v>2</v>
      </c>
      <c r="K20">
        <v>30</v>
      </c>
      <c r="L20">
        <v>64</v>
      </c>
      <c r="M20">
        <v>58</v>
      </c>
      <c r="N20">
        <v>0.39</v>
      </c>
      <c r="O20">
        <f t="shared" si="0"/>
        <v>0</v>
      </c>
      <c r="P20">
        <f t="shared" si="1"/>
        <v>2</v>
      </c>
      <c r="Q20" s="2">
        <v>128</v>
      </c>
      <c r="R20" s="1">
        <v>45735</v>
      </c>
      <c r="S20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169.65000000000003</v>
      </c>
    </row>
    <row r="21" spans="1:19" x14ac:dyDescent="0.3">
      <c r="A21" t="s">
        <v>115</v>
      </c>
      <c r="B21" t="s">
        <v>22</v>
      </c>
      <c r="C21" t="s">
        <v>17</v>
      </c>
      <c r="D21">
        <v>40.662410000000001</v>
      </c>
      <c r="E21">
        <v>-73.991969999999995</v>
      </c>
      <c r="F21" t="s">
        <v>21</v>
      </c>
      <c r="G21">
        <v>2</v>
      </c>
      <c r="H21">
        <v>1</v>
      </c>
      <c r="I21">
        <v>1</v>
      </c>
      <c r="J21">
        <v>1</v>
      </c>
      <c r="K21">
        <v>30</v>
      </c>
      <c r="L21">
        <v>166</v>
      </c>
      <c r="M21">
        <v>79</v>
      </c>
      <c r="N21">
        <v>0.68</v>
      </c>
      <c r="O21">
        <f t="shared" si="0"/>
        <v>0</v>
      </c>
      <c r="P21">
        <f t="shared" si="1"/>
        <v>2</v>
      </c>
      <c r="Q21" s="2">
        <v>110</v>
      </c>
      <c r="R21" s="1">
        <v>45747</v>
      </c>
      <c r="S21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127.61000000000001</v>
      </c>
    </row>
    <row r="22" spans="1:19" x14ac:dyDescent="0.3">
      <c r="A22" t="s">
        <v>116</v>
      </c>
      <c r="B22" t="s">
        <v>53</v>
      </c>
      <c r="C22" t="s">
        <v>20</v>
      </c>
      <c r="D22">
        <v>40.787410000000001</v>
      </c>
      <c r="E22">
        <v>-73.973209999999995</v>
      </c>
      <c r="F22" t="s">
        <v>21</v>
      </c>
      <c r="G22">
        <v>3</v>
      </c>
      <c r="H22">
        <v>1</v>
      </c>
      <c r="I22">
        <v>1</v>
      </c>
      <c r="J22">
        <v>2</v>
      </c>
      <c r="K22">
        <v>30</v>
      </c>
      <c r="L22">
        <v>365</v>
      </c>
      <c r="M22">
        <v>26</v>
      </c>
      <c r="N22">
        <v>0.22</v>
      </c>
      <c r="O22">
        <f t="shared" si="0"/>
        <v>0</v>
      </c>
      <c r="P22">
        <f t="shared" si="1"/>
        <v>4</v>
      </c>
      <c r="Q22" s="2">
        <v>232</v>
      </c>
      <c r="R22" s="1">
        <v>45747</v>
      </c>
      <c r="S22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169.09000000000003</v>
      </c>
    </row>
    <row r="23" spans="1:19" x14ac:dyDescent="0.3">
      <c r="A23" t="s">
        <v>117</v>
      </c>
      <c r="B23" t="s">
        <v>56</v>
      </c>
      <c r="C23" t="s">
        <v>17</v>
      </c>
      <c r="D23">
        <v>40.671169999999996</v>
      </c>
      <c r="E23">
        <v>-73.957170000000005</v>
      </c>
      <c r="F23" t="s">
        <v>21</v>
      </c>
      <c r="G23">
        <v>4</v>
      </c>
      <c r="H23">
        <v>1</v>
      </c>
      <c r="I23">
        <v>1</v>
      </c>
      <c r="J23">
        <v>1</v>
      </c>
      <c r="K23">
        <v>30</v>
      </c>
      <c r="L23">
        <v>288</v>
      </c>
      <c r="M23">
        <v>210</v>
      </c>
      <c r="N23">
        <v>1.41</v>
      </c>
      <c r="O23">
        <f t="shared" si="0"/>
        <v>0</v>
      </c>
      <c r="P23">
        <f t="shared" si="1"/>
        <v>2</v>
      </c>
      <c r="Q23" s="2">
        <v>143</v>
      </c>
      <c r="R23" s="1">
        <v>45732</v>
      </c>
      <c r="S23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160.69000000000003</v>
      </c>
    </row>
    <row r="24" spans="1:19" x14ac:dyDescent="0.3">
      <c r="A24" t="s">
        <v>118</v>
      </c>
      <c r="B24" t="s">
        <v>61</v>
      </c>
      <c r="C24" t="s">
        <v>30</v>
      </c>
      <c r="D24">
        <v>40.764719999999997</v>
      </c>
      <c r="E24">
        <v>-73.926400000000001</v>
      </c>
      <c r="F24" t="s">
        <v>21</v>
      </c>
      <c r="G24">
        <v>1</v>
      </c>
      <c r="H24">
        <v>1</v>
      </c>
      <c r="I24">
        <v>1</v>
      </c>
      <c r="J24">
        <v>1</v>
      </c>
      <c r="K24">
        <v>30</v>
      </c>
      <c r="L24">
        <v>246</v>
      </c>
      <c r="M24">
        <v>81</v>
      </c>
      <c r="N24">
        <v>0.55000000000000004</v>
      </c>
      <c r="O24">
        <f t="shared" si="0"/>
        <v>0</v>
      </c>
      <c r="P24">
        <f t="shared" si="1"/>
        <v>0</v>
      </c>
      <c r="Q24" s="2">
        <v>165</v>
      </c>
      <c r="R24" s="1">
        <v>45723</v>
      </c>
      <c r="S24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74.97</v>
      </c>
    </row>
    <row r="25" spans="1:19" x14ac:dyDescent="0.3">
      <c r="A25" t="s">
        <v>120</v>
      </c>
      <c r="B25" t="s">
        <v>28</v>
      </c>
      <c r="C25" t="s">
        <v>20</v>
      </c>
      <c r="D25">
        <v>40.810609999999997</v>
      </c>
      <c r="E25">
        <v>-73.945049999999995</v>
      </c>
      <c r="F25" t="s">
        <v>21</v>
      </c>
      <c r="G25">
        <v>3</v>
      </c>
      <c r="H25">
        <v>1</v>
      </c>
      <c r="I25">
        <v>1</v>
      </c>
      <c r="J25">
        <v>2</v>
      </c>
      <c r="K25">
        <v>30</v>
      </c>
      <c r="L25">
        <v>242</v>
      </c>
      <c r="M25">
        <v>92</v>
      </c>
      <c r="N25">
        <v>0.62</v>
      </c>
      <c r="O25">
        <f t="shared" si="0"/>
        <v>0</v>
      </c>
      <c r="P25">
        <f t="shared" si="1"/>
        <v>4</v>
      </c>
      <c r="Q25" s="2">
        <v>98</v>
      </c>
      <c r="R25" s="1">
        <v>45745</v>
      </c>
      <c r="S25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174.01</v>
      </c>
    </row>
    <row r="26" spans="1:19" x14ac:dyDescent="0.3">
      <c r="A26" t="s">
        <v>123</v>
      </c>
      <c r="B26" t="s">
        <v>28</v>
      </c>
      <c r="C26" t="s">
        <v>20</v>
      </c>
      <c r="D26">
        <v>40.799630000000001</v>
      </c>
      <c r="E26">
        <v>-73.955060000000003</v>
      </c>
      <c r="F26" t="s">
        <v>18</v>
      </c>
      <c r="G26">
        <v>1</v>
      </c>
      <c r="H26">
        <v>1.5</v>
      </c>
      <c r="I26">
        <v>1</v>
      </c>
      <c r="J26">
        <v>1</v>
      </c>
      <c r="K26">
        <v>30</v>
      </c>
      <c r="L26">
        <v>284</v>
      </c>
      <c r="M26">
        <v>121</v>
      </c>
      <c r="N26">
        <v>0.84</v>
      </c>
      <c r="O26">
        <f t="shared" si="0"/>
        <v>1</v>
      </c>
      <c r="P26">
        <f t="shared" si="1"/>
        <v>4</v>
      </c>
      <c r="Q26" s="2">
        <v>159</v>
      </c>
      <c r="R26" s="1">
        <v>45738</v>
      </c>
      <c r="S26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96.680000000000021</v>
      </c>
    </row>
    <row r="27" spans="1:19" x14ac:dyDescent="0.3">
      <c r="A27" t="s">
        <v>124</v>
      </c>
      <c r="B27" t="s">
        <v>26</v>
      </c>
      <c r="C27" t="s">
        <v>17</v>
      </c>
      <c r="D27">
        <v>40.693399999999997</v>
      </c>
      <c r="E27">
        <v>-73.973190000000002</v>
      </c>
      <c r="F27" t="s">
        <v>21</v>
      </c>
      <c r="G27">
        <v>2</v>
      </c>
      <c r="H27">
        <v>1</v>
      </c>
      <c r="I27">
        <v>1</v>
      </c>
      <c r="J27">
        <v>1</v>
      </c>
      <c r="K27">
        <v>30</v>
      </c>
      <c r="L27">
        <v>239</v>
      </c>
      <c r="M27">
        <v>265</v>
      </c>
      <c r="N27">
        <v>1.83</v>
      </c>
      <c r="O27">
        <f t="shared" si="0"/>
        <v>0</v>
      </c>
      <c r="P27">
        <f t="shared" si="1"/>
        <v>2</v>
      </c>
      <c r="Q27" s="2">
        <v>153</v>
      </c>
      <c r="R27" s="1">
        <v>45738</v>
      </c>
      <c r="S27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124.69000000000003</v>
      </c>
    </row>
    <row r="28" spans="1:19" x14ac:dyDescent="0.3">
      <c r="A28" t="s">
        <v>125</v>
      </c>
      <c r="B28" t="s">
        <v>53</v>
      </c>
      <c r="C28" t="s">
        <v>20</v>
      </c>
      <c r="D28">
        <v>40.782550000000001</v>
      </c>
      <c r="E28">
        <v>-73.979219999999998</v>
      </c>
      <c r="F28" t="s">
        <v>18</v>
      </c>
      <c r="G28">
        <v>1</v>
      </c>
      <c r="H28">
        <v>1</v>
      </c>
      <c r="I28">
        <v>1</v>
      </c>
      <c r="J28">
        <v>2</v>
      </c>
      <c r="K28">
        <v>30</v>
      </c>
      <c r="L28">
        <v>107</v>
      </c>
      <c r="M28">
        <v>320</v>
      </c>
      <c r="N28">
        <v>2.2200000000000002</v>
      </c>
      <c r="O28">
        <f t="shared" si="0"/>
        <v>1</v>
      </c>
      <c r="P28">
        <f t="shared" si="1"/>
        <v>4</v>
      </c>
      <c r="Q28" s="2">
        <v>93</v>
      </c>
      <c r="R28" s="1">
        <v>45744</v>
      </c>
      <c r="S28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98.15</v>
      </c>
    </row>
    <row r="29" spans="1:19" x14ac:dyDescent="0.3">
      <c r="A29" t="s">
        <v>130</v>
      </c>
      <c r="B29" t="s">
        <v>37</v>
      </c>
      <c r="C29" t="s">
        <v>30</v>
      </c>
      <c r="D29">
        <v>40.777569999999997</v>
      </c>
      <c r="E29">
        <v>-73.915800000000004</v>
      </c>
      <c r="F29" t="s">
        <v>21</v>
      </c>
      <c r="G29">
        <v>7</v>
      </c>
      <c r="H29">
        <v>1</v>
      </c>
      <c r="I29">
        <v>2</v>
      </c>
      <c r="J29">
        <v>4</v>
      </c>
      <c r="K29">
        <v>30</v>
      </c>
      <c r="L29">
        <v>153</v>
      </c>
      <c r="M29">
        <v>490</v>
      </c>
      <c r="N29">
        <v>3.59</v>
      </c>
      <c r="O29">
        <f t="shared" si="0"/>
        <v>0</v>
      </c>
      <c r="P29">
        <f t="shared" si="1"/>
        <v>0</v>
      </c>
      <c r="Q29" s="2">
        <v>223</v>
      </c>
      <c r="R29" s="1">
        <v>45719</v>
      </c>
      <c r="S29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192.57000000000005</v>
      </c>
    </row>
    <row r="30" spans="1:19" x14ac:dyDescent="0.3">
      <c r="A30" t="s">
        <v>133</v>
      </c>
      <c r="B30" t="s">
        <v>36</v>
      </c>
      <c r="C30" t="s">
        <v>20</v>
      </c>
      <c r="D30">
        <v>40.768419999999999</v>
      </c>
      <c r="E30">
        <v>-73.95532</v>
      </c>
      <c r="F30" t="s">
        <v>21</v>
      </c>
      <c r="G30">
        <v>2</v>
      </c>
      <c r="H30">
        <v>1</v>
      </c>
      <c r="I30">
        <v>1</v>
      </c>
      <c r="J30">
        <v>1</v>
      </c>
      <c r="K30">
        <v>30</v>
      </c>
      <c r="L30">
        <v>89</v>
      </c>
      <c r="M30">
        <v>69</v>
      </c>
      <c r="N30">
        <v>0.56000000000000005</v>
      </c>
      <c r="O30">
        <f t="shared" si="0"/>
        <v>0</v>
      </c>
      <c r="P30">
        <f t="shared" si="1"/>
        <v>4</v>
      </c>
      <c r="Q30" s="2">
        <v>140</v>
      </c>
      <c r="R30" s="1">
        <v>45745</v>
      </c>
      <c r="S30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161.15000000000003</v>
      </c>
    </row>
    <row r="31" spans="1:19" x14ac:dyDescent="0.3">
      <c r="A31" t="s">
        <v>136</v>
      </c>
      <c r="B31" t="s">
        <v>53</v>
      </c>
      <c r="C31" t="s">
        <v>20</v>
      </c>
      <c r="D31">
        <v>40.776519999999998</v>
      </c>
      <c r="E31">
        <v>-73.977919999999997</v>
      </c>
      <c r="F31" t="s">
        <v>21</v>
      </c>
      <c r="G31">
        <v>2</v>
      </c>
      <c r="H31">
        <v>1</v>
      </c>
      <c r="I31">
        <v>1</v>
      </c>
      <c r="J31">
        <v>1</v>
      </c>
      <c r="K31">
        <v>30</v>
      </c>
      <c r="L31">
        <v>277</v>
      </c>
      <c r="M31">
        <v>309</v>
      </c>
      <c r="N31">
        <v>2.23</v>
      </c>
      <c r="O31">
        <f t="shared" si="0"/>
        <v>0</v>
      </c>
      <c r="P31">
        <f t="shared" si="1"/>
        <v>4</v>
      </c>
      <c r="Q31" s="2">
        <v>140</v>
      </c>
      <c r="R31" s="1">
        <v>45747</v>
      </c>
      <c r="S31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153.63000000000002</v>
      </c>
    </row>
    <row r="32" spans="1:19" x14ac:dyDescent="0.3">
      <c r="A32" t="s">
        <v>139</v>
      </c>
      <c r="B32" t="s">
        <v>23</v>
      </c>
      <c r="C32" t="s">
        <v>17</v>
      </c>
      <c r="D32">
        <v>40.71181</v>
      </c>
      <c r="E32">
        <v>-73.948269999999994</v>
      </c>
      <c r="F32" t="s">
        <v>21</v>
      </c>
      <c r="G32">
        <v>4</v>
      </c>
      <c r="H32">
        <v>1</v>
      </c>
      <c r="I32">
        <v>3</v>
      </c>
      <c r="J32">
        <v>3</v>
      </c>
      <c r="K32">
        <v>30</v>
      </c>
      <c r="L32">
        <v>272</v>
      </c>
      <c r="M32">
        <v>6</v>
      </c>
      <c r="N32">
        <v>0.19</v>
      </c>
      <c r="O32">
        <f t="shared" si="0"/>
        <v>0</v>
      </c>
      <c r="P32">
        <f t="shared" si="1"/>
        <v>2</v>
      </c>
      <c r="Q32" s="2">
        <v>160</v>
      </c>
      <c r="R32" s="1">
        <v>45735</v>
      </c>
      <c r="S32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161.33000000000004</v>
      </c>
    </row>
    <row r="33" spans="1:19" x14ac:dyDescent="0.3">
      <c r="A33" t="s">
        <v>141</v>
      </c>
      <c r="B33" t="s">
        <v>27</v>
      </c>
      <c r="C33" t="s">
        <v>17</v>
      </c>
      <c r="D33">
        <v>40.688540000000003</v>
      </c>
      <c r="E33">
        <v>-73.946640000000002</v>
      </c>
      <c r="F33" t="s">
        <v>21</v>
      </c>
      <c r="G33">
        <v>2</v>
      </c>
      <c r="H33">
        <v>1</v>
      </c>
      <c r="I33">
        <v>1</v>
      </c>
      <c r="J33">
        <v>1</v>
      </c>
      <c r="K33">
        <v>30</v>
      </c>
      <c r="L33">
        <v>144</v>
      </c>
      <c r="M33">
        <v>336</v>
      </c>
      <c r="N33">
        <v>2.4700000000000002</v>
      </c>
      <c r="O33">
        <f t="shared" si="0"/>
        <v>0</v>
      </c>
      <c r="P33">
        <f t="shared" si="1"/>
        <v>2</v>
      </c>
      <c r="Q33" s="2">
        <v>86</v>
      </c>
      <c r="R33" s="1">
        <v>45733</v>
      </c>
      <c r="S33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128.49</v>
      </c>
    </row>
    <row r="34" spans="1:19" x14ac:dyDescent="0.3">
      <c r="A34" t="s">
        <v>143</v>
      </c>
      <c r="B34" t="s">
        <v>49</v>
      </c>
      <c r="C34" t="s">
        <v>20</v>
      </c>
      <c r="D34">
        <v>40.742010000000001</v>
      </c>
      <c r="E34">
        <v>-73.976780000000005</v>
      </c>
      <c r="F34" t="s">
        <v>21</v>
      </c>
      <c r="G34">
        <v>3</v>
      </c>
      <c r="H34">
        <v>1</v>
      </c>
      <c r="I34">
        <v>1</v>
      </c>
      <c r="J34">
        <v>1</v>
      </c>
      <c r="K34">
        <v>30</v>
      </c>
      <c r="L34">
        <v>83</v>
      </c>
      <c r="M34">
        <v>280</v>
      </c>
      <c r="N34">
        <v>2.6</v>
      </c>
      <c r="O34">
        <f t="shared" si="0"/>
        <v>0</v>
      </c>
      <c r="P34">
        <f t="shared" si="1"/>
        <v>4</v>
      </c>
      <c r="Q34" s="2">
        <v>153</v>
      </c>
      <c r="R34" s="1">
        <v>45717</v>
      </c>
      <c r="S34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180.37</v>
      </c>
    </row>
    <row r="35" spans="1:19" x14ac:dyDescent="0.3">
      <c r="A35" t="s">
        <v>144</v>
      </c>
      <c r="B35" t="s">
        <v>23</v>
      </c>
      <c r="C35" t="s">
        <v>17</v>
      </c>
      <c r="D35">
        <v>40.712980000000002</v>
      </c>
      <c r="E35">
        <v>-73.943560000000005</v>
      </c>
      <c r="F35" t="s">
        <v>21</v>
      </c>
      <c r="G35">
        <v>2</v>
      </c>
      <c r="H35">
        <v>1</v>
      </c>
      <c r="I35">
        <v>1</v>
      </c>
      <c r="J35">
        <v>1</v>
      </c>
      <c r="K35">
        <v>30</v>
      </c>
      <c r="L35">
        <v>248</v>
      </c>
      <c r="M35">
        <v>311</v>
      </c>
      <c r="N35">
        <v>2.2999999999999998</v>
      </c>
      <c r="O35">
        <f t="shared" si="0"/>
        <v>0</v>
      </c>
      <c r="P35">
        <f t="shared" si="1"/>
        <v>2</v>
      </c>
      <c r="Q35" s="2">
        <v>168</v>
      </c>
      <c r="R35" s="1">
        <v>45746</v>
      </c>
      <c r="S35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124.33000000000001</v>
      </c>
    </row>
    <row r="36" spans="1:19" x14ac:dyDescent="0.3">
      <c r="A36" t="s">
        <v>147</v>
      </c>
      <c r="B36" t="s">
        <v>36</v>
      </c>
      <c r="C36" t="s">
        <v>20</v>
      </c>
      <c r="D36">
        <v>40.772620000000003</v>
      </c>
      <c r="E36">
        <v>-73.955979999999997</v>
      </c>
      <c r="F36" t="s">
        <v>21</v>
      </c>
      <c r="G36">
        <v>2</v>
      </c>
      <c r="H36">
        <v>1</v>
      </c>
      <c r="I36">
        <v>1</v>
      </c>
      <c r="J36">
        <v>1</v>
      </c>
      <c r="K36">
        <v>30</v>
      </c>
      <c r="L36">
        <v>338</v>
      </c>
      <c r="M36">
        <v>14</v>
      </c>
      <c r="N36">
        <v>0.14000000000000001</v>
      </c>
      <c r="O36">
        <f t="shared" si="0"/>
        <v>0</v>
      </c>
      <c r="P36">
        <f t="shared" si="1"/>
        <v>4</v>
      </c>
      <c r="Q36" s="2">
        <v>125</v>
      </c>
      <c r="R36" s="1">
        <v>45738</v>
      </c>
      <c r="S36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151.19000000000003</v>
      </c>
    </row>
    <row r="37" spans="1:19" x14ac:dyDescent="0.3">
      <c r="A37" t="s">
        <v>148</v>
      </c>
      <c r="B37" t="s">
        <v>36</v>
      </c>
      <c r="C37" t="s">
        <v>20</v>
      </c>
      <c r="D37">
        <v>40.77073</v>
      </c>
      <c r="E37">
        <v>-73.956829999999997</v>
      </c>
      <c r="F37" t="s">
        <v>21</v>
      </c>
      <c r="G37">
        <v>2</v>
      </c>
      <c r="H37">
        <v>1</v>
      </c>
      <c r="I37">
        <v>1</v>
      </c>
      <c r="J37">
        <v>1</v>
      </c>
      <c r="K37">
        <v>30</v>
      </c>
      <c r="L37">
        <v>193</v>
      </c>
      <c r="M37">
        <v>25</v>
      </c>
      <c r="N37">
        <v>0.19</v>
      </c>
      <c r="O37">
        <f t="shared" si="0"/>
        <v>0</v>
      </c>
      <c r="P37">
        <f t="shared" si="1"/>
        <v>4</v>
      </c>
      <c r="Q37" s="2">
        <v>100</v>
      </c>
      <c r="R37" s="1">
        <v>45747</v>
      </c>
      <c r="S37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156.99</v>
      </c>
    </row>
    <row r="38" spans="1:19" x14ac:dyDescent="0.3">
      <c r="A38" t="s">
        <v>151</v>
      </c>
      <c r="B38" t="s">
        <v>36</v>
      </c>
      <c r="C38" t="s">
        <v>20</v>
      </c>
      <c r="D38">
        <v>40.770899999999997</v>
      </c>
      <c r="E38">
        <v>-73.957409999999996</v>
      </c>
      <c r="F38" t="s">
        <v>21</v>
      </c>
      <c r="G38">
        <v>2</v>
      </c>
      <c r="H38">
        <v>1</v>
      </c>
      <c r="I38">
        <v>1</v>
      </c>
      <c r="J38">
        <v>2</v>
      </c>
      <c r="K38">
        <v>30</v>
      </c>
      <c r="L38">
        <v>257</v>
      </c>
      <c r="M38">
        <v>11</v>
      </c>
      <c r="N38">
        <v>0.11</v>
      </c>
      <c r="O38">
        <f t="shared" si="0"/>
        <v>0</v>
      </c>
      <c r="P38">
        <f t="shared" si="1"/>
        <v>4</v>
      </c>
      <c r="Q38" s="2">
        <v>117</v>
      </c>
      <c r="R38" s="1">
        <v>45729</v>
      </c>
      <c r="S38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154.43</v>
      </c>
    </row>
    <row r="39" spans="1:19" x14ac:dyDescent="0.3">
      <c r="A39" t="s">
        <v>152</v>
      </c>
      <c r="B39" t="s">
        <v>28</v>
      </c>
      <c r="C39" t="s">
        <v>20</v>
      </c>
      <c r="D39">
        <v>40.802410000000002</v>
      </c>
      <c r="E39">
        <v>-73.952610000000007</v>
      </c>
      <c r="F39" t="s">
        <v>18</v>
      </c>
      <c r="G39">
        <v>1</v>
      </c>
      <c r="H39">
        <v>1</v>
      </c>
      <c r="I39">
        <v>1</v>
      </c>
      <c r="J39">
        <v>1</v>
      </c>
      <c r="K39">
        <v>7</v>
      </c>
      <c r="L39">
        <v>270</v>
      </c>
      <c r="M39">
        <v>172</v>
      </c>
      <c r="N39">
        <v>1.3</v>
      </c>
      <c r="O39">
        <f t="shared" si="0"/>
        <v>1</v>
      </c>
      <c r="P39">
        <f t="shared" si="1"/>
        <v>4</v>
      </c>
      <c r="Q39" s="2">
        <v>110</v>
      </c>
      <c r="R39" s="1">
        <v>45731</v>
      </c>
      <c r="S39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168.68</v>
      </c>
    </row>
    <row r="40" spans="1:19" x14ac:dyDescent="0.3">
      <c r="A40" t="s">
        <v>153</v>
      </c>
      <c r="B40" t="s">
        <v>56</v>
      </c>
      <c r="C40" t="s">
        <v>17</v>
      </c>
      <c r="D40">
        <v>40.671219999999998</v>
      </c>
      <c r="E40">
        <v>-73.950119999999998</v>
      </c>
      <c r="F40" t="s">
        <v>21</v>
      </c>
      <c r="G40">
        <v>3</v>
      </c>
      <c r="H40">
        <v>1</v>
      </c>
      <c r="I40">
        <v>3</v>
      </c>
      <c r="J40">
        <v>3</v>
      </c>
      <c r="K40">
        <v>30</v>
      </c>
      <c r="L40">
        <v>268</v>
      </c>
      <c r="M40">
        <v>105</v>
      </c>
      <c r="N40">
        <v>0.79</v>
      </c>
      <c r="O40">
        <f t="shared" si="0"/>
        <v>0</v>
      </c>
      <c r="P40">
        <f t="shared" si="1"/>
        <v>2</v>
      </c>
      <c r="Q40" s="2">
        <v>220</v>
      </c>
      <c r="R40" s="1">
        <v>45730</v>
      </c>
      <c r="S40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142.51000000000002</v>
      </c>
    </row>
    <row r="41" spans="1:19" x14ac:dyDescent="0.3">
      <c r="A41" t="s">
        <v>155</v>
      </c>
      <c r="B41" t="s">
        <v>156</v>
      </c>
      <c r="C41" t="s">
        <v>91</v>
      </c>
      <c r="D41">
        <v>40.541530000000002</v>
      </c>
      <c r="E41">
        <v>-74.164420000000007</v>
      </c>
      <c r="F41" t="s">
        <v>18</v>
      </c>
      <c r="G41">
        <v>2</v>
      </c>
      <c r="H41">
        <v>1</v>
      </c>
      <c r="I41">
        <v>1</v>
      </c>
      <c r="J41">
        <v>1</v>
      </c>
      <c r="K41">
        <v>1</v>
      </c>
      <c r="L41">
        <v>338</v>
      </c>
      <c r="M41">
        <v>248</v>
      </c>
      <c r="N41">
        <v>1.88</v>
      </c>
      <c r="O41">
        <f t="shared" si="0"/>
        <v>1</v>
      </c>
      <c r="P41">
        <f t="shared" si="1"/>
        <v>0</v>
      </c>
      <c r="Q41" s="2">
        <v>83</v>
      </c>
      <c r="R41" s="1">
        <v>45746</v>
      </c>
      <c r="S41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144.12</v>
      </c>
    </row>
    <row r="42" spans="1:19" x14ac:dyDescent="0.3">
      <c r="A42" t="s">
        <v>158</v>
      </c>
      <c r="B42" t="s">
        <v>59</v>
      </c>
      <c r="C42" t="s">
        <v>17</v>
      </c>
      <c r="D42">
        <v>40.683619999999998</v>
      </c>
      <c r="E42">
        <v>-73.960139999999996</v>
      </c>
      <c r="F42" t="s">
        <v>21</v>
      </c>
      <c r="G42">
        <v>5</v>
      </c>
      <c r="H42">
        <v>2</v>
      </c>
      <c r="I42">
        <v>2</v>
      </c>
      <c r="J42">
        <v>2</v>
      </c>
      <c r="K42">
        <v>30</v>
      </c>
      <c r="L42">
        <v>325</v>
      </c>
      <c r="M42">
        <v>25</v>
      </c>
      <c r="N42">
        <v>0.2</v>
      </c>
      <c r="O42">
        <f t="shared" si="0"/>
        <v>0</v>
      </c>
      <c r="P42">
        <f t="shared" si="1"/>
        <v>2</v>
      </c>
      <c r="Q42" s="2">
        <v>149</v>
      </c>
      <c r="R42" s="1">
        <v>45733</v>
      </c>
      <c r="S42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189.41000000000005</v>
      </c>
    </row>
    <row r="43" spans="1:19" x14ac:dyDescent="0.3">
      <c r="A43" t="s">
        <v>159</v>
      </c>
      <c r="B43" t="s">
        <v>50</v>
      </c>
      <c r="C43" t="s">
        <v>20</v>
      </c>
      <c r="D43">
        <v>40.73404</v>
      </c>
      <c r="E43">
        <v>-74.003640000000004</v>
      </c>
      <c r="F43" t="s">
        <v>21</v>
      </c>
      <c r="G43">
        <v>2</v>
      </c>
      <c r="H43">
        <v>1</v>
      </c>
      <c r="I43">
        <v>1</v>
      </c>
      <c r="J43">
        <v>1</v>
      </c>
      <c r="K43">
        <v>30</v>
      </c>
      <c r="L43">
        <v>132</v>
      </c>
      <c r="M43">
        <v>271</v>
      </c>
      <c r="N43">
        <v>2.09</v>
      </c>
      <c r="O43">
        <f t="shared" si="0"/>
        <v>0</v>
      </c>
      <c r="P43">
        <f t="shared" si="1"/>
        <v>4</v>
      </c>
      <c r="Q43" s="2">
        <v>241</v>
      </c>
      <c r="R43" s="1">
        <v>45740</v>
      </c>
      <c r="S43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159.43</v>
      </c>
    </row>
    <row r="44" spans="1:19" x14ac:dyDescent="0.3">
      <c r="A44" t="s">
        <v>162</v>
      </c>
      <c r="B44" t="s">
        <v>26</v>
      </c>
      <c r="C44" t="s">
        <v>17</v>
      </c>
      <c r="D44">
        <v>40.693309999999997</v>
      </c>
      <c r="E44">
        <v>-73.981859999999998</v>
      </c>
      <c r="F44" t="s">
        <v>21</v>
      </c>
      <c r="G44">
        <v>3</v>
      </c>
      <c r="H44">
        <v>1</v>
      </c>
      <c r="I44">
        <v>1</v>
      </c>
      <c r="J44">
        <v>1</v>
      </c>
      <c r="K44">
        <v>30</v>
      </c>
      <c r="L44">
        <v>121</v>
      </c>
      <c r="M44">
        <v>36</v>
      </c>
      <c r="N44">
        <v>0.28000000000000003</v>
      </c>
      <c r="O44">
        <f t="shared" si="0"/>
        <v>0</v>
      </c>
      <c r="P44">
        <f t="shared" si="1"/>
        <v>2</v>
      </c>
      <c r="Q44" s="2">
        <v>200</v>
      </c>
      <c r="R44" s="1">
        <v>45719</v>
      </c>
      <c r="S44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148.39000000000001</v>
      </c>
    </row>
    <row r="45" spans="1:19" x14ac:dyDescent="0.3">
      <c r="A45" t="s">
        <v>163</v>
      </c>
      <c r="B45" t="s">
        <v>164</v>
      </c>
      <c r="C45" t="s">
        <v>91</v>
      </c>
      <c r="D45">
        <v>40.644889999999997</v>
      </c>
      <c r="E45">
        <v>-74.077889999999996</v>
      </c>
      <c r="F45" t="s">
        <v>18</v>
      </c>
      <c r="G45">
        <v>3</v>
      </c>
      <c r="H45">
        <v>1.5</v>
      </c>
      <c r="I45">
        <v>1</v>
      </c>
      <c r="J45">
        <v>1</v>
      </c>
      <c r="K45">
        <v>30</v>
      </c>
      <c r="L45">
        <v>358</v>
      </c>
      <c r="M45">
        <v>223</v>
      </c>
      <c r="N45">
        <v>1.94</v>
      </c>
      <c r="O45">
        <f t="shared" si="0"/>
        <v>1</v>
      </c>
      <c r="P45">
        <f t="shared" si="1"/>
        <v>0</v>
      </c>
      <c r="Q45" s="2">
        <v>75</v>
      </c>
      <c r="R45" s="1">
        <v>45744</v>
      </c>
      <c r="S45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70.760000000000034</v>
      </c>
    </row>
    <row r="46" spans="1:19" x14ac:dyDescent="0.3">
      <c r="A46" t="s">
        <v>165</v>
      </c>
      <c r="B46" t="s">
        <v>36</v>
      </c>
      <c r="C46" t="s">
        <v>20</v>
      </c>
      <c r="D46">
        <v>40.771160000000002</v>
      </c>
      <c r="E46">
        <v>-73.956850000000003</v>
      </c>
      <c r="F46" t="s">
        <v>21</v>
      </c>
      <c r="G46">
        <v>2</v>
      </c>
      <c r="H46">
        <v>1</v>
      </c>
      <c r="I46">
        <v>1</v>
      </c>
      <c r="J46">
        <v>1</v>
      </c>
      <c r="K46">
        <v>30</v>
      </c>
      <c r="L46">
        <v>228</v>
      </c>
      <c r="M46">
        <v>9</v>
      </c>
      <c r="N46">
        <v>0.09</v>
      </c>
      <c r="O46">
        <f t="shared" si="0"/>
        <v>0</v>
      </c>
      <c r="P46">
        <f t="shared" si="1"/>
        <v>4</v>
      </c>
      <c r="Q46" s="2">
        <v>121</v>
      </c>
      <c r="R46" s="1">
        <v>45727</v>
      </c>
      <c r="S46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155.59000000000003</v>
      </c>
    </row>
    <row r="47" spans="1:19" x14ac:dyDescent="0.3">
      <c r="A47" t="s">
        <v>166</v>
      </c>
      <c r="B47" t="s">
        <v>27</v>
      </c>
      <c r="C47" t="s">
        <v>17</v>
      </c>
      <c r="D47">
        <v>40.680843701285198</v>
      </c>
      <c r="E47">
        <v>-73.948621231925998</v>
      </c>
      <c r="F47" t="s">
        <v>18</v>
      </c>
      <c r="G47">
        <v>2</v>
      </c>
      <c r="H47">
        <v>1</v>
      </c>
      <c r="I47">
        <v>0</v>
      </c>
      <c r="J47">
        <v>2</v>
      </c>
      <c r="K47">
        <v>2</v>
      </c>
      <c r="L47">
        <v>319</v>
      </c>
      <c r="M47">
        <v>427</v>
      </c>
      <c r="N47">
        <v>3.3</v>
      </c>
      <c r="O47">
        <f t="shared" si="0"/>
        <v>1</v>
      </c>
      <c r="P47">
        <f t="shared" si="1"/>
        <v>2</v>
      </c>
      <c r="Q47" s="2">
        <v>154</v>
      </c>
      <c r="R47" s="1">
        <v>45734</v>
      </c>
      <c r="S47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171.99000000000004</v>
      </c>
    </row>
    <row r="48" spans="1:19" x14ac:dyDescent="0.3">
      <c r="A48" t="s">
        <v>167</v>
      </c>
      <c r="B48" t="s">
        <v>33</v>
      </c>
      <c r="C48" t="s">
        <v>17</v>
      </c>
      <c r="D48">
        <v>40.66724</v>
      </c>
      <c r="E48">
        <v>-73.980249999999998</v>
      </c>
      <c r="F48" t="s">
        <v>21</v>
      </c>
      <c r="G48">
        <v>2</v>
      </c>
      <c r="H48">
        <v>1</v>
      </c>
      <c r="I48">
        <v>1</v>
      </c>
      <c r="J48">
        <v>4</v>
      </c>
      <c r="K48">
        <v>30</v>
      </c>
      <c r="L48">
        <v>98</v>
      </c>
      <c r="M48">
        <v>41</v>
      </c>
      <c r="N48">
        <v>0.32</v>
      </c>
      <c r="O48">
        <f t="shared" si="0"/>
        <v>0</v>
      </c>
      <c r="P48">
        <f t="shared" si="1"/>
        <v>2</v>
      </c>
      <c r="Q48" s="2">
        <v>119</v>
      </c>
      <c r="R48" s="1">
        <v>45747</v>
      </c>
      <c r="S48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130.33000000000001</v>
      </c>
    </row>
    <row r="49" spans="1:19" x14ac:dyDescent="0.3">
      <c r="A49" t="s">
        <v>168</v>
      </c>
      <c r="B49" t="s">
        <v>83</v>
      </c>
      <c r="C49" t="s">
        <v>20</v>
      </c>
      <c r="D49">
        <v>40.872709999999998</v>
      </c>
      <c r="E49">
        <v>-73.920259999999999</v>
      </c>
      <c r="F49" t="s">
        <v>21</v>
      </c>
      <c r="G49">
        <v>2</v>
      </c>
      <c r="H49">
        <v>1</v>
      </c>
      <c r="I49">
        <v>1</v>
      </c>
      <c r="J49">
        <v>1</v>
      </c>
      <c r="K49">
        <v>30</v>
      </c>
      <c r="L49">
        <v>268</v>
      </c>
      <c r="M49">
        <v>77</v>
      </c>
      <c r="N49">
        <v>0.6</v>
      </c>
      <c r="O49">
        <f t="shared" si="0"/>
        <v>0</v>
      </c>
      <c r="P49">
        <f t="shared" si="1"/>
        <v>4</v>
      </c>
      <c r="Q49" s="2">
        <v>150</v>
      </c>
      <c r="R49" s="1">
        <v>45747</v>
      </c>
      <c r="S49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153.99</v>
      </c>
    </row>
    <row r="50" spans="1:19" x14ac:dyDescent="0.3">
      <c r="A50" t="s">
        <v>170</v>
      </c>
      <c r="B50" t="s">
        <v>24</v>
      </c>
      <c r="C50" t="s">
        <v>20</v>
      </c>
      <c r="D50">
        <v>40.807110000000002</v>
      </c>
      <c r="E50">
        <v>-73.937839999999994</v>
      </c>
      <c r="F50" t="s">
        <v>21</v>
      </c>
      <c r="G50">
        <v>3</v>
      </c>
      <c r="H50">
        <v>1</v>
      </c>
      <c r="I50">
        <v>0</v>
      </c>
      <c r="J50">
        <v>2</v>
      </c>
      <c r="K50">
        <v>30</v>
      </c>
      <c r="L50">
        <v>280</v>
      </c>
      <c r="M50">
        <v>27</v>
      </c>
      <c r="N50">
        <v>0.22</v>
      </c>
      <c r="O50">
        <f t="shared" si="0"/>
        <v>0</v>
      </c>
      <c r="P50">
        <f t="shared" si="1"/>
        <v>4</v>
      </c>
      <c r="Q50" s="2">
        <v>100</v>
      </c>
      <c r="R50" s="1">
        <v>45731</v>
      </c>
      <c r="S50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172.49</v>
      </c>
    </row>
    <row r="51" spans="1:19" x14ac:dyDescent="0.3">
      <c r="A51" t="s">
        <v>171</v>
      </c>
      <c r="B51" t="s">
        <v>45</v>
      </c>
      <c r="C51" t="s">
        <v>20</v>
      </c>
      <c r="D51">
        <v>40.749119999999998</v>
      </c>
      <c r="E51">
        <v>-73.996669999999995</v>
      </c>
      <c r="F51" t="s">
        <v>21</v>
      </c>
      <c r="G51">
        <v>2</v>
      </c>
      <c r="H51">
        <v>1</v>
      </c>
      <c r="I51">
        <v>1</v>
      </c>
      <c r="J51">
        <v>1</v>
      </c>
      <c r="K51">
        <v>30</v>
      </c>
      <c r="L51">
        <v>114</v>
      </c>
      <c r="M51">
        <v>375</v>
      </c>
      <c r="N51">
        <v>2.92</v>
      </c>
      <c r="O51">
        <f t="shared" si="0"/>
        <v>0</v>
      </c>
      <c r="P51">
        <f t="shared" si="1"/>
        <v>4</v>
      </c>
      <c r="Q51" s="2">
        <v>166</v>
      </c>
      <c r="R51" s="1">
        <v>45747</v>
      </c>
      <c r="S51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160.15000000000003</v>
      </c>
    </row>
    <row r="52" spans="1:19" x14ac:dyDescent="0.3">
      <c r="A52" t="s">
        <v>172</v>
      </c>
      <c r="B52" t="s">
        <v>38</v>
      </c>
      <c r="C52" t="s">
        <v>20</v>
      </c>
      <c r="D52">
        <v>40.760910000000003</v>
      </c>
      <c r="E52">
        <v>-73.990849999999995</v>
      </c>
      <c r="F52" t="s">
        <v>18</v>
      </c>
      <c r="G52">
        <v>2</v>
      </c>
      <c r="H52">
        <v>1</v>
      </c>
      <c r="I52">
        <v>0</v>
      </c>
      <c r="J52">
        <v>1</v>
      </c>
      <c r="K52">
        <v>30</v>
      </c>
      <c r="L52">
        <v>106</v>
      </c>
      <c r="M52">
        <v>17</v>
      </c>
      <c r="N52">
        <v>0.15</v>
      </c>
      <c r="O52">
        <f t="shared" si="0"/>
        <v>1</v>
      </c>
      <c r="P52">
        <f t="shared" si="1"/>
        <v>4</v>
      </c>
      <c r="Q52" s="2">
        <v>96</v>
      </c>
      <c r="R52" s="1">
        <v>45717</v>
      </c>
      <c r="S52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117.17000000000003</v>
      </c>
    </row>
    <row r="53" spans="1:19" x14ac:dyDescent="0.3">
      <c r="A53" t="s">
        <v>173</v>
      </c>
      <c r="B53" t="s">
        <v>53</v>
      </c>
      <c r="C53" t="s">
        <v>20</v>
      </c>
      <c r="D53">
        <v>40.776249999999997</v>
      </c>
      <c r="E53">
        <v>-73.979089999999999</v>
      </c>
      <c r="F53" t="s">
        <v>18</v>
      </c>
      <c r="G53">
        <v>2</v>
      </c>
      <c r="H53">
        <v>1.5</v>
      </c>
      <c r="I53">
        <v>1</v>
      </c>
      <c r="J53">
        <v>1</v>
      </c>
      <c r="K53">
        <v>30</v>
      </c>
      <c r="L53">
        <v>111</v>
      </c>
      <c r="M53">
        <v>244</v>
      </c>
      <c r="N53">
        <v>1.91</v>
      </c>
      <c r="O53">
        <f t="shared" si="0"/>
        <v>1</v>
      </c>
      <c r="P53">
        <f t="shared" si="1"/>
        <v>4</v>
      </c>
      <c r="Q53" s="2">
        <v>90</v>
      </c>
      <c r="R53" s="1">
        <v>45745</v>
      </c>
      <c r="S53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122.58000000000004</v>
      </c>
    </row>
    <row r="54" spans="1:19" x14ac:dyDescent="0.3">
      <c r="A54" t="s">
        <v>174</v>
      </c>
      <c r="B54" t="s">
        <v>28</v>
      </c>
      <c r="C54" t="s">
        <v>20</v>
      </c>
      <c r="D54">
        <v>40.804679999999998</v>
      </c>
      <c r="E54">
        <v>-73.949129999999997</v>
      </c>
      <c r="F54" t="s">
        <v>18</v>
      </c>
      <c r="G54">
        <v>1</v>
      </c>
      <c r="H54">
        <v>1.5</v>
      </c>
      <c r="I54">
        <v>1</v>
      </c>
      <c r="J54">
        <v>1</v>
      </c>
      <c r="K54">
        <v>30</v>
      </c>
      <c r="L54">
        <v>146</v>
      </c>
      <c r="M54">
        <v>68</v>
      </c>
      <c r="N54">
        <v>0.65</v>
      </c>
      <c r="O54">
        <f t="shared" si="0"/>
        <v>1</v>
      </c>
      <c r="P54">
        <f t="shared" si="1"/>
        <v>4</v>
      </c>
      <c r="Q54" s="2">
        <v>68</v>
      </c>
      <c r="R54" s="1">
        <v>45738</v>
      </c>
      <c r="S54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102.20000000000002</v>
      </c>
    </row>
    <row r="55" spans="1:19" x14ac:dyDescent="0.3">
      <c r="A55" t="s">
        <v>175</v>
      </c>
      <c r="B55" t="s">
        <v>28</v>
      </c>
      <c r="C55" t="s">
        <v>20</v>
      </c>
      <c r="D55">
        <v>40.819510000000001</v>
      </c>
      <c r="E55">
        <v>-73.954599999999999</v>
      </c>
      <c r="F55" t="s">
        <v>18</v>
      </c>
      <c r="G55">
        <v>1</v>
      </c>
      <c r="H55">
        <v>1</v>
      </c>
      <c r="I55">
        <v>1</v>
      </c>
      <c r="J55">
        <v>1</v>
      </c>
      <c r="K55">
        <v>30</v>
      </c>
      <c r="L55">
        <v>274</v>
      </c>
      <c r="M55">
        <v>189</v>
      </c>
      <c r="N55">
        <v>1.48</v>
      </c>
      <c r="O55">
        <f t="shared" si="0"/>
        <v>1</v>
      </c>
      <c r="P55">
        <f t="shared" si="1"/>
        <v>4</v>
      </c>
      <c r="Q55" s="2">
        <v>52</v>
      </c>
      <c r="R55" s="1">
        <v>45747</v>
      </c>
      <c r="S55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91.47</v>
      </c>
    </row>
    <row r="56" spans="1:19" x14ac:dyDescent="0.3">
      <c r="A56" t="s">
        <v>176</v>
      </c>
      <c r="B56" t="s">
        <v>59</v>
      </c>
      <c r="C56" t="s">
        <v>17</v>
      </c>
      <c r="D56">
        <v>40.686729999999997</v>
      </c>
      <c r="E56">
        <v>-73.965869999999995</v>
      </c>
      <c r="F56" t="s">
        <v>21</v>
      </c>
      <c r="G56">
        <v>2</v>
      </c>
      <c r="H56">
        <v>1</v>
      </c>
      <c r="I56">
        <v>1</v>
      </c>
      <c r="J56">
        <v>1</v>
      </c>
      <c r="K56">
        <v>30</v>
      </c>
      <c r="L56">
        <v>270</v>
      </c>
      <c r="M56">
        <v>353</v>
      </c>
      <c r="N56">
        <v>2.79</v>
      </c>
      <c r="O56">
        <f t="shared" si="0"/>
        <v>0</v>
      </c>
      <c r="P56">
        <f t="shared" si="1"/>
        <v>2</v>
      </c>
      <c r="Q56" s="2">
        <v>119</v>
      </c>
      <c r="R56" s="1">
        <v>45744</v>
      </c>
      <c r="S56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123.45000000000002</v>
      </c>
    </row>
    <row r="57" spans="1:19" x14ac:dyDescent="0.3">
      <c r="A57" t="s">
        <v>177</v>
      </c>
      <c r="B57" t="s">
        <v>36</v>
      </c>
      <c r="C57" t="s">
        <v>20</v>
      </c>
      <c r="D57">
        <v>40.782179999999997</v>
      </c>
      <c r="E57">
        <v>-73.948269999999994</v>
      </c>
      <c r="F57" t="s">
        <v>21</v>
      </c>
      <c r="G57">
        <v>4</v>
      </c>
      <c r="H57">
        <v>1</v>
      </c>
      <c r="I57">
        <v>2</v>
      </c>
      <c r="J57">
        <v>3</v>
      </c>
      <c r="K57">
        <v>30</v>
      </c>
      <c r="L57">
        <v>291</v>
      </c>
      <c r="M57">
        <v>28</v>
      </c>
      <c r="N57">
        <v>0.24</v>
      </c>
      <c r="O57">
        <f t="shared" si="0"/>
        <v>0</v>
      </c>
      <c r="P57">
        <f t="shared" si="1"/>
        <v>4</v>
      </c>
      <c r="Q57" s="2">
        <v>140</v>
      </c>
      <c r="R57" s="1">
        <v>45717</v>
      </c>
      <c r="S57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191.03000000000003</v>
      </c>
    </row>
    <row r="58" spans="1:19" x14ac:dyDescent="0.3">
      <c r="A58" t="s">
        <v>180</v>
      </c>
      <c r="B58" t="s">
        <v>92</v>
      </c>
      <c r="C58" t="s">
        <v>17</v>
      </c>
      <c r="D58">
        <v>40.621279999999999</v>
      </c>
      <c r="E58">
        <v>-73.994829999999993</v>
      </c>
      <c r="F58" t="s">
        <v>21</v>
      </c>
      <c r="G58">
        <v>4</v>
      </c>
      <c r="H58">
        <v>1</v>
      </c>
      <c r="I58">
        <v>1</v>
      </c>
      <c r="J58">
        <v>3</v>
      </c>
      <c r="K58">
        <v>30</v>
      </c>
      <c r="L58">
        <v>242</v>
      </c>
      <c r="M58">
        <v>109</v>
      </c>
      <c r="N58">
        <v>0.88</v>
      </c>
      <c r="O58">
        <f t="shared" si="0"/>
        <v>0</v>
      </c>
      <c r="P58">
        <f t="shared" si="1"/>
        <v>2</v>
      </c>
      <c r="Q58" s="2">
        <v>95</v>
      </c>
      <c r="R58" s="1">
        <v>45733</v>
      </c>
      <c r="S58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162.53000000000003</v>
      </c>
    </row>
    <row r="59" spans="1:19" x14ac:dyDescent="0.3">
      <c r="A59" t="s">
        <v>181</v>
      </c>
      <c r="B59" t="s">
        <v>48</v>
      </c>
      <c r="C59" t="s">
        <v>20</v>
      </c>
      <c r="D59" s="3" t="s">
        <v>182</v>
      </c>
      <c r="E59">
        <v>-73.996971544973505</v>
      </c>
      <c r="F59" t="s">
        <v>18</v>
      </c>
      <c r="G59">
        <v>1</v>
      </c>
      <c r="H59">
        <v>1</v>
      </c>
      <c r="I59">
        <v>1</v>
      </c>
      <c r="J59">
        <v>1</v>
      </c>
      <c r="K59">
        <v>30</v>
      </c>
      <c r="L59">
        <v>136</v>
      </c>
      <c r="M59">
        <v>79</v>
      </c>
      <c r="N59">
        <v>0.63</v>
      </c>
      <c r="O59">
        <f t="shared" si="0"/>
        <v>1</v>
      </c>
      <c r="P59">
        <f t="shared" si="1"/>
        <v>4</v>
      </c>
      <c r="Q59" s="2">
        <v>126</v>
      </c>
      <c r="R59" s="1">
        <v>45747</v>
      </c>
      <c r="S59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96.990000000000009</v>
      </c>
    </row>
    <row r="60" spans="1:19" x14ac:dyDescent="0.3">
      <c r="A60" t="s">
        <v>183</v>
      </c>
      <c r="B60" t="s">
        <v>53</v>
      </c>
      <c r="C60" t="s">
        <v>20</v>
      </c>
      <c r="D60">
        <v>40.79495</v>
      </c>
      <c r="E60">
        <v>-73.972369999999998</v>
      </c>
      <c r="F60" t="s">
        <v>21</v>
      </c>
      <c r="G60">
        <v>2</v>
      </c>
      <c r="H60">
        <v>1</v>
      </c>
      <c r="I60">
        <v>1</v>
      </c>
      <c r="J60">
        <v>1</v>
      </c>
      <c r="K60">
        <v>30</v>
      </c>
      <c r="L60">
        <v>158</v>
      </c>
      <c r="M60">
        <v>99</v>
      </c>
      <c r="N60">
        <v>0.8</v>
      </c>
      <c r="O60">
        <f t="shared" si="0"/>
        <v>0</v>
      </c>
      <c r="P60">
        <f t="shared" si="1"/>
        <v>4</v>
      </c>
      <c r="Q60" s="2">
        <v>160</v>
      </c>
      <c r="R60" s="1">
        <v>45747</v>
      </c>
      <c r="S60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158.39000000000004</v>
      </c>
    </row>
    <row r="61" spans="1:19" x14ac:dyDescent="0.3">
      <c r="A61" t="s">
        <v>184</v>
      </c>
      <c r="B61" t="s">
        <v>36</v>
      </c>
      <c r="C61" t="s">
        <v>20</v>
      </c>
      <c r="D61">
        <v>40.78248</v>
      </c>
      <c r="E61">
        <v>-73.946430000000007</v>
      </c>
      <c r="F61" t="s">
        <v>21</v>
      </c>
      <c r="G61">
        <v>3</v>
      </c>
      <c r="H61">
        <v>1</v>
      </c>
      <c r="I61">
        <v>0</v>
      </c>
      <c r="J61">
        <v>2</v>
      </c>
      <c r="K61">
        <v>30</v>
      </c>
      <c r="L61">
        <v>364</v>
      </c>
      <c r="M61">
        <v>26</v>
      </c>
      <c r="N61">
        <v>0.23</v>
      </c>
      <c r="O61">
        <f t="shared" si="0"/>
        <v>0</v>
      </c>
      <c r="P61">
        <f t="shared" si="1"/>
        <v>4</v>
      </c>
      <c r="Q61" s="2">
        <v>114</v>
      </c>
      <c r="R61" s="1">
        <v>45722</v>
      </c>
      <c r="S61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169.13</v>
      </c>
    </row>
    <row r="62" spans="1:19" x14ac:dyDescent="0.3">
      <c r="A62" t="s">
        <v>186</v>
      </c>
      <c r="B62" t="s">
        <v>36</v>
      </c>
      <c r="C62" t="s">
        <v>20</v>
      </c>
      <c r="D62">
        <v>40.775039999999997</v>
      </c>
      <c r="E62">
        <v>-73.953569999999999</v>
      </c>
      <c r="F62" t="s">
        <v>21</v>
      </c>
      <c r="G62">
        <v>2</v>
      </c>
      <c r="H62">
        <v>1</v>
      </c>
      <c r="I62">
        <v>0</v>
      </c>
      <c r="J62">
        <v>1</v>
      </c>
      <c r="K62">
        <v>30</v>
      </c>
      <c r="L62">
        <v>337</v>
      </c>
      <c r="M62">
        <v>26</v>
      </c>
      <c r="N62">
        <v>0.21</v>
      </c>
      <c r="O62">
        <f t="shared" si="0"/>
        <v>0</v>
      </c>
      <c r="P62">
        <f t="shared" si="1"/>
        <v>4</v>
      </c>
      <c r="Q62" s="2">
        <v>117</v>
      </c>
      <c r="R62" s="1">
        <v>45747</v>
      </c>
      <c r="S62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151.23000000000002</v>
      </c>
    </row>
    <row r="63" spans="1:19" x14ac:dyDescent="0.3">
      <c r="A63" t="s">
        <v>187</v>
      </c>
      <c r="B63" t="s">
        <v>36</v>
      </c>
      <c r="C63" t="s">
        <v>20</v>
      </c>
      <c r="D63">
        <v>40.760849999999998</v>
      </c>
      <c r="E63">
        <v>-73.960409999999996</v>
      </c>
      <c r="F63" t="s">
        <v>21</v>
      </c>
      <c r="G63">
        <v>3</v>
      </c>
      <c r="H63">
        <v>1</v>
      </c>
      <c r="I63">
        <v>1</v>
      </c>
      <c r="J63">
        <v>2</v>
      </c>
      <c r="K63">
        <v>30</v>
      </c>
      <c r="L63">
        <v>348</v>
      </c>
      <c r="M63">
        <v>17</v>
      </c>
      <c r="N63">
        <v>0.15</v>
      </c>
      <c r="O63">
        <f t="shared" si="0"/>
        <v>0</v>
      </c>
      <c r="P63">
        <f t="shared" si="1"/>
        <v>4</v>
      </c>
      <c r="Q63" s="2">
        <v>219</v>
      </c>
      <c r="R63" s="1">
        <v>45718</v>
      </c>
      <c r="S63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169.77</v>
      </c>
    </row>
    <row r="64" spans="1:19" x14ac:dyDescent="0.3">
      <c r="A64" t="s">
        <v>188</v>
      </c>
      <c r="B64" t="s">
        <v>24</v>
      </c>
      <c r="C64" t="s">
        <v>20</v>
      </c>
      <c r="D64">
        <v>40.795189999999998</v>
      </c>
      <c r="E64">
        <v>-73.949879999999993</v>
      </c>
      <c r="F64" t="s">
        <v>18</v>
      </c>
      <c r="G64">
        <v>1</v>
      </c>
      <c r="H64">
        <v>10.5</v>
      </c>
      <c r="I64">
        <v>1</v>
      </c>
      <c r="J64">
        <v>1</v>
      </c>
      <c r="K64">
        <v>30</v>
      </c>
      <c r="L64">
        <v>243</v>
      </c>
      <c r="M64">
        <v>22</v>
      </c>
      <c r="N64">
        <v>0.19</v>
      </c>
      <c r="O64">
        <f t="shared" si="0"/>
        <v>1</v>
      </c>
      <c r="P64">
        <f t="shared" si="1"/>
        <v>4</v>
      </c>
      <c r="Q64" s="2">
        <v>118</v>
      </c>
      <c r="R64" s="1">
        <v>45746</v>
      </c>
      <c r="S64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199.3</v>
      </c>
    </row>
    <row r="65" spans="1:19" x14ac:dyDescent="0.3">
      <c r="A65" t="s">
        <v>190</v>
      </c>
      <c r="B65" t="s">
        <v>33</v>
      </c>
      <c r="C65" t="s">
        <v>17</v>
      </c>
      <c r="D65">
        <v>40.682609999999997</v>
      </c>
      <c r="E65">
        <v>-73.977000000000004</v>
      </c>
      <c r="F65" t="s">
        <v>18</v>
      </c>
      <c r="G65">
        <v>2</v>
      </c>
      <c r="H65">
        <v>1</v>
      </c>
      <c r="I65">
        <v>1</v>
      </c>
      <c r="J65">
        <v>1</v>
      </c>
      <c r="K65">
        <v>30</v>
      </c>
      <c r="L65">
        <v>334</v>
      </c>
      <c r="M65">
        <v>13</v>
      </c>
      <c r="N65">
        <v>0.11</v>
      </c>
      <c r="O65">
        <f t="shared" si="0"/>
        <v>1</v>
      </c>
      <c r="P65">
        <f t="shared" si="1"/>
        <v>2</v>
      </c>
      <c r="Q65" s="2">
        <v>89</v>
      </c>
      <c r="R65" s="1">
        <v>45745</v>
      </c>
      <c r="S65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77.590000000000032</v>
      </c>
    </row>
    <row r="66" spans="1:19" x14ac:dyDescent="0.3">
      <c r="A66" t="s">
        <v>191</v>
      </c>
      <c r="B66" t="s">
        <v>146</v>
      </c>
      <c r="C66" t="s">
        <v>91</v>
      </c>
      <c r="D66" s="3" t="s">
        <v>192</v>
      </c>
      <c r="E66">
        <v>-74.085579730547096</v>
      </c>
      <c r="F66" t="s">
        <v>18</v>
      </c>
      <c r="G66">
        <v>2</v>
      </c>
      <c r="H66">
        <v>1</v>
      </c>
      <c r="I66">
        <v>1</v>
      </c>
      <c r="J66">
        <v>1</v>
      </c>
      <c r="K66">
        <v>30</v>
      </c>
      <c r="L66">
        <v>49</v>
      </c>
      <c r="M66">
        <v>183</v>
      </c>
      <c r="N66">
        <v>1.52</v>
      </c>
      <c r="O66">
        <f t="shared" si="0"/>
        <v>1</v>
      </c>
      <c r="P66">
        <f t="shared" si="1"/>
        <v>0</v>
      </c>
      <c r="Q66" s="2">
        <v>69</v>
      </c>
      <c r="R66" s="1">
        <v>45743</v>
      </c>
      <c r="S66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58.53000000000003</v>
      </c>
    </row>
    <row r="67" spans="1:19" x14ac:dyDescent="0.3">
      <c r="A67" t="s">
        <v>194</v>
      </c>
      <c r="B67" t="s">
        <v>41</v>
      </c>
      <c r="C67" t="s">
        <v>20</v>
      </c>
      <c r="D67" s="3" t="s">
        <v>195</v>
      </c>
      <c r="E67">
        <v>-73.985389709472599</v>
      </c>
      <c r="F67" t="s">
        <v>21</v>
      </c>
      <c r="G67">
        <v>2</v>
      </c>
      <c r="H67">
        <v>1</v>
      </c>
      <c r="I67">
        <v>1</v>
      </c>
      <c r="J67">
        <v>1</v>
      </c>
      <c r="K67">
        <v>30</v>
      </c>
      <c r="L67">
        <v>159</v>
      </c>
      <c r="M67">
        <v>24</v>
      </c>
      <c r="N67">
        <v>0.2</v>
      </c>
      <c r="O67">
        <f t="shared" ref="O67:O130" si="2">IF(F67="Private room",1,0)</f>
        <v>0</v>
      </c>
      <c r="P67">
        <f t="shared" ref="P67:P130" si="3">IF(C67="Manhattan",4,IF(C67="Brooklyn",2,0))</f>
        <v>4</v>
      </c>
      <c r="Q67" s="2">
        <v>163</v>
      </c>
      <c r="R67" s="1">
        <v>45728</v>
      </c>
      <c r="S67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158.35000000000002</v>
      </c>
    </row>
    <row r="68" spans="1:19" x14ac:dyDescent="0.3">
      <c r="A68" t="s">
        <v>198</v>
      </c>
      <c r="B68" t="s">
        <v>122</v>
      </c>
      <c r="C68" t="s">
        <v>17</v>
      </c>
      <c r="D68" s="3" t="s">
        <v>199</v>
      </c>
      <c r="E68">
        <v>-74.028968811035099</v>
      </c>
      <c r="F68" t="s">
        <v>18</v>
      </c>
      <c r="G68">
        <v>1</v>
      </c>
      <c r="H68">
        <v>1</v>
      </c>
      <c r="I68">
        <v>1</v>
      </c>
      <c r="J68">
        <v>1</v>
      </c>
      <c r="K68">
        <v>30</v>
      </c>
      <c r="L68">
        <v>296</v>
      </c>
      <c r="M68">
        <v>78</v>
      </c>
      <c r="N68">
        <v>0.65</v>
      </c>
      <c r="O68">
        <f t="shared" si="2"/>
        <v>1</v>
      </c>
      <c r="P68">
        <f t="shared" si="3"/>
        <v>2</v>
      </c>
      <c r="Q68" s="2">
        <v>68</v>
      </c>
      <c r="R68" s="1">
        <v>45727</v>
      </c>
      <c r="S68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60.13</v>
      </c>
    </row>
    <row r="69" spans="1:19" x14ac:dyDescent="0.3">
      <c r="A69" t="s">
        <v>200</v>
      </c>
      <c r="B69" t="s">
        <v>26</v>
      </c>
      <c r="C69" t="s">
        <v>17</v>
      </c>
      <c r="D69">
        <v>40.68929</v>
      </c>
      <c r="E69">
        <v>-73.977590000000006</v>
      </c>
      <c r="F69" t="s">
        <v>21</v>
      </c>
      <c r="G69">
        <v>2</v>
      </c>
      <c r="H69">
        <v>1</v>
      </c>
      <c r="I69">
        <v>1</v>
      </c>
      <c r="J69">
        <v>1</v>
      </c>
      <c r="K69">
        <v>30</v>
      </c>
      <c r="L69">
        <v>229</v>
      </c>
      <c r="M69">
        <v>16</v>
      </c>
      <c r="N69">
        <v>0.26</v>
      </c>
      <c r="O69">
        <f t="shared" si="2"/>
        <v>0</v>
      </c>
      <c r="P69">
        <f t="shared" si="3"/>
        <v>2</v>
      </c>
      <c r="Q69" s="2">
        <v>252</v>
      </c>
      <c r="R69" s="1">
        <v>45720</v>
      </c>
      <c r="S69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125.09000000000003</v>
      </c>
    </row>
    <row r="70" spans="1:19" x14ac:dyDescent="0.3">
      <c r="A70" t="s">
        <v>203</v>
      </c>
      <c r="B70" t="s">
        <v>53</v>
      </c>
      <c r="C70" t="s">
        <v>20</v>
      </c>
      <c r="D70">
        <v>40.779339999999998</v>
      </c>
      <c r="E70">
        <v>-73.976529999999997</v>
      </c>
      <c r="F70" t="s">
        <v>18</v>
      </c>
      <c r="G70">
        <v>1</v>
      </c>
      <c r="H70">
        <v>1</v>
      </c>
      <c r="I70">
        <v>1</v>
      </c>
      <c r="J70">
        <v>1</v>
      </c>
      <c r="K70">
        <v>30</v>
      </c>
      <c r="L70">
        <v>209</v>
      </c>
      <c r="M70">
        <v>36</v>
      </c>
      <c r="N70">
        <v>1.07</v>
      </c>
      <c r="O70">
        <f t="shared" si="2"/>
        <v>1</v>
      </c>
      <c r="P70">
        <f t="shared" si="3"/>
        <v>4</v>
      </c>
      <c r="Q70" s="2">
        <v>100</v>
      </c>
      <c r="R70" s="1">
        <v>45731</v>
      </c>
      <c r="S70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94.070000000000007</v>
      </c>
    </row>
    <row r="71" spans="1:19" x14ac:dyDescent="0.3">
      <c r="A71" t="s">
        <v>204</v>
      </c>
      <c r="B71" t="s">
        <v>76</v>
      </c>
      <c r="C71" t="s">
        <v>17</v>
      </c>
      <c r="D71">
        <v>40.596380000000003</v>
      </c>
      <c r="E71">
        <v>-73.972989999999996</v>
      </c>
      <c r="F71" t="s">
        <v>21</v>
      </c>
      <c r="G71">
        <v>4</v>
      </c>
      <c r="H71">
        <v>1</v>
      </c>
      <c r="I71">
        <v>2</v>
      </c>
      <c r="J71">
        <v>2</v>
      </c>
      <c r="K71">
        <v>30</v>
      </c>
      <c r="L71">
        <v>149</v>
      </c>
      <c r="M71">
        <v>335</v>
      </c>
      <c r="N71">
        <v>2.83</v>
      </c>
      <c r="O71">
        <f t="shared" si="2"/>
        <v>0</v>
      </c>
      <c r="P71">
        <f t="shared" si="3"/>
        <v>2</v>
      </c>
      <c r="Q71" s="2">
        <v>76</v>
      </c>
      <c r="R71" s="1">
        <v>45738</v>
      </c>
      <c r="S71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166.25000000000003</v>
      </c>
    </row>
    <row r="72" spans="1:19" x14ac:dyDescent="0.3">
      <c r="A72" t="s">
        <v>206</v>
      </c>
      <c r="B72" t="s">
        <v>33</v>
      </c>
      <c r="C72" t="s">
        <v>17</v>
      </c>
      <c r="D72">
        <v>40.673819999999999</v>
      </c>
      <c r="E72">
        <v>-73.97757</v>
      </c>
      <c r="F72" t="s">
        <v>18</v>
      </c>
      <c r="G72">
        <v>2</v>
      </c>
      <c r="H72">
        <v>1</v>
      </c>
      <c r="I72">
        <v>1</v>
      </c>
      <c r="J72">
        <v>1</v>
      </c>
      <c r="K72">
        <v>30</v>
      </c>
      <c r="L72">
        <v>155</v>
      </c>
      <c r="M72">
        <v>233</v>
      </c>
      <c r="N72">
        <v>1.98</v>
      </c>
      <c r="O72">
        <f t="shared" si="2"/>
        <v>1</v>
      </c>
      <c r="P72">
        <f t="shared" si="3"/>
        <v>2</v>
      </c>
      <c r="Q72" s="2">
        <v>173</v>
      </c>
      <c r="R72" s="1">
        <v>45732</v>
      </c>
      <c r="S72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84.750000000000028</v>
      </c>
    </row>
    <row r="73" spans="1:19" x14ac:dyDescent="0.3">
      <c r="A73" t="s">
        <v>208</v>
      </c>
      <c r="B73" t="s">
        <v>70</v>
      </c>
      <c r="C73" t="s">
        <v>17</v>
      </c>
      <c r="D73">
        <v>40.703049999999998</v>
      </c>
      <c r="E73">
        <v>-73.983680000000007</v>
      </c>
      <c r="F73" t="s">
        <v>21</v>
      </c>
      <c r="G73">
        <v>2</v>
      </c>
      <c r="H73">
        <v>1</v>
      </c>
      <c r="I73">
        <v>1</v>
      </c>
      <c r="J73">
        <v>1</v>
      </c>
      <c r="K73">
        <v>30</v>
      </c>
      <c r="L73">
        <v>237</v>
      </c>
      <c r="M73">
        <v>44</v>
      </c>
      <c r="N73">
        <v>0.37</v>
      </c>
      <c r="O73">
        <f t="shared" si="2"/>
        <v>0</v>
      </c>
      <c r="P73">
        <f t="shared" si="3"/>
        <v>2</v>
      </c>
      <c r="Q73" s="2">
        <v>191</v>
      </c>
      <c r="R73" s="1">
        <v>45747</v>
      </c>
      <c r="S73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124.77000000000001</v>
      </c>
    </row>
    <row r="74" spans="1:19" x14ac:dyDescent="0.3">
      <c r="A74" t="s">
        <v>209</v>
      </c>
      <c r="B74" t="s">
        <v>26</v>
      </c>
      <c r="C74" t="s">
        <v>17</v>
      </c>
      <c r="D74">
        <v>40.68929</v>
      </c>
      <c r="E74">
        <v>-73.977590000000006</v>
      </c>
      <c r="F74" t="s">
        <v>21</v>
      </c>
      <c r="G74">
        <v>2</v>
      </c>
      <c r="H74">
        <v>1</v>
      </c>
      <c r="I74">
        <v>0</v>
      </c>
      <c r="J74">
        <v>2</v>
      </c>
      <c r="K74">
        <v>30</v>
      </c>
      <c r="L74">
        <v>333</v>
      </c>
      <c r="M74">
        <v>42</v>
      </c>
      <c r="N74">
        <v>0.39</v>
      </c>
      <c r="O74">
        <f t="shared" si="2"/>
        <v>0</v>
      </c>
      <c r="P74">
        <f t="shared" si="3"/>
        <v>2</v>
      </c>
      <c r="Q74" s="2">
        <v>158</v>
      </c>
      <c r="R74" s="1">
        <v>45745</v>
      </c>
      <c r="S74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120.93000000000004</v>
      </c>
    </row>
    <row r="75" spans="1:19" x14ac:dyDescent="0.3">
      <c r="A75" t="s">
        <v>210</v>
      </c>
      <c r="B75" t="s">
        <v>58</v>
      </c>
      <c r="C75" t="s">
        <v>17</v>
      </c>
      <c r="D75">
        <v>40.670769999999997</v>
      </c>
      <c r="E75">
        <v>-73.989189999999994</v>
      </c>
      <c r="F75" t="s">
        <v>21</v>
      </c>
      <c r="G75">
        <v>4</v>
      </c>
      <c r="H75">
        <v>1</v>
      </c>
      <c r="I75">
        <v>2</v>
      </c>
      <c r="J75">
        <v>2</v>
      </c>
      <c r="K75">
        <v>30</v>
      </c>
      <c r="L75">
        <v>324</v>
      </c>
      <c r="M75">
        <v>233</v>
      </c>
      <c r="N75">
        <v>1.96</v>
      </c>
      <c r="O75">
        <f t="shared" si="2"/>
        <v>0</v>
      </c>
      <c r="P75">
        <f t="shared" si="3"/>
        <v>2</v>
      </c>
      <c r="Q75" s="2">
        <v>197</v>
      </c>
      <c r="R75" s="1">
        <v>45725</v>
      </c>
      <c r="S75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159.25000000000003</v>
      </c>
    </row>
    <row r="76" spans="1:19" x14ac:dyDescent="0.3">
      <c r="A76" t="s">
        <v>211</v>
      </c>
      <c r="B76" t="s">
        <v>56</v>
      </c>
      <c r="C76" t="s">
        <v>17</v>
      </c>
      <c r="D76">
        <v>40.664929999999998</v>
      </c>
      <c r="E76">
        <v>-73.955430000000007</v>
      </c>
      <c r="F76" t="s">
        <v>21</v>
      </c>
      <c r="G76">
        <v>2</v>
      </c>
      <c r="H76">
        <v>1</v>
      </c>
      <c r="I76">
        <v>1</v>
      </c>
      <c r="J76">
        <v>1</v>
      </c>
      <c r="K76">
        <v>30</v>
      </c>
      <c r="L76">
        <v>303</v>
      </c>
      <c r="M76">
        <v>110</v>
      </c>
      <c r="N76">
        <v>0.95</v>
      </c>
      <c r="O76">
        <f t="shared" si="2"/>
        <v>0</v>
      </c>
      <c r="P76">
        <f t="shared" si="3"/>
        <v>2</v>
      </c>
      <c r="Q76" s="2">
        <v>110</v>
      </c>
      <c r="R76" s="1">
        <v>45732</v>
      </c>
      <c r="S76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122.13000000000002</v>
      </c>
    </row>
    <row r="77" spans="1:19" x14ac:dyDescent="0.3">
      <c r="A77" t="s">
        <v>212</v>
      </c>
      <c r="B77" t="s">
        <v>68</v>
      </c>
      <c r="C77" t="s">
        <v>20</v>
      </c>
      <c r="D77">
        <v>40.833210000000001</v>
      </c>
      <c r="E77">
        <v>-73.942599999999999</v>
      </c>
      <c r="F77" t="s">
        <v>18</v>
      </c>
      <c r="G77">
        <v>2</v>
      </c>
      <c r="H77">
        <v>1</v>
      </c>
      <c r="I77">
        <v>1</v>
      </c>
      <c r="J77">
        <v>1</v>
      </c>
      <c r="K77">
        <v>30</v>
      </c>
      <c r="L77">
        <v>74</v>
      </c>
      <c r="M77">
        <v>17</v>
      </c>
      <c r="N77">
        <v>0.14000000000000001</v>
      </c>
      <c r="O77">
        <f t="shared" si="2"/>
        <v>1</v>
      </c>
      <c r="P77">
        <f t="shared" si="3"/>
        <v>4</v>
      </c>
      <c r="Q77" s="2">
        <v>62</v>
      </c>
      <c r="R77" s="1">
        <v>45730</v>
      </c>
      <c r="S77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118.45000000000003</v>
      </c>
    </row>
    <row r="78" spans="1:19" x14ac:dyDescent="0.3">
      <c r="A78" t="s">
        <v>213</v>
      </c>
      <c r="B78" t="s">
        <v>207</v>
      </c>
      <c r="C78" t="s">
        <v>31</v>
      </c>
      <c r="D78">
        <v>40.813980000000001</v>
      </c>
      <c r="E78">
        <v>-73.887510000000006</v>
      </c>
      <c r="F78" t="s">
        <v>18</v>
      </c>
      <c r="G78">
        <v>2</v>
      </c>
      <c r="H78">
        <v>1</v>
      </c>
      <c r="I78">
        <v>1</v>
      </c>
      <c r="J78">
        <v>2</v>
      </c>
      <c r="K78">
        <v>30</v>
      </c>
      <c r="L78">
        <v>326</v>
      </c>
      <c r="M78">
        <v>36</v>
      </c>
      <c r="N78">
        <v>0.31</v>
      </c>
      <c r="O78">
        <f t="shared" si="2"/>
        <v>1</v>
      </c>
      <c r="P78">
        <f t="shared" si="3"/>
        <v>0</v>
      </c>
      <c r="Q78" s="2">
        <v>50</v>
      </c>
      <c r="R78" s="1">
        <v>45738</v>
      </c>
      <c r="S78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47.450000000000017</v>
      </c>
    </row>
    <row r="79" spans="1:19" x14ac:dyDescent="0.3">
      <c r="A79" t="s">
        <v>214</v>
      </c>
      <c r="B79" t="s">
        <v>65</v>
      </c>
      <c r="C79" t="s">
        <v>17</v>
      </c>
      <c r="D79">
        <v>40.68826</v>
      </c>
      <c r="E79">
        <v>-73.985579999999999</v>
      </c>
      <c r="F79" t="s">
        <v>21</v>
      </c>
      <c r="G79">
        <v>4</v>
      </c>
      <c r="H79">
        <v>1</v>
      </c>
      <c r="I79">
        <v>0</v>
      </c>
      <c r="J79">
        <v>2</v>
      </c>
      <c r="K79">
        <v>30</v>
      </c>
      <c r="L79">
        <v>333</v>
      </c>
      <c r="M79">
        <v>23</v>
      </c>
      <c r="N79">
        <v>0.23</v>
      </c>
      <c r="O79">
        <f t="shared" si="2"/>
        <v>0</v>
      </c>
      <c r="P79">
        <f t="shared" si="3"/>
        <v>2</v>
      </c>
      <c r="Q79" s="2">
        <v>106</v>
      </c>
      <c r="R79" s="1">
        <v>45745</v>
      </c>
      <c r="S79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158.89000000000004</v>
      </c>
    </row>
    <row r="80" spans="1:19" x14ac:dyDescent="0.3">
      <c r="A80" t="s">
        <v>215</v>
      </c>
      <c r="B80" t="s">
        <v>36</v>
      </c>
      <c r="C80" t="s">
        <v>20</v>
      </c>
      <c r="D80">
        <v>40.763390000000001</v>
      </c>
      <c r="E80">
        <v>-73.967389999999995</v>
      </c>
      <c r="F80" t="s">
        <v>18</v>
      </c>
      <c r="G80">
        <v>1</v>
      </c>
      <c r="H80">
        <v>1</v>
      </c>
      <c r="I80">
        <v>1</v>
      </c>
      <c r="J80">
        <v>1</v>
      </c>
      <c r="K80">
        <v>30</v>
      </c>
      <c r="L80">
        <v>250</v>
      </c>
      <c r="M80">
        <v>302</v>
      </c>
      <c r="N80">
        <v>2.57</v>
      </c>
      <c r="O80">
        <f t="shared" si="2"/>
        <v>1</v>
      </c>
      <c r="P80">
        <f t="shared" si="3"/>
        <v>4</v>
      </c>
      <c r="Q80" s="2">
        <v>101</v>
      </c>
      <c r="R80" s="1">
        <v>45726</v>
      </c>
      <c r="S80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92.43</v>
      </c>
    </row>
    <row r="81" spans="1:19" x14ac:dyDescent="0.3">
      <c r="A81" t="s">
        <v>216</v>
      </c>
      <c r="B81" t="s">
        <v>61</v>
      </c>
      <c r="C81" t="s">
        <v>30</v>
      </c>
      <c r="D81">
        <v>40.756529999999998</v>
      </c>
      <c r="E81">
        <v>-73.925150000000002</v>
      </c>
      <c r="F81" t="s">
        <v>21</v>
      </c>
      <c r="G81">
        <v>7</v>
      </c>
      <c r="H81">
        <v>1</v>
      </c>
      <c r="I81">
        <v>2</v>
      </c>
      <c r="J81">
        <v>2</v>
      </c>
      <c r="K81">
        <v>30</v>
      </c>
      <c r="L81">
        <v>323</v>
      </c>
      <c r="M81">
        <v>251</v>
      </c>
      <c r="N81">
        <v>2.2000000000000002</v>
      </c>
      <c r="O81">
        <f t="shared" si="2"/>
        <v>0</v>
      </c>
      <c r="P81">
        <f t="shared" si="3"/>
        <v>0</v>
      </c>
      <c r="Q81" s="2">
        <v>112</v>
      </c>
      <c r="R81" s="1">
        <v>45723</v>
      </c>
      <c r="S81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185.77000000000007</v>
      </c>
    </row>
    <row r="82" spans="1:19" x14ac:dyDescent="0.3">
      <c r="A82" t="s">
        <v>218</v>
      </c>
      <c r="B82" t="s">
        <v>23</v>
      </c>
      <c r="C82" t="s">
        <v>17</v>
      </c>
      <c r="D82">
        <v>40.71313</v>
      </c>
      <c r="E82">
        <v>-73.961939999999998</v>
      </c>
      <c r="F82" t="s">
        <v>21</v>
      </c>
      <c r="G82">
        <v>4</v>
      </c>
      <c r="H82">
        <v>1</v>
      </c>
      <c r="I82">
        <v>2</v>
      </c>
      <c r="J82">
        <v>2</v>
      </c>
      <c r="K82">
        <v>30</v>
      </c>
      <c r="L82">
        <v>147</v>
      </c>
      <c r="M82">
        <v>7</v>
      </c>
      <c r="N82">
        <v>0.12</v>
      </c>
      <c r="O82">
        <f t="shared" si="2"/>
        <v>0</v>
      </c>
      <c r="P82">
        <f t="shared" si="3"/>
        <v>2</v>
      </c>
      <c r="Q82" s="2">
        <v>325</v>
      </c>
      <c r="R82" s="1">
        <v>45745</v>
      </c>
      <c r="S82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166.33000000000004</v>
      </c>
    </row>
    <row r="83" spans="1:19" x14ac:dyDescent="0.3">
      <c r="A83" t="s">
        <v>220</v>
      </c>
      <c r="B83" t="s">
        <v>56</v>
      </c>
      <c r="C83" t="s">
        <v>17</v>
      </c>
      <c r="D83" s="3" t="s">
        <v>221</v>
      </c>
      <c r="E83">
        <v>-73.933381618051996</v>
      </c>
      <c r="F83" t="s">
        <v>21</v>
      </c>
      <c r="G83">
        <v>6</v>
      </c>
      <c r="H83">
        <v>1</v>
      </c>
      <c r="I83">
        <v>2</v>
      </c>
      <c r="J83">
        <v>3</v>
      </c>
      <c r="K83">
        <v>30</v>
      </c>
      <c r="L83">
        <v>285</v>
      </c>
      <c r="M83">
        <v>178</v>
      </c>
      <c r="N83">
        <v>1.53</v>
      </c>
      <c r="O83">
        <f t="shared" si="2"/>
        <v>0</v>
      </c>
      <c r="P83">
        <f t="shared" si="3"/>
        <v>2</v>
      </c>
      <c r="Q83" s="2">
        <v>125</v>
      </c>
      <c r="R83" s="1">
        <v>45746</v>
      </c>
      <c r="S83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198.77000000000004</v>
      </c>
    </row>
    <row r="84" spans="1:19" x14ac:dyDescent="0.3">
      <c r="A84" t="s">
        <v>222</v>
      </c>
      <c r="B84" t="s">
        <v>67</v>
      </c>
      <c r="C84" t="s">
        <v>17</v>
      </c>
      <c r="D84">
        <v>40.696930000000002</v>
      </c>
      <c r="E84">
        <v>-73.911529999999999</v>
      </c>
      <c r="F84" t="s">
        <v>21</v>
      </c>
      <c r="G84">
        <v>5</v>
      </c>
      <c r="H84">
        <v>1</v>
      </c>
      <c r="I84">
        <v>2</v>
      </c>
      <c r="J84">
        <v>2</v>
      </c>
      <c r="K84">
        <v>30</v>
      </c>
      <c r="L84">
        <v>228</v>
      </c>
      <c r="M84">
        <v>77</v>
      </c>
      <c r="N84">
        <v>0.7</v>
      </c>
      <c r="O84">
        <f t="shared" si="2"/>
        <v>0</v>
      </c>
      <c r="P84">
        <f t="shared" si="3"/>
        <v>2</v>
      </c>
      <c r="Q84" s="2">
        <v>140</v>
      </c>
      <c r="R84" s="1">
        <v>45740</v>
      </c>
      <c r="S84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182.07000000000002</v>
      </c>
    </row>
    <row r="85" spans="1:19" x14ac:dyDescent="0.3">
      <c r="A85" t="s">
        <v>223</v>
      </c>
      <c r="B85" t="s">
        <v>43</v>
      </c>
      <c r="C85" t="s">
        <v>20</v>
      </c>
      <c r="D85">
        <v>40.713290000000001</v>
      </c>
      <c r="E85">
        <v>-73.986199999999997</v>
      </c>
      <c r="F85" t="s">
        <v>18</v>
      </c>
      <c r="G85">
        <v>1</v>
      </c>
      <c r="H85">
        <v>1</v>
      </c>
      <c r="I85">
        <v>1</v>
      </c>
      <c r="J85">
        <v>1</v>
      </c>
      <c r="K85">
        <v>30</v>
      </c>
      <c r="L85">
        <v>54</v>
      </c>
      <c r="M85">
        <v>248</v>
      </c>
      <c r="N85">
        <v>2.13</v>
      </c>
      <c r="O85">
        <f t="shared" si="2"/>
        <v>1</v>
      </c>
      <c r="P85">
        <f t="shared" si="3"/>
        <v>4</v>
      </c>
      <c r="Q85" s="2">
        <v>59</v>
      </c>
      <c r="R85" s="1">
        <v>45738</v>
      </c>
      <c r="S85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100.27000000000001</v>
      </c>
    </row>
    <row r="86" spans="1:19" x14ac:dyDescent="0.3">
      <c r="A86" t="s">
        <v>225</v>
      </c>
      <c r="B86" t="s">
        <v>22</v>
      </c>
      <c r="C86" t="s">
        <v>17</v>
      </c>
      <c r="D86">
        <v>40.665050000000001</v>
      </c>
      <c r="E86">
        <v>-73.994</v>
      </c>
      <c r="F86" t="s">
        <v>21</v>
      </c>
      <c r="G86">
        <v>4</v>
      </c>
      <c r="H86">
        <v>2</v>
      </c>
      <c r="I86">
        <v>2</v>
      </c>
      <c r="J86">
        <v>2</v>
      </c>
      <c r="K86">
        <v>30</v>
      </c>
      <c r="L86">
        <v>335</v>
      </c>
      <c r="M86">
        <v>16</v>
      </c>
      <c r="N86">
        <v>0.21</v>
      </c>
      <c r="O86">
        <f t="shared" si="2"/>
        <v>0</v>
      </c>
      <c r="P86">
        <f t="shared" si="3"/>
        <v>2</v>
      </c>
      <c r="Q86" s="2">
        <v>135</v>
      </c>
      <c r="R86" s="1">
        <v>45747</v>
      </c>
      <c r="S86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170.03000000000003</v>
      </c>
    </row>
    <row r="87" spans="1:19" x14ac:dyDescent="0.3">
      <c r="A87" t="s">
        <v>226</v>
      </c>
      <c r="B87" t="s">
        <v>23</v>
      </c>
      <c r="C87" t="s">
        <v>17</v>
      </c>
      <c r="D87">
        <v>40.708120000000001</v>
      </c>
      <c r="E87">
        <v>-73.943820000000002</v>
      </c>
      <c r="F87" t="s">
        <v>18</v>
      </c>
      <c r="G87">
        <v>2</v>
      </c>
      <c r="H87">
        <v>1</v>
      </c>
      <c r="I87">
        <v>2</v>
      </c>
      <c r="J87">
        <v>2</v>
      </c>
      <c r="K87">
        <v>4</v>
      </c>
      <c r="L87">
        <v>136</v>
      </c>
      <c r="M87">
        <v>324</v>
      </c>
      <c r="N87">
        <v>2.82</v>
      </c>
      <c r="O87">
        <f t="shared" si="2"/>
        <v>1</v>
      </c>
      <c r="P87">
        <f t="shared" si="3"/>
        <v>2</v>
      </c>
      <c r="Q87" s="2">
        <v>170</v>
      </c>
      <c r="R87" s="1">
        <v>45741</v>
      </c>
      <c r="S87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172.61000000000004</v>
      </c>
    </row>
    <row r="88" spans="1:19" x14ac:dyDescent="0.3">
      <c r="A88" t="s">
        <v>227</v>
      </c>
      <c r="B88" t="s">
        <v>28</v>
      </c>
      <c r="C88" t="s">
        <v>20</v>
      </c>
      <c r="D88" s="3" t="s">
        <v>228</v>
      </c>
      <c r="E88">
        <v>-73.9416764393264</v>
      </c>
      <c r="F88" t="s">
        <v>18</v>
      </c>
      <c r="G88">
        <v>2</v>
      </c>
      <c r="H88">
        <v>1</v>
      </c>
      <c r="I88">
        <v>1</v>
      </c>
      <c r="J88">
        <v>1</v>
      </c>
      <c r="K88">
        <v>5</v>
      </c>
      <c r="L88">
        <v>121</v>
      </c>
      <c r="M88">
        <v>142</v>
      </c>
      <c r="N88">
        <v>1.24</v>
      </c>
      <c r="O88">
        <f t="shared" si="2"/>
        <v>1</v>
      </c>
      <c r="P88">
        <f t="shared" si="3"/>
        <v>4</v>
      </c>
      <c r="Q88" s="2">
        <v>127</v>
      </c>
      <c r="R88" s="1">
        <v>45747</v>
      </c>
      <c r="S88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200.32000000000005</v>
      </c>
    </row>
    <row r="89" spans="1:19" x14ac:dyDescent="0.3">
      <c r="A89" t="s">
        <v>229</v>
      </c>
      <c r="B89" t="s">
        <v>41</v>
      </c>
      <c r="C89" t="s">
        <v>20</v>
      </c>
      <c r="D89">
        <v>40.723370000000003</v>
      </c>
      <c r="E89">
        <v>-73.979439999999997</v>
      </c>
      <c r="F89" t="s">
        <v>18</v>
      </c>
      <c r="G89">
        <v>2</v>
      </c>
      <c r="H89">
        <v>1</v>
      </c>
      <c r="I89">
        <v>1</v>
      </c>
      <c r="J89">
        <v>1</v>
      </c>
      <c r="K89">
        <v>30</v>
      </c>
      <c r="L89">
        <v>104</v>
      </c>
      <c r="M89">
        <v>117</v>
      </c>
      <c r="N89">
        <v>1.02</v>
      </c>
      <c r="O89">
        <f t="shared" si="2"/>
        <v>1</v>
      </c>
      <c r="P89">
        <f t="shared" si="3"/>
        <v>4</v>
      </c>
      <c r="Q89" s="2">
        <v>90</v>
      </c>
      <c r="R89" s="1">
        <v>45745</v>
      </c>
      <c r="S89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117.25000000000003</v>
      </c>
    </row>
    <row r="90" spans="1:19" x14ac:dyDescent="0.3">
      <c r="A90" t="s">
        <v>231</v>
      </c>
      <c r="B90" t="s">
        <v>113</v>
      </c>
      <c r="C90" t="s">
        <v>30</v>
      </c>
      <c r="D90">
        <v>40.765810000000002</v>
      </c>
      <c r="E90">
        <v>-73.805689999999998</v>
      </c>
      <c r="F90" t="s">
        <v>18</v>
      </c>
      <c r="G90">
        <v>1</v>
      </c>
      <c r="H90">
        <v>1</v>
      </c>
      <c r="I90">
        <v>1</v>
      </c>
      <c r="J90">
        <v>1</v>
      </c>
      <c r="K90">
        <v>30</v>
      </c>
      <c r="L90">
        <v>284</v>
      </c>
      <c r="M90">
        <v>13</v>
      </c>
      <c r="N90">
        <v>0.12</v>
      </c>
      <c r="O90">
        <f t="shared" si="2"/>
        <v>1</v>
      </c>
      <c r="P90">
        <f t="shared" si="3"/>
        <v>0</v>
      </c>
      <c r="Q90" s="2">
        <v>64</v>
      </c>
      <c r="R90" s="1">
        <v>45720</v>
      </c>
      <c r="S90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30.150000000000006</v>
      </c>
    </row>
    <row r="91" spans="1:19" x14ac:dyDescent="0.3">
      <c r="A91" t="s">
        <v>232</v>
      </c>
      <c r="B91" t="s">
        <v>27</v>
      </c>
      <c r="C91" t="s">
        <v>17</v>
      </c>
      <c r="D91">
        <v>40.681820000000002</v>
      </c>
      <c r="E91">
        <v>-73.938100000000006</v>
      </c>
      <c r="F91" t="s">
        <v>21</v>
      </c>
      <c r="G91">
        <v>2</v>
      </c>
      <c r="H91">
        <v>1</v>
      </c>
      <c r="I91">
        <v>1</v>
      </c>
      <c r="J91">
        <v>2</v>
      </c>
      <c r="K91">
        <v>30</v>
      </c>
      <c r="L91">
        <v>32</v>
      </c>
      <c r="M91">
        <v>125</v>
      </c>
      <c r="N91">
        <v>1.0900000000000001</v>
      </c>
      <c r="O91">
        <f t="shared" si="2"/>
        <v>0</v>
      </c>
      <c r="P91">
        <f t="shared" si="3"/>
        <v>2</v>
      </c>
      <c r="Q91" s="2">
        <v>81</v>
      </c>
      <c r="R91" s="1">
        <v>45747</v>
      </c>
      <c r="S91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132.97000000000003</v>
      </c>
    </row>
    <row r="92" spans="1:19" x14ac:dyDescent="0.3">
      <c r="A92" t="s">
        <v>233</v>
      </c>
      <c r="B92" t="s">
        <v>27</v>
      </c>
      <c r="C92" t="s">
        <v>17</v>
      </c>
      <c r="D92">
        <v>40.682899999999997</v>
      </c>
      <c r="E92">
        <v>-73.939800000000005</v>
      </c>
      <c r="F92" t="s">
        <v>18</v>
      </c>
      <c r="G92">
        <v>2</v>
      </c>
      <c r="H92">
        <v>1.5</v>
      </c>
      <c r="I92">
        <v>1</v>
      </c>
      <c r="J92">
        <v>2</v>
      </c>
      <c r="K92">
        <v>30</v>
      </c>
      <c r="L92">
        <v>242</v>
      </c>
      <c r="M92">
        <v>43</v>
      </c>
      <c r="N92">
        <v>0.4</v>
      </c>
      <c r="O92">
        <f t="shared" si="2"/>
        <v>1</v>
      </c>
      <c r="P92">
        <f t="shared" si="3"/>
        <v>2</v>
      </c>
      <c r="Q92" s="2">
        <v>58</v>
      </c>
      <c r="R92" s="1">
        <v>45718</v>
      </c>
      <c r="S92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86.880000000000024</v>
      </c>
    </row>
    <row r="93" spans="1:19" x14ac:dyDescent="0.3">
      <c r="A93" t="s">
        <v>234</v>
      </c>
      <c r="B93" t="s">
        <v>64</v>
      </c>
      <c r="C93" t="s">
        <v>17</v>
      </c>
      <c r="D93">
        <v>40.675649999999997</v>
      </c>
      <c r="E93">
        <v>-73.964309999999998</v>
      </c>
      <c r="F93" t="s">
        <v>21</v>
      </c>
      <c r="G93">
        <v>2</v>
      </c>
      <c r="H93">
        <v>1</v>
      </c>
      <c r="I93">
        <v>2</v>
      </c>
      <c r="J93">
        <v>2</v>
      </c>
      <c r="K93">
        <v>30</v>
      </c>
      <c r="L93">
        <v>113</v>
      </c>
      <c r="M93">
        <v>24</v>
      </c>
      <c r="N93">
        <v>0.22</v>
      </c>
      <c r="O93">
        <f t="shared" si="2"/>
        <v>0</v>
      </c>
      <c r="P93">
        <f t="shared" si="3"/>
        <v>2</v>
      </c>
      <c r="Q93" s="2">
        <v>145</v>
      </c>
      <c r="R93" s="1">
        <v>45724</v>
      </c>
      <c r="S93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129.73000000000002</v>
      </c>
    </row>
    <row r="94" spans="1:19" x14ac:dyDescent="0.3">
      <c r="A94" t="s">
        <v>235</v>
      </c>
      <c r="B94" t="s">
        <v>27</v>
      </c>
      <c r="C94" t="s">
        <v>17</v>
      </c>
      <c r="D94">
        <v>40.680990000000001</v>
      </c>
      <c r="E94">
        <v>-73.912390000000002</v>
      </c>
      <c r="F94" t="s">
        <v>21</v>
      </c>
      <c r="G94">
        <v>2</v>
      </c>
      <c r="H94">
        <v>1</v>
      </c>
      <c r="I94">
        <v>1</v>
      </c>
      <c r="J94">
        <v>2</v>
      </c>
      <c r="K94">
        <v>30</v>
      </c>
      <c r="L94">
        <v>243</v>
      </c>
      <c r="M94">
        <v>304</v>
      </c>
      <c r="N94">
        <v>2.7</v>
      </c>
      <c r="O94">
        <f t="shared" si="2"/>
        <v>0</v>
      </c>
      <c r="P94">
        <f t="shared" si="3"/>
        <v>2</v>
      </c>
      <c r="Q94" s="2">
        <v>65</v>
      </c>
      <c r="R94" s="1">
        <v>45744</v>
      </c>
      <c r="S94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124.53000000000003</v>
      </c>
    </row>
    <row r="95" spans="1:19" x14ac:dyDescent="0.3">
      <c r="A95" t="s">
        <v>237</v>
      </c>
      <c r="B95" t="s">
        <v>38</v>
      </c>
      <c r="C95" t="s">
        <v>20</v>
      </c>
      <c r="D95">
        <v>40.764290000000003</v>
      </c>
      <c r="E95">
        <v>-73.994860000000003</v>
      </c>
      <c r="F95" t="s">
        <v>21</v>
      </c>
      <c r="G95">
        <v>3</v>
      </c>
      <c r="H95">
        <v>1</v>
      </c>
      <c r="I95">
        <v>0</v>
      </c>
      <c r="J95">
        <v>1</v>
      </c>
      <c r="K95">
        <v>30</v>
      </c>
      <c r="L95">
        <v>335</v>
      </c>
      <c r="M95">
        <v>19</v>
      </c>
      <c r="N95">
        <v>0.17</v>
      </c>
      <c r="O95">
        <f t="shared" si="2"/>
        <v>0</v>
      </c>
      <c r="P95">
        <f t="shared" si="3"/>
        <v>4</v>
      </c>
      <c r="Q95" s="2">
        <v>115</v>
      </c>
      <c r="R95" s="1">
        <v>45734</v>
      </c>
      <c r="S95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170.29000000000002</v>
      </c>
    </row>
    <row r="96" spans="1:19" x14ac:dyDescent="0.3">
      <c r="A96" t="s">
        <v>238</v>
      </c>
      <c r="B96" t="s">
        <v>76</v>
      </c>
      <c r="C96" t="s">
        <v>17</v>
      </c>
      <c r="D96">
        <v>40.60783</v>
      </c>
      <c r="E96">
        <v>-73.97587</v>
      </c>
      <c r="F96" t="s">
        <v>18</v>
      </c>
      <c r="G96">
        <v>2</v>
      </c>
      <c r="H96">
        <v>1</v>
      </c>
      <c r="I96">
        <v>1</v>
      </c>
      <c r="J96">
        <v>2</v>
      </c>
      <c r="K96">
        <v>30</v>
      </c>
      <c r="L96">
        <v>159</v>
      </c>
      <c r="M96">
        <v>45</v>
      </c>
      <c r="N96">
        <v>0.42</v>
      </c>
      <c r="O96">
        <f t="shared" si="2"/>
        <v>1</v>
      </c>
      <c r="P96">
        <f t="shared" si="3"/>
        <v>2</v>
      </c>
      <c r="Q96" s="2">
        <v>102</v>
      </c>
      <c r="R96" s="1">
        <v>45718</v>
      </c>
      <c r="S96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84.590000000000032</v>
      </c>
    </row>
    <row r="97" spans="1:19" x14ac:dyDescent="0.3">
      <c r="A97" t="s">
        <v>243</v>
      </c>
      <c r="B97" t="s">
        <v>94</v>
      </c>
      <c r="C97" t="s">
        <v>17</v>
      </c>
      <c r="D97">
        <v>40.662930000000003</v>
      </c>
      <c r="E97">
        <v>-73.883690000000001</v>
      </c>
      <c r="F97" t="s">
        <v>21</v>
      </c>
      <c r="G97">
        <v>4</v>
      </c>
      <c r="H97">
        <v>1</v>
      </c>
      <c r="I97">
        <v>2</v>
      </c>
      <c r="J97">
        <v>2</v>
      </c>
      <c r="K97">
        <v>30</v>
      </c>
      <c r="L97">
        <v>60</v>
      </c>
      <c r="M97">
        <v>255</v>
      </c>
      <c r="N97">
        <v>2.31</v>
      </c>
      <c r="O97">
        <f t="shared" si="2"/>
        <v>0</v>
      </c>
      <c r="P97">
        <f t="shared" si="3"/>
        <v>2</v>
      </c>
      <c r="Q97" s="2">
        <v>109</v>
      </c>
      <c r="R97" s="1">
        <v>45717</v>
      </c>
      <c r="S97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169.81000000000003</v>
      </c>
    </row>
    <row r="98" spans="1:19" x14ac:dyDescent="0.3">
      <c r="A98" t="s">
        <v>244</v>
      </c>
      <c r="B98" t="s">
        <v>104</v>
      </c>
      <c r="C98" t="s">
        <v>17</v>
      </c>
      <c r="D98">
        <v>40.689979999999998</v>
      </c>
      <c r="E98">
        <v>-73.993719999999996</v>
      </c>
      <c r="F98" t="s">
        <v>21</v>
      </c>
      <c r="G98">
        <v>2</v>
      </c>
      <c r="H98">
        <v>1</v>
      </c>
      <c r="I98">
        <v>1</v>
      </c>
      <c r="J98">
        <v>1</v>
      </c>
      <c r="K98">
        <v>30</v>
      </c>
      <c r="L98">
        <v>62</v>
      </c>
      <c r="M98">
        <v>75</v>
      </c>
      <c r="N98">
        <v>0.68</v>
      </c>
      <c r="O98">
        <f t="shared" si="2"/>
        <v>0</v>
      </c>
      <c r="P98">
        <f t="shared" si="3"/>
        <v>2</v>
      </c>
      <c r="Q98" s="2">
        <v>102</v>
      </c>
      <c r="R98" s="1">
        <v>45734</v>
      </c>
      <c r="S98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131.77000000000001</v>
      </c>
    </row>
    <row r="99" spans="1:19" x14ac:dyDescent="0.3">
      <c r="A99" t="s">
        <v>245</v>
      </c>
      <c r="B99" t="s">
        <v>85</v>
      </c>
      <c r="C99" t="s">
        <v>20</v>
      </c>
      <c r="D99">
        <v>40.718989999999998</v>
      </c>
      <c r="E99">
        <v>-73.997730000000004</v>
      </c>
      <c r="F99" t="s">
        <v>21</v>
      </c>
      <c r="G99">
        <v>4</v>
      </c>
      <c r="H99">
        <v>1</v>
      </c>
      <c r="I99">
        <v>2</v>
      </c>
      <c r="J99">
        <v>2</v>
      </c>
      <c r="K99">
        <v>30</v>
      </c>
      <c r="L99">
        <v>232</v>
      </c>
      <c r="M99">
        <v>16</v>
      </c>
      <c r="N99">
        <v>0.15</v>
      </c>
      <c r="O99">
        <f t="shared" si="2"/>
        <v>0</v>
      </c>
      <c r="P99">
        <f t="shared" si="3"/>
        <v>4</v>
      </c>
      <c r="Q99" s="2">
        <v>175</v>
      </c>
      <c r="R99" s="1">
        <v>45747</v>
      </c>
      <c r="S99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193.39000000000004</v>
      </c>
    </row>
    <row r="100" spans="1:19" x14ac:dyDescent="0.3">
      <c r="A100" t="s">
        <v>246</v>
      </c>
      <c r="B100" t="s">
        <v>49</v>
      </c>
      <c r="C100" t="s">
        <v>20</v>
      </c>
      <c r="D100">
        <v>40.74108124</v>
      </c>
      <c r="E100">
        <v>-73.979278559999997</v>
      </c>
      <c r="F100" t="s">
        <v>21</v>
      </c>
      <c r="G100">
        <v>2</v>
      </c>
      <c r="H100">
        <v>1</v>
      </c>
      <c r="I100">
        <v>1</v>
      </c>
      <c r="J100">
        <v>1</v>
      </c>
      <c r="K100">
        <v>30</v>
      </c>
      <c r="L100">
        <v>258</v>
      </c>
      <c r="M100">
        <v>20</v>
      </c>
      <c r="N100">
        <v>0.21</v>
      </c>
      <c r="O100">
        <f t="shared" si="2"/>
        <v>0</v>
      </c>
      <c r="P100">
        <f t="shared" si="3"/>
        <v>4</v>
      </c>
      <c r="Q100" s="2">
        <v>129</v>
      </c>
      <c r="R100" s="1">
        <v>45747</v>
      </c>
      <c r="S100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154.39000000000004</v>
      </c>
    </row>
    <row r="101" spans="1:19" x14ac:dyDescent="0.3">
      <c r="A101" t="s">
        <v>247</v>
      </c>
      <c r="B101" t="s">
        <v>85</v>
      </c>
      <c r="C101" t="s">
        <v>20</v>
      </c>
      <c r="D101">
        <v>40.718989999999998</v>
      </c>
      <c r="E101">
        <v>-73.997730000000004</v>
      </c>
      <c r="F101" t="s">
        <v>21</v>
      </c>
      <c r="G101">
        <v>2</v>
      </c>
      <c r="H101">
        <v>1</v>
      </c>
      <c r="I101">
        <v>0</v>
      </c>
      <c r="J101">
        <v>1</v>
      </c>
      <c r="K101">
        <v>30</v>
      </c>
      <c r="L101">
        <v>286</v>
      </c>
      <c r="M101">
        <v>14</v>
      </c>
      <c r="N101">
        <v>0.13</v>
      </c>
      <c r="O101">
        <f t="shared" si="2"/>
        <v>0</v>
      </c>
      <c r="P101">
        <f t="shared" si="3"/>
        <v>4</v>
      </c>
      <c r="Q101" s="2">
        <v>130</v>
      </c>
      <c r="R101" s="1">
        <v>45722</v>
      </c>
      <c r="S101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153.27000000000004</v>
      </c>
    </row>
    <row r="102" spans="1:19" x14ac:dyDescent="0.3">
      <c r="A102" t="s">
        <v>248</v>
      </c>
      <c r="B102" t="s">
        <v>53</v>
      </c>
      <c r="C102" t="s">
        <v>20</v>
      </c>
      <c r="D102">
        <v>40.795119999999997</v>
      </c>
      <c r="E102">
        <v>-73.963250000000002</v>
      </c>
      <c r="F102" t="s">
        <v>18</v>
      </c>
      <c r="G102">
        <v>2</v>
      </c>
      <c r="H102">
        <v>1</v>
      </c>
      <c r="I102">
        <v>1</v>
      </c>
      <c r="J102">
        <v>1</v>
      </c>
      <c r="K102">
        <v>30</v>
      </c>
      <c r="L102">
        <v>203</v>
      </c>
      <c r="M102">
        <v>94</v>
      </c>
      <c r="N102">
        <v>1.03</v>
      </c>
      <c r="O102">
        <f t="shared" si="2"/>
        <v>1</v>
      </c>
      <c r="P102">
        <f t="shared" si="3"/>
        <v>4</v>
      </c>
      <c r="Q102" s="2">
        <v>119</v>
      </c>
      <c r="R102" s="1">
        <v>45731</v>
      </c>
      <c r="S102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113.29000000000002</v>
      </c>
    </row>
    <row r="103" spans="1:19" x14ac:dyDescent="0.3">
      <c r="A103" t="s">
        <v>249</v>
      </c>
      <c r="B103" t="s">
        <v>36</v>
      </c>
      <c r="C103" t="s">
        <v>20</v>
      </c>
      <c r="D103">
        <v>40.781190000000002</v>
      </c>
      <c r="E103">
        <v>-73.953019999999995</v>
      </c>
      <c r="F103" t="s">
        <v>21</v>
      </c>
      <c r="G103">
        <v>2</v>
      </c>
      <c r="H103">
        <v>1</v>
      </c>
      <c r="I103">
        <v>0</v>
      </c>
      <c r="J103">
        <v>1</v>
      </c>
      <c r="K103">
        <v>30</v>
      </c>
      <c r="L103">
        <v>305</v>
      </c>
      <c r="M103">
        <v>16</v>
      </c>
      <c r="N103">
        <v>0.15</v>
      </c>
      <c r="O103">
        <f t="shared" si="2"/>
        <v>0</v>
      </c>
      <c r="P103">
        <f t="shared" si="3"/>
        <v>4</v>
      </c>
      <c r="Q103" s="2">
        <v>120</v>
      </c>
      <c r="R103" s="1">
        <v>45734</v>
      </c>
      <c r="S103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152.51000000000002</v>
      </c>
    </row>
    <row r="104" spans="1:19" x14ac:dyDescent="0.3">
      <c r="A104" t="s">
        <v>250</v>
      </c>
      <c r="B104" t="s">
        <v>145</v>
      </c>
      <c r="C104" t="s">
        <v>30</v>
      </c>
      <c r="D104">
        <v>40.685940000000002</v>
      </c>
      <c r="E104">
        <v>-73.855779999999996</v>
      </c>
      <c r="F104" t="s">
        <v>18</v>
      </c>
      <c r="G104">
        <v>2</v>
      </c>
      <c r="H104">
        <v>1</v>
      </c>
      <c r="I104">
        <v>1</v>
      </c>
      <c r="J104">
        <v>2</v>
      </c>
      <c r="K104">
        <v>3</v>
      </c>
      <c r="L104">
        <v>350</v>
      </c>
      <c r="M104">
        <v>36</v>
      </c>
      <c r="N104">
        <v>1.02</v>
      </c>
      <c r="O104">
        <f t="shared" si="2"/>
        <v>1</v>
      </c>
      <c r="P104">
        <f t="shared" si="3"/>
        <v>0</v>
      </c>
      <c r="Q104" s="2">
        <v>121</v>
      </c>
      <c r="R104" s="1">
        <v>45729</v>
      </c>
      <c r="S104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136.94</v>
      </c>
    </row>
    <row r="105" spans="1:19" x14ac:dyDescent="0.3">
      <c r="A105" t="s">
        <v>252</v>
      </c>
      <c r="B105" t="s">
        <v>28</v>
      </c>
      <c r="C105" t="s">
        <v>20</v>
      </c>
      <c r="D105" s="3" t="s">
        <v>253</v>
      </c>
      <c r="E105">
        <v>-73.952020604786895</v>
      </c>
      <c r="F105" t="s">
        <v>18</v>
      </c>
      <c r="G105">
        <v>2</v>
      </c>
      <c r="H105">
        <v>1.5</v>
      </c>
      <c r="I105">
        <v>1</v>
      </c>
      <c r="J105">
        <v>1</v>
      </c>
      <c r="K105">
        <v>3</v>
      </c>
      <c r="L105">
        <v>33</v>
      </c>
      <c r="M105">
        <v>25</v>
      </c>
      <c r="N105">
        <v>0.46</v>
      </c>
      <c r="O105">
        <f t="shared" si="2"/>
        <v>1</v>
      </c>
      <c r="P105">
        <f t="shared" si="3"/>
        <v>4</v>
      </c>
      <c r="Q105" s="2">
        <v>148</v>
      </c>
      <c r="R105" s="1">
        <v>45737</v>
      </c>
      <c r="S105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216.15000000000003</v>
      </c>
    </row>
    <row r="106" spans="1:19" x14ac:dyDescent="0.3">
      <c r="A106" t="s">
        <v>254</v>
      </c>
      <c r="B106" t="s">
        <v>19</v>
      </c>
      <c r="C106" t="s">
        <v>20</v>
      </c>
      <c r="D106">
        <v>40.757689999999997</v>
      </c>
      <c r="E106">
        <v>-73.965919999999997</v>
      </c>
      <c r="F106" t="s">
        <v>21</v>
      </c>
      <c r="G106">
        <v>2</v>
      </c>
      <c r="H106">
        <v>1</v>
      </c>
      <c r="I106">
        <v>0</v>
      </c>
      <c r="J106">
        <v>1</v>
      </c>
      <c r="K106">
        <v>30</v>
      </c>
      <c r="L106">
        <v>173</v>
      </c>
      <c r="M106">
        <v>88</v>
      </c>
      <c r="N106">
        <v>0.81</v>
      </c>
      <c r="O106">
        <f t="shared" si="2"/>
        <v>0</v>
      </c>
      <c r="P106">
        <f t="shared" si="3"/>
        <v>4</v>
      </c>
      <c r="Q106" s="2">
        <v>179</v>
      </c>
      <c r="R106" s="1">
        <v>45738</v>
      </c>
      <c r="S106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157.79000000000002</v>
      </c>
    </row>
    <row r="107" spans="1:19" x14ac:dyDescent="0.3">
      <c r="A107" t="s">
        <v>255</v>
      </c>
      <c r="B107" t="s">
        <v>36</v>
      </c>
      <c r="C107" t="s">
        <v>20</v>
      </c>
      <c r="D107">
        <v>40.769469999999998</v>
      </c>
      <c r="E107">
        <v>-73.956469999999996</v>
      </c>
      <c r="F107" t="s">
        <v>21</v>
      </c>
      <c r="G107">
        <v>2</v>
      </c>
      <c r="H107">
        <v>1</v>
      </c>
      <c r="I107">
        <v>0</v>
      </c>
      <c r="J107">
        <v>2</v>
      </c>
      <c r="K107">
        <v>30</v>
      </c>
      <c r="L107">
        <v>345</v>
      </c>
      <c r="M107">
        <v>33</v>
      </c>
      <c r="N107">
        <v>0.31</v>
      </c>
      <c r="O107">
        <f t="shared" si="2"/>
        <v>0</v>
      </c>
      <c r="P107">
        <f t="shared" si="3"/>
        <v>4</v>
      </c>
      <c r="Q107" s="2">
        <v>137</v>
      </c>
      <c r="R107" s="1">
        <v>45743</v>
      </c>
      <c r="S107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150.91000000000003</v>
      </c>
    </row>
    <row r="108" spans="1:19" x14ac:dyDescent="0.3">
      <c r="A108" t="s">
        <v>256</v>
      </c>
      <c r="B108" t="s">
        <v>67</v>
      </c>
      <c r="C108" t="s">
        <v>17</v>
      </c>
      <c r="D108">
        <v>40.703859999999999</v>
      </c>
      <c r="E108">
        <v>-73.930250000000001</v>
      </c>
      <c r="F108" t="s">
        <v>18</v>
      </c>
      <c r="G108">
        <v>2</v>
      </c>
      <c r="H108">
        <v>1</v>
      </c>
      <c r="I108">
        <v>1</v>
      </c>
      <c r="J108">
        <v>1</v>
      </c>
      <c r="K108">
        <v>2</v>
      </c>
      <c r="L108">
        <v>149</v>
      </c>
      <c r="M108">
        <v>307</v>
      </c>
      <c r="N108">
        <v>2.82</v>
      </c>
      <c r="O108">
        <f t="shared" si="2"/>
        <v>1</v>
      </c>
      <c r="P108">
        <f t="shared" si="3"/>
        <v>2</v>
      </c>
      <c r="Q108" s="2">
        <v>209</v>
      </c>
      <c r="R108" s="1">
        <v>45745</v>
      </c>
      <c r="S108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178.79000000000005</v>
      </c>
    </row>
    <row r="109" spans="1:19" x14ac:dyDescent="0.3">
      <c r="A109" t="s">
        <v>257</v>
      </c>
      <c r="B109" t="s">
        <v>95</v>
      </c>
      <c r="C109" t="s">
        <v>20</v>
      </c>
      <c r="D109">
        <v>40.748779999999996</v>
      </c>
      <c r="E109">
        <v>-73.981639999999999</v>
      </c>
      <c r="F109" t="s">
        <v>21</v>
      </c>
      <c r="G109">
        <v>4</v>
      </c>
      <c r="H109">
        <v>1</v>
      </c>
      <c r="I109">
        <v>2</v>
      </c>
      <c r="J109">
        <v>4</v>
      </c>
      <c r="K109">
        <v>30</v>
      </c>
      <c r="L109">
        <v>271</v>
      </c>
      <c r="M109">
        <v>14</v>
      </c>
      <c r="N109">
        <v>0.15</v>
      </c>
      <c r="O109">
        <f t="shared" si="2"/>
        <v>0</v>
      </c>
      <c r="P109">
        <f t="shared" si="3"/>
        <v>4</v>
      </c>
      <c r="Q109" s="2">
        <v>120</v>
      </c>
      <c r="R109" s="1">
        <v>45747</v>
      </c>
      <c r="S109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191.83000000000004</v>
      </c>
    </row>
    <row r="110" spans="1:19" x14ac:dyDescent="0.3">
      <c r="A110" t="s">
        <v>258</v>
      </c>
      <c r="B110" t="s">
        <v>92</v>
      </c>
      <c r="C110" t="s">
        <v>17</v>
      </c>
      <c r="D110">
        <v>40.61992</v>
      </c>
      <c r="E110">
        <v>-74.001170000000002</v>
      </c>
      <c r="F110" t="s">
        <v>21</v>
      </c>
      <c r="G110">
        <v>2</v>
      </c>
      <c r="H110">
        <v>1</v>
      </c>
      <c r="I110">
        <v>1</v>
      </c>
      <c r="J110">
        <v>1</v>
      </c>
      <c r="K110">
        <v>5</v>
      </c>
      <c r="L110">
        <v>342</v>
      </c>
      <c r="M110">
        <v>92</v>
      </c>
      <c r="N110">
        <v>0.85</v>
      </c>
      <c r="O110">
        <f t="shared" si="2"/>
        <v>0</v>
      </c>
      <c r="P110">
        <f t="shared" si="3"/>
        <v>2</v>
      </c>
      <c r="Q110" s="2">
        <v>152</v>
      </c>
      <c r="R110" s="1">
        <v>45747</v>
      </c>
      <c r="S110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204.32000000000002</v>
      </c>
    </row>
    <row r="111" spans="1:19" x14ac:dyDescent="0.3">
      <c r="A111" t="s">
        <v>259</v>
      </c>
      <c r="B111" t="s">
        <v>27</v>
      </c>
      <c r="C111" t="s">
        <v>17</v>
      </c>
      <c r="D111">
        <v>40.685760000000002</v>
      </c>
      <c r="E111">
        <v>-73.952349999999996</v>
      </c>
      <c r="F111" t="s">
        <v>18</v>
      </c>
      <c r="G111">
        <v>2</v>
      </c>
      <c r="H111">
        <v>2</v>
      </c>
      <c r="I111">
        <v>1</v>
      </c>
      <c r="J111">
        <v>2</v>
      </c>
      <c r="K111">
        <v>30</v>
      </c>
      <c r="L111">
        <v>173</v>
      </c>
      <c r="M111">
        <v>34</v>
      </c>
      <c r="N111">
        <v>0.33</v>
      </c>
      <c r="O111">
        <f t="shared" si="2"/>
        <v>1</v>
      </c>
      <c r="P111">
        <f t="shared" si="3"/>
        <v>2</v>
      </c>
      <c r="Q111" s="2">
        <v>60</v>
      </c>
      <c r="R111" s="1">
        <v>45727</v>
      </c>
      <c r="S111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95.250000000000028</v>
      </c>
    </row>
    <row r="112" spans="1:19" x14ac:dyDescent="0.3">
      <c r="A112" t="s">
        <v>260</v>
      </c>
      <c r="B112" t="s">
        <v>42</v>
      </c>
      <c r="C112" t="s">
        <v>17</v>
      </c>
      <c r="D112">
        <v>40.719760000000001</v>
      </c>
      <c r="E112">
        <v>-73.954710000000006</v>
      </c>
      <c r="F112" t="s">
        <v>21</v>
      </c>
      <c r="G112">
        <v>3</v>
      </c>
      <c r="H112">
        <v>1</v>
      </c>
      <c r="I112">
        <v>1</v>
      </c>
      <c r="J112">
        <v>1</v>
      </c>
      <c r="K112">
        <v>30</v>
      </c>
      <c r="L112">
        <v>137</v>
      </c>
      <c r="M112">
        <v>250</v>
      </c>
      <c r="N112">
        <v>2.34</v>
      </c>
      <c r="O112">
        <f t="shared" si="2"/>
        <v>0</v>
      </c>
      <c r="P112">
        <f t="shared" si="3"/>
        <v>2</v>
      </c>
      <c r="Q112" s="2">
        <v>215</v>
      </c>
      <c r="R112" s="1">
        <v>45747</v>
      </c>
      <c r="S112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147.75</v>
      </c>
    </row>
    <row r="113" spans="1:19" x14ac:dyDescent="0.3">
      <c r="A113" t="s">
        <v>261</v>
      </c>
      <c r="B113" t="s">
        <v>65</v>
      </c>
      <c r="C113" t="s">
        <v>17</v>
      </c>
      <c r="D113">
        <v>40.68826</v>
      </c>
      <c r="E113">
        <v>-73.985579999999999</v>
      </c>
      <c r="F113" t="s">
        <v>21</v>
      </c>
      <c r="G113">
        <v>4</v>
      </c>
      <c r="H113">
        <v>1</v>
      </c>
      <c r="I113">
        <v>0</v>
      </c>
      <c r="J113">
        <v>2</v>
      </c>
      <c r="K113">
        <v>30</v>
      </c>
      <c r="L113">
        <v>336</v>
      </c>
      <c r="M113">
        <v>22</v>
      </c>
      <c r="N113">
        <v>0.25</v>
      </c>
      <c r="O113">
        <f t="shared" si="2"/>
        <v>0</v>
      </c>
      <c r="P113">
        <f t="shared" si="3"/>
        <v>2</v>
      </c>
      <c r="Q113" s="2">
        <v>158</v>
      </c>
      <c r="R113" s="1">
        <v>45740</v>
      </c>
      <c r="S113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158.77000000000004</v>
      </c>
    </row>
    <row r="114" spans="1:19" x14ac:dyDescent="0.3">
      <c r="A114" t="s">
        <v>262</v>
      </c>
      <c r="B114" t="s">
        <v>38</v>
      </c>
      <c r="C114" t="s">
        <v>20</v>
      </c>
      <c r="D114">
        <v>40.763599999999997</v>
      </c>
      <c r="E114">
        <v>-73.994529999999997</v>
      </c>
      <c r="F114" t="s">
        <v>21</v>
      </c>
      <c r="G114">
        <v>3</v>
      </c>
      <c r="H114">
        <v>1</v>
      </c>
      <c r="I114">
        <v>1</v>
      </c>
      <c r="J114">
        <v>1</v>
      </c>
      <c r="K114">
        <v>30</v>
      </c>
      <c r="L114">
        <v>362</v>
      </c>
      <c r="M114">
        <v>7</v>
      </c>
      <c r="N114">
        <v>7.0000000000000007E-2</v>
      </c>
      <c r="O114">
        <f t="shared" si="2"/>
        <v>0</v>
      </c>
      <c r="P114">
        <f t="shared" si="3"/>
        <v>4</v>
      </c>
      <c r="Q114" s="2">
        <v>175</v>
      </c>
      <c r="R114" s="1">
        <v>45717</v>
      </c>
      <c r="S114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169.21</v>
      </c>
    </row>
    <row r="115" spans="1:19" x14ac:dyDescent="0.3">
      <c r="A115" t="s">
        <v>263</v>
      </c>
      <c r="B115" t="s">
        <v>23</v>
      </c>
      <c r="C115" t="s">
        <v>17</v>
      </c>
      <c r="D115">
        <v>40.719410000000003</v>
      </c>
      <c r="E115">
        <v>-73.943219999999997</v>
      </c>
      <c r="F115" t="s">
        <v>21</v>
      </c>
      <c r="G115">
        <v>4</v>
      </c>
      <c r="H115">
        <v>1</v>
      </c>
      <c r="I115">
        <v>1</v>
      </c>
      <c r="J115">
        <v>1</v>
      </c>
      <c r="K115">
        <v>30</v>
      </c>
      <c r="L115">
        <v>58</v>
      </c>
      <c r="M115">
        <v>68</v>
      </c>
      <c r="N115">
        <v>0.64</v>
      </c>
      <c r="O115">
        <f t="shared" si="2"/>
        <v>0</v>
      </c>
      <c r="P115">
        <f t="shared" si="3"/>
        <v>2</v>
      </c>
      <c r="Q115" s="2">
        <v>175</v>
      </c>
      <c r="R115" s="1">
        <v>45747</v>
      </c>
      <c r="S115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169.89000000000004</v>
      </c>
    </row>
    <row r="116" spans="1:19" x14ac:dyDescent="0.3">
      <c r="A116" t="s">
        <v>266</v>
      </c>
      <c r="B116" t="s">
        <v>73</v>
      </c>
      <c r="C116" t="s">
        <v>30</v>
      </c>
      <c r="D116" s="3" t="s">
        <v>267</v>
      </c>
      <c r="E116">
        <v>-73.955590720204299</v>
      </c>
      <c r="F116" t="s">
        <v>21</v>
      </c>
      <c r="G116">
        <v>3</v>
      </c>
      <c r="H116">
        <v>1</v>
      </c>
      <c r="I116">
        <v>1</v>
      </c>
      <c r="J116">
        <v>3</v>
      </c>
      <c r="K116">
        <v>30</v>
      </c>
      <c r="L116">
        <v>181</v>
      </c>
      <c r="M116">
        <v>39</v>
      </c>
      <c r="N116">
        <v>0.37</v>
      </c>
      <c r="O116">
        <f t="shared" si="2"/>
        <v>0</v>
      </c>
      <c r="P116">
        <f t="shared" si="3"/>
        <v>0</v>
      </c>
      <c r="Q116" s="2">
        <v>140</v>
      </c>
      <c r="R116" s="1">
        <v>45747</v>
      </c>
      <c r="S116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115.53000000000002</v>
      </c>
    </row>
    <row r="117" spans="1:19" x14ac:dyDescent="0.3">
      <c r="A117" t="s">
        <v>268</v>
      </c>
      <c r="B117" t="s">
        <v>55</v>
      </c>
      <c r="C117" t="s">
        <v>17</v>
      </c>
      <c r="D117">
        <v>40.666690000000003</v>
      </c>
      <c r="E117">
        <v>-73.989739999999998</v>
      </c>
      <c r="F117" t="s">
        <v>21</v>
      </c>
      <c r="G117">
        <v>2</v>
      </c>
      <c r="H117">
        <v>1</v>
      </c>
      <c r="I117">
        <v>2</v>
      </c>
      <c r="J117">
        <v>2</v>
      </c>
      <c r="K117">
        <v>30</v>
      </c>
      <c r="L117">
        <v>122</v>
      </c>
      <c r="M117">
        <v>182</v>
      </c>
      <c r="N117">
        <v>1.72</v>
      </c>
      <c r="O117">
        <f t="shared" si="2"/>
        <v>0</v>
      </c>
      <c r="P117">
        <f t="shared" si="3"/>
        <v>2</v>
      </c>
      <c r="Q117" s="2">
        <v>99</v>
      </c>
      <c r="R117" s="1">
        <v>45733</v>
      </c>
      <c r="S117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129.37000000000003</v>
      </c>
    </row>
    <row r="118" spans="1:19" x14ac:dyDescent="0.3">
      <c r="A118" t="s">
        <v>269</v>
      </c>
      <c r="B118" t="s">
        <v>23</v>
      </c>
      <c r="C118" t="s">
        <v>17</v>
      </c>
      <c r="D118">
        <v>40.719639999999998</v>
      </c>
      <c r="E118">
        <v>-73.955290000000005</v>
      </c>
      <c r="F118" t="s">
        <v>21</v>
      </c>
      <c r="G118">
        <v>2</v>
      </c>
      <c r="H118">
        <v>1</v>
      </c>
      <c r="I118">
        <v>1</v>
      </c>
      <c r="J118">
        <v>1</v>
      </c>
      <c r="K118">
        <v>30</v>
      </c>
      <c r="L118">
        <v>228</v>
      </c>
      <c r="M118">
        <v>153</v>
      </c>
      <c r="N118">
        <v>1.45</v>
      </c>
      <c r="O118">
        <f t="shared" si="2"/>
        <v>0</v>
      </c>
      <c r="P118">
        <f t="shared" si="3"/>
        <v>2</v>
      </c>
      <c r="Q118" s="2">
        <v>224</v>
      </c>
      <c r="R118" s="1">
        <v>45721</v>
      </c>
      <c r="S118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125.13000000000002</v>
      </c>
    </row>
    <row r="119" spans="1:19" x14ac:dyDescent="0.3">
      <c r="A119" t="s">
        <v>270</v>
      </c>
      <c r="B119" t="s">
        <v>28</v>
      </c>
      <c r="C119" t="s">
        <v>20</v>
      </c>
      <c r="D119">
        <v>40.831090000000003</v>
      </c>
      <c r="E119">
        <v>-73.946430000000007</v>
      </c>
      <c r="F119" t="s">
        <v>21</v>
      </c>
      <c r="G119">
        <v>2</v>
      </c>
      <c r="H119">
        <v>1</v>
      </c>
      <c r="I119">
        <v>1</v>
      </c>
      <c r="J119">
        <v>1</v>
      </c>
      <c r="K119">
        <v>30</v>
      </c>
      <c r="L119">
        <v>320</v>
      </c>
      <c r="M119">
        <v>23</v>
      </c>
      <c r="N119">
        <v>0.22</v>
      </c>
      <c r="O119">
        <f t="shared" si="2"/>
        <v>0</v>
      </c>
      <c r="P119">
        <f t="shared" si="3"/>
        <v>4</v>
      </c>
      <c r="Q119" s="2">
        <v>122</v>
      </c>
      <c r="R119" s="1">
        <v>45731</v>
      </c>
      <c r="S119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151.91000000000003</v>
      </c>
    </row>
    <row r="120" spans="1:19" x14ac:dyDescent="0.3">
      <c r="A120" t="s">
        <v>271</v>
      </c>
      <c r="B120" t="s">
        <v>53</v>
      </c>
      <c r="C120" t="s">
        <v>20</v>
      </c>
      <c r="D120">
        <v>40.775539999999999</v>
      </c>
      <c r="E120">
        <v>-73.980869999999996</v>
      </c>
      <c r="F120" t="s">
        <v>21</v>
      </c>
      <c r="G120">
        <v>3</v>
      </c>
      <c r="H120">
        <v>1</v>
      </c>
      <c r="I120">
        <v>1</v>
      </c>
      <c r="J120">
        <v>1</v>
      </c>
      <c r="K120">
        <v>30</v>
      </c>
      <c r="L120">
        <v>173</v>
      </c>
      <c r="M120">
        <v>32</v>
      </c>
      <c r="N120">
        <v>0.31</v>
      </c>
      <c r="O120">
        <f t="shared" si="2"/>
        <v>0</v>
      </c>
      <c r="P120">
        <f t="shared" si="3"/>
        <v>4</v>
      </c>
      <c r="Q120" s="2">
        <v>160</v>
      </c>
      <c r="R120" s="1">
        <v>45747</v>
      </c>
      <c r="S120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176.77</v>
      </c>
    </row>
    <row r="121" spans="1:19" x14ac:dyDescent="0.3">
      <c r="A121" t="s">
        <v>274</v>
      </c>
      <c r="B121" t="s">
        <v>273</v>
      </c>
      <c r="C121" t="s">
        <v>30</v>
      </c>
      <c r="D121">
        <v>40.65428</v>
      </c>
      <c r="E121">
        <v>-73.727339999999998</v>
      </c>
      <c r="F121" t="s">
        <v>21</v>
      </c>
      <c r="G121">
        <v>2</v>
      </c>
      <c r="H121">
        <v>1</v>
      </c>
      <c r="I121">
        <v>1</v>
      </c>
      <c r="J121">
        <v>1</v>
      </c>
      <c r="K121">
        <v>30</v>
      </c>
      <c r="L121">
        <v>163</v>
      </c>
      <c r="M121">
        <v>49</v>
      </c>
      <c r="N121">
        <v>0.47</v>
      </c>
      <c r="O121">
        <f t="shared" si="2"/>
        <v>0</v>
      </c>
      <c r="P121">
        <f t="shared" si="3"/>
        <v>0</v>
      </c>
      <c r="Q121" s="2">
        <v>136</v>
      </c>
      <c r="R121" s="1">
        <v>45733</v>
      </c>
      <c r="S121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97.270000000000024</v>
      </c>
    </row>
    <row r="122" spans="1:19" x14ac:dyDescent="0.3">
      <c r="A122" t="s">
        <v>277</v>
      </c>
      <c r="B122" t="s">
        <v>84</v>
      </c>
      <c r="C122" t="s">
        <v>17</v>
      </c>
      <c r="D122">
        <v>40.657609999999998</v>
      </c>
      <c r="E122">
        <v>-73.961160000000007</v>
      </c>
      <c r="F122" t="s">
        <v>18</v>
      </c>
      <c r="G122">
        <v>1</v>
      </c>
      <c r="H122">
        <v>1</v>
      </c>
      <c r="I122">
        <v>1</v>
      </c>
      <c r="J122">
        <v>1</v>
      </c>
      <c r="K122">
        <v>30</v>
      </c>
      <c r="L122">
        <v>76</v>
      </c>
      <c r="M122">
        <v>28</v>
      </c>
      <c r="N122">
        <v>0.36</v>
      </c>
      <c r="O122">
        <f t="shared" si="2"/>
        <v>1</v>
      </c>
      <c r="P122">
        <f t="shared" si="3"/>
        <v>2</v>
      </c>
      <c r="Q122" s="2">
        <v>74</v>
      </c>
      <c r="R122" s="1">
        <v>45747</v>
      </c>
      <c r="S122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68.930000000000007</v>
      </c>
    </row>
    <row r="123" spans="1:19" x14ac:dyDescent="0.3">
      <c r="A123" t="s">
        <v>279</v>
      </c>
      <c r="B123" t="s">
        <v>33</v>
      </c>
      <c r="C123" t="s">
        <v>17</v>
      </c>
      <c r="D123">
        <v>40.670810000000003</v>
      </c>
      <c r="E123">
        <v>-73.977249999999998</v>
      </c>
      <c r="F123" t="s">
        <v>21</v>
      </c>
      <c r="G123">
        <v>2</v>
      </c>
      <c r="H123">
        <v>1</v>
      </c>
      <c r="I123">
        <v>1</v>
      </c>
      <c r="J123">
        <v>1</v>
      </c>
      <c r="K123">
        <v>30</v>
      </c>
      <c r="L123">
        <v>282</v>
      </c>
      <c r="M123">
        <v>237</v>
      </c>
      <c r="N123">
        <v>2.3199999999999998</v>
      </c>
      <c r="O123">
        <f t="shared" si="2"/>
        <v>0</v>
      </c>
      <c r="P123">
        <f t="shared" si="3"/>
        <v>2</v>
      </c>
      <c r="Q123" s="2">
        <v>175</v>
      </c>
      <c r="R123" s="1">
        <v>45746</v>
      </c>
      <c r="S123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122.97000000000003</v>
      </c>
    </row>
    <row r="124" spans="1:19" x14ac:dyDescent="0.3">
      <c r="A124" t="s">
        <v>280</v>
      </c>
      <c r="B124" t="s">
        <v>26</v>
      </c>
      <c r="C124" t="s">
        <v>17</v>
      </c>
      <c r="D124" s="3" t="s">
        <v>281</v>
      </c>
      <c r="E124">
        <v>-73.971023187386393</v>
      </c>
      <c r="F124" t="s">
        <v>18</v>
      </c>
      <c r="G124">
        <v>1</v>
      </c>
      <c r="H124">
        <v>1</v>
      </c>
      <c r="I124">
        <v>3</v>
      </c>
      <c r="J124">
        <v>2</v>
      </c>
      <c r="K124">
        <v>30</v>
      </c>
      <c r="L124">
        <v>84</v>
      </c>
      <c r="M124">
        <v>2</v>
      </c>
      <c r="N124">
        <v>0.16</v>
      </c>
      <c r="O124">
        <f t="shared" si="2"/>
        <v>1</v>
      </c>
      <c r="P124">
        <f t="shared" si="3"/>
        <v>2</v>
      </c>
      <c r="Q124" s="2">
        <v>68</v>
      </c>
      <c r="R124" s="1">
        <v>45747</v>
      </c>
      <c r="S124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68.610000000000014</v>
      </c>
    </row>
    <row r="125" spans="1:19" x14ac:dyDescent="0.3">
      <c r="A125" t="s">
        <v>239</v>
      </c>
      <c r="B125" t="s">
        <v>36</v>
      </c>
      <c r="C125" t="s">
        <v>20</v>
      </c>
      <c r="D125">
        <v>40.781179999999999</v>
      </c>
      <c r="E125">
        <v>-73.953059999999994</v>
      </c>
      <c r="F125" t="s">
        <v>21</v>
      </c>
      <c r="G125">
        <v>2</v>
      </c>
      <c r="H125">
        <v>1</v>
      </c>
      <c r="I125">
        <v>0</v>
      </c>
      <c r="J125">
        <v>2</v>
      </c>
      <c r="K125">
        <v>30</v>
      </c>
      <c r="L125">
        <v>334</v>
      </c>
      <c r="M125">
        <v>13</v>
      </c>
      <c r="N125">
        <v>0.13</v>
      </c>
      <c r="O125">
        <f t="shared" si="2"/>
        <v>0</v>
      </c>
      <c r="P125">
        <f t="shared" si="3"/>
        <v>4</v>
      </c>
      <c r="Q125" s="2">
        <v>136</v>
      </c>
      <c r="R125" s="1">
        <v>45735</v>
      </c>
      <c r="S125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151.35000000000002</v>
      </c>
    </row>
    <row r="126" spans="1:19" x14ac:dyDescent="0.3">
      <c r="A126" t="s">
        <v>282</v>
      </c>
      <c r="B126" t="s">
        <v>36</v>
      </c>
      <c r="C126" t="s">
        <v>20</v>
      </c>
      <c r="D126">
        <v>40.769469999999998</v>
      </c>
      <c r="E126">
        <v>-73.956469999999996</v>
      </c>
      <c r="F126" t="s">
        <v>21</v>
      </c>
      <c r="G126">
        <v>2</v>
      </c>
      <c r="H126">
        <v>1</v>
      </c>
      <c r="I126">
        <v>0</v>
      </c>
      <c r="J126">
        <v>1</v>
      </c>
      <c r="K126">
        <v>30</v>
      </c>
      <c r="L126">
        <v>335</v>
      </c>
      <c r="M126">
        <v>33</v>
      </c>
      <c r="N126">
        <v>0.34</v>
      </c>
      <c r="O126">
        <f t="shared" si="2"/>
        <v>0</v>
      </c>
      <c r="P126">
        <f t="shared" si="3"/>
        <v>4</v>
      </c>
      <c r="Q126" s="2">
        <v>132</v>
      </c>
      <c r="R126" s="1">
        <v>45732</v>
      </c>
      <c r="S126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151.31</v>
      </c>
    </row>
    <row r="127" spans="1:19" x14ac:dyDescent="0.3">
      <c r="A127" t="s">
        <v>283</v>
      </c>
      <c r="B127" t="s">
        <v>23</v>
      </c>
      <c r="C127" t="s">
        <v>17</v>
      </c>
      <c r="D127">
        <v>40.707970000000003</v>
      </c>
      <c r="E127">
        <v>-73.95008</v>
      </c>
      <c r="F127" t="s">
        <v>21</v>
      </c>
      <c r="G127">
        <v>2</v>
      </c>
      <c r="H127">
        <v>1</v>
      </c>
      <c r="I127">
        <v>1</v>
      </c>
      <c r="J127">
        <v>1</v>
      </c>
      <c r="K127">
        <v>30</v>
      </c>
      <c r="L127">
        <v>334</v>
      </c>
      <c r="M127">
        <v>115</v>
      </c>
      <c r="N127">
        <v>1.1499999999999999</v>
      </c>
      <c r="O127">
        <f t="shared" si="2"/>
        <v>0</v>
      </c>
      <c r="P127">
        <f t="shared" si="3"/>
        <v>2</v>
      </c>
      <c r="Q127" s="2">
        <v>188</v>
      </c>
      <c r="R127" s="1">
        <v>45729</v>
      </c>
      <c r="S127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120.89000000000001</v>
      </c>
    </row>
    <row r="128" spans="1:19" x14ac:dyDescent="0.3">
      <c r="A128" t="s">
        <v>284</v>
      </c>
      <c r="B128" t="s">
        <v>67</v>
      </c>
      <c r="C128" t="s">
        <v>17</v>
      </c>
      <c r="D128">
        <v>40.694789999999998</v>
      </c>
      <c r="E128">
        <v>-73.909530000000004</v>
      </c>
      <c r="F128" t="s">
        <v>21</v>
      </c>
      <c r="G128">
        <v>6</v>
      </c>
      <c r="H128">
        <v>1</v>
      </c>
      <c r="I128">
        <v>2</v>
      </c>
      <c r="J128">
        <v>2</v>
      </c>
      <c r="K128">
        <v>30</v>
      </c>
      <c r="L128">
        <v>362</v>
      </c>
      <c r="M128">
        <v>138</v>
      </c>
      <c r="N128">
        <v>1.38</v>
      </c>
      <c r="O128">
        <f t="shared" si="2"/>
        <v>0</v>
      </c>
      <c r="P128">
        <f t="shared" si="3"/>
        <v>2</v>
      </c>
      <c r="Q128" s="2">
        <v>110</v>
      </c>
      <c r="R128" s="1">
        <v>45747</v>
      </c>
      <c r="S128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195.69000000000005</v>
      </c>
    </row>
    <row r="129" spans="1:19" x14ac:dyDescent="0.3">
      <c r="A129" t="s">
        <v>285</v>
      </c>
      <c r="B129" t="s">
        <v>64</v>
      </c>
      <c r="C129" t="s">
        <v>17</v>
      </c>
      <c r="D129">
        <v>40.680300000000003</v>
      </c>
      <c r="E129">
        <v>-73.964789999999994</v>
      </c>
      <c r="F129" t="s">
        <v>21</v>
      </c>
      <c r="G129">
        <v>4</v>
      </c>
      <c r="H129">
        <v>1</v>
      </c>
      <c r="I129">
        <v>1</v>
      </c>
      <c r="J129">
        <v>3</v>
      </c>
      <c r="K129">
        <v>30</v>
      </c>
      <c r="L129">
        <v>285</v>
      </c>
      <c r="M129">
        <v>208</v>
      </c>
      <c r="N129">
        <v>2.0699999999999998</v>
      </c>
      <c r="O129">
        <f t="shared" si="2"/>
        <v>0</v>
      </c>
      <c r="P129">
        <f t="shared" si="3"/>
        <v>2</v>
      </c>
      <c r="Q129" s="2">
        <v>194</v>
      </c>
      <c r="R129" s="1">
        <v>45731</v>
      </c>
      <c r="S129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160.81000000000003</v>
      </c>
    </row>
    <row r="130" spans="1:19" x14ac:dyDescent="0.3">
      <c r="A130" t="s">
        <v>286</v>
      </c>
      <c r="B130" t="s">
        <v>145</v>
      </c>
      <c r="C130" t="s">
        <v>30</v>
      </c>
      <c r="D130">
        <v>40.684109999999997</v>
      </c>
      <c r="E130">
        <v>-73.862279999999998</v>
      </c>
      <c r="F130" t="s">
        <v>18</v>
      </c>
      <c r="G130">
        <v>2</v>
      </c>
      <c r="H130">
        <v>1</v>
      </c>
      <c r="I130">
        <v>1</v>
      </c>
      <c r="J130">
        <v>1</v>
      </c>
      <c r="K130">
        <v>30</v>
      </c>
      <c r="L130">
        <v>181</v>
      </c>
      <c r="M130">
        <v>22</v>
      </c>
      <c r="N130">
        <v>0.33</v>
      </c>
      <c r="O130">
        <f t="shared" si="2"/>
        <v>1</v>
      </c>
      <c r="P130">
        <f t="shared" si="3"/>
        <v>0</v>
      </c>
      <c r="Q130" s="2">
        <v>56</v>
      </c>
      <c r="R130" s="1">
        <v>45719</v>
      </c>
      <c r="S130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53.250000000000028</v>
      </c>
    </row>
    <row r="131" spans="1:19" x14ac:dyDescent="0.3">
      <c r="A131" t="s">
        <v>287</v>
      </c>
      <c r="B131" t="s">
        <v>24</v>
      </c>
      <c r="C131" t="s">
        <v>20</v>
      </c>
      <c r="D131">
        <v>40.793039999999998</v>
      </c>
      <c r="E131">
        <v>-73.941929999999999</v>
      </c>
      <c r="F131" t="s">
        <v>18</v>
      </c>
      <c r="G131">
        <v>1</v>
      </c>
      <c r="H131">
        <v>1</v>
      </c>
      <c r="I131">
        <v>1</v>
      </c>
      <c r="J131">
        <v>1</v>
      </c>
      <c r="K131">
        <v>30</v>
      </c>
      <c r="L131">
        <v>129</v>
      </c>
      <c r="M131">
        <v>116</v>
      </c>
      <c r="N131">
        <v>1.23</v>
      </c>
      <c r="O131">
        <f t="shared" ref="O131:O194" si="4">IF(F131="Private room",1,0)</f>
        <v>1</v>
      </c>
      <c r="P131">
        <f t="shared" ref="P131:P194" si="5">IF(C131="Manhattan",4,IF(C131="Brooklyn",2,0))</f>
        <v>4</v>
      </c>
      <c r="Q131" s="2">
        <v>59</v>
      </c>
      <c r="R131" s="1">
        <v>45745</v>
      </c>
      <c r="S131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97.27000000000001</v>
      </c>
    </row>
    <row r="132" spans="1:19" x14ac:dyDescent="0.3">
      <c r="A132" t="s">
        <v>288</v>
      </c>
      <c r="B132" t="s">
        <v>22</v>
      </c>
      <c r="C132" t="s">
        <v>17</v>
      </c>
      <c r="D132">
        <v>40.647930000000002</v>
      </c>
      <c r="E132">
        <v>-73.99915</v>
      </c>
      <c r="F132" t="s">
        <v>18</v>
      </c>
      <c r="G132">
        <v>1</v>
      </c>
      <c r="H132">
        <v>1</v>
      </c>
      <c r="I132">
        <v>1</v>
      </c>
      <c r="J132">
        <v>1</v>
      </c>
      <c r="K132">
        <v>30</v>
      </c>
      <c r="L132">
        <v>57</v>
      </c>
      <c r="M132">
        <v>41</v>
      </c>
      <c r="N132">
        <v>0.42</v>
      </c>
      <c r="O132">
        <f t="shared" si="4"/>
        <v>1</v>
      </c>
      <c r="P132">
        <f t="shared" si="5"/>
        <v>2</v>
      </c>
      <c r="Q132" s="2">
        <v>55</v>
      </c>
      <c r="R132" s="1">
        <v>45747</v>
      </c>
      <c r="S132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69.69</v>
      </c>
    </row>
    <row r="133" spans="1:19" x14ac:dyDescent="0.3">
      <c r="A133" t="s">
        <v>289</v>
      </c>
      <c r="B133" t="s">
        <v>19</v>
      </c>
      <c r="C133" t="s">
        <v>20</v>
      </c>
      <c r="D133">
        <v>40.758580000000002</v>
      </c>
      <c r="E133">
        <v>-73.961029999999994</v>
      </c>
      <c r="F133" t="s">
        <v>21</v>
      </c>
      <c r="G133">
        <v>2</v>
      </c>
      <c r="H133">
        <v>1</v>
      </c>
      <c r="I133">
        <v>0</v>
      </c>
      <c r="J133">
        <v>1</v>
      </c>
      <c r="K133">
        <v>30</v>
      </c>
      <c r="L133">
        <v>208</v>
      </c>
      <c r="M133">
        <v>27</v>
      </c>
      <c r="N133">
        <v>0.3</v>
      </c>
      <c r="O133">
        <f t="shared" si="4"/>
        <v>0</v>
      </c>
      <c r="P133">
        <f t="shared" si="5"/>
        <v>4</v>
      </c>
      <c r="Q133" s="2">
        <v>170</v>
      </c>
      <c r="R133" s="1">
        <v>45746</v>
      </c>
      <c r="S133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156.39000000000004</v>
      </c>
    </row>
    <row r="134" spans="1:19" x14ac:dyDescent="0.3">
      <c r="A134" t="s">
        <v>290</v>
      </c>
      <c r="B134" t="s">
        <v>201</v>
      </c>
      <c r="C134" t="s">
        <v>30</v>
      </c>
      <c r="D134" s="3" t="s">
        <v>291</v>
      </c>
      <c r="E134">
        <v>-73.764101922418405</v>
      </c>
      <c r="F134" t="s">
        <v>21</v>
      </c>
      <c r="G134">
        <v>2</v>
      </c>
      <c r="H134">
        <v>1</v>
      </c>
      <c r="I134">
        <v>1</v>
      </c>
      <c r="J134">
        <v>1</v>
      </c>
      <c r="K134">
        <v>30</v>
      </c>
      <c r="L134">
        <v>120</v>
      </c>
      <c r="M134">
        <v>569</v>
      </c>
      <c r="N134">
        <v>5.95</v>
      </c>
      <c r="O134">
        <f t="shared" si="4"/>
        <v>0</v>
      </c>
      <c r="P134">
        <f t="shared" si="5"/>
        <v>0</v>
      </c>
      <c r="Q134" s="2">
        <v>72</v>
      </c>
      <c r="R134" s="1">
        <v>45747</v>
      </c>
      <c r="S134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98.990000000000023</v>
      </c>
    </row>
    <row r="135" spans="1:19" x14ac:dyDescent="0.3">
      <c r="A135" t="s">
        <v>292</v>
      </c>
      <c r="B135" t="s">
        <v>53</v>
      </c>
      <c r="C135" t="s">
        <v>20</v>
      </c>
      <c r="D135">
        <v>40.79533</v>
      </c>
      <c r="E135">
        <v>-73.962897999999996</v>
      </c>
      <c r="F135" t="s">
        <v>21</v>
      </c>
      <c r="G135">
        <v>4</v>
      </c>
      <c r="H135">
        <v>1</v>
      </c>
      <c r="I135">
        <v>2</v>
      </c>
      <c r="J135">
        <v>2</v>
      </c>
      <c r="K135">
        <v>30</v>
      </c>
      <c r="L135">
        <v>246</v>
      </c>
      <c r="M135">
        <v>19</v>
      </c>
      <c r="N135">
        <v>0.2</v>
      </c>
      <c r="O135">
        <f t="shared" si="4"/>
        <v>0</v>
      </c>
      <c r="P135">
        <f t="shared" si="5"/>
        <v>4</v>
      </c>
      <c r="Q135" s="2">
        <v>122</v>
      </c>
      <c r="R135" s="1">
        <v>45747</v>
      </c>
      <c r="S135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192.83000000000004</v>
      </c>
    </row>
    <row r="136" spans="1:19" x14ac:dyDescent="0.3">
      <c r="A136" t="s">
        <v>293</v>
      </c>
      <c r="B136" t="s">
        <v>19</v>
      </c>
      <c r="C136" t="s">
        <v>20</v>
      </c>
      <c r="D136">
        <v>40.750860000000003</v>
      </c>
      <c r="E136">
        <v>-73.982560000000007</v>
      </c>
      <c r="F136" t="s">
        <v>21</v>
      </c>
      <c r="G136">
        <v>6</v>
      </c>
      <c r="H136">
        <v>1</v>
      </c>
      <c r="I136">
        <v>2</v>
      </c>
      <c r="J136">
        <v>4</v>
      </c>
      <c r="K136">
        <v>30</v>
      </c>
      <c r="L136">
        <v>265</v>
      </c>
      <c r="M136">
        <v>13</v>
      </c>
      <c r="N136">
        <v>0.13</v>
      </c>
      <c r="O136">
        <f t="shared" si="4"/>
        <v>0</v>
      </c>
      <c r="P136">
        <f t="shared" si="5"/>
        <v>4</v>
      </c>
      <c r="Q136" s="2">
        <v>120</v>
      </c>
      <c r="R136" s="1">
        <v>45724</v>
      </c>
      <c r="S136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230.03000000000003</v>
      </c>
    </row>
    <row r="137" spans="1:19" x14ac:dyDescent="0.3">
      <c r="A137" t="s">
        <v>294</v>
      </c>
      <c r="B137" t="s">
        <v>41</v>
      </c>
      <c r="C137" t="s">
        <v>20</v>
      </c>
      <c r="D137">
        <v>40.731349999999999</v>
      </c>
      <c r="E137">
        <v>-73.984859999999998</v>
      </c>
      <c r="F137" t="s">
        <v>21</v>
      </c>
      <c r="G137">
        <v>1</v>
      </c>
      <c r="H137">
        <v>1</v>
      </c>
      <c r="I137">
        <v>1</v>
      </c>
      <c r="J137">
        <v>1</v>
      </c>
      <c r="K137">
        <v>30</v>
      </c>
      <c r="L137">
        <v>147</v>
      </c>
      <c r="M137">
        <v>41</v>
      </c>
      <c r="N137">
        <v>0.42</v>
      </c>
      <c r="O137">
        <f t="shared" si="4"/>
        <v>0</v>
      </c>
      <c r="P137">
        <f t="shared" si="5"/>
        <v>4</v>
      </c>
      <c r="Q137" s="2">
        <v>108</v>
      </c>
      <c r="R137" s="1">
        <v>45747</v>
      </c>
      <c r="S137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139.85000000000002</v>
      </c>
    </row>
    <row r="138" spans="1:19" x14ac:dyDescent="0.3">
      <c r="A138" t="s">
        <v>297</v>
      </c>
      <c r="B138" t="s">
        <v>58</v>
      </c>
      <c r="C138" t="s">
        <v>17</v>
      </c>
      <c r="D138">
        <v>40.671280000000003</v>
      </c>
      <c r="E138">
        <v>-73.988630000000001</v>
      </c>
      <c r="F138" t="s">
        <v>21</v>
      </c>
      <c r="G138">
        <v>4</v>
      </c>
      <c r="H138">
        <v>1</v>
      </c>
      <c r="I138">
        <v>2</v>
      </c>
      <c r="J138">
        <v>3</v>
      </c>
      <c r="K138">
        <v>30</v>
      </c>
      <c r="L138">
        <v>36</v>
      </c>
      <c r="M138">
        <v>163</v>
      </c>
      <c r="N138">
        <v>1.69</v>
      </c>
      <c r="O138">
        <f t="shared" si="4"/>
        <v>0</v>
      </c>
      <c r="P138">
        <f t="shared" si="5"/>
        <v>2</v>
      </c>
      <c r="Q138" s="2">
        <v>240</v>
      </c>
      <c r="R138" s="1">
        <v>45747</v>
      </c>
      <c r="S138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170.77000000000004</v>
      </c>
    </row>
    <row r="139" spans="1:19" x14ac:dyDescent="0.3">
      <c r="A139" t="s">
        <v>298</v>
      </c>
      <c r="B139" t="s">
        <v>68</v>
      </c>
      <c r="C139" t="s">
        <v>20</v>
      </c>
      <c r="D139">
        <v>40.837899999999998</v>
      </c>
      <c r="E139">
        <v>-73.945859999999996</v>
      </c>
      <c r="F139" t="s">
        <v>18</v>
      </c>
      <c r="G139">
        <v>1</v>
      </c>
      <c r="H139">
        <v>1</v>
      </c>
      <c r="I139">
        <v>1</v>
      </c>
      <c r="J139">
        <v>1</v>
      </c>
      <c r="K139">
        <v>30</v>
      </c>
      <c r="L139">
        <v>182</v>
      </c>
      <c r="M139">
        <v>18</v>
      </c>
      <c r="N139">
        <v>0.21</v>
      </c>
      <c r="O139">
        <f t="shared" si="4"/>
        <v>1</v>
      </c>
      <c r="P139">
        <f t="shared" si="5"/>
        <v>4</v>
      </c>
      <c r="Q139" s="2">
        <v>50</v>
      </c>
      <c r="R139" s="1">
        <v>45723</v>
      </c>
      <c r="S139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95.15</v>
      </c>
    </row>
    <row r="140" spans="1:19" x14ac:dyDescent="0.3">
      <c r="A140" t="s">
        <v>299</v>
      </c>
      <c r="B140" t="s">
        <v>27</v>
      </c>
      <c r="C140" t="s">
        <v>17</v>
      </c>
      <c r="D140" s="3" t="s">
        <v>300</v>
      </c>
      <c r="E140">
        <v>-73.934860028570796</v>
      </c>
      <c r="F140" t="s">
        <v>18</v>
      </c>
      <c r="G140">
        <v>1</v>
      </c>
      <c r="H140">
        <v>1</v>
      </c>
      <c r="I140">
        <v>1</v>
      </c>
      <c r="J140">
        <v>1</v>
      </c>
      <c r="K140">
        <v>14</v>
      </c>
      <c r="L140">
        <v>293</v>
      </c>
      <c r="M140">
        <v>49</v>
      </c>
      <c r="N140">
        <v>0.59</v>
      </c>
      <c r="O140">
        <f t="shared" si="4"/>
        <v>1</v>
      </c>
      <c r="P140">
        <f t="shared" si="5"/>
        <v>2</v>
      </c>
      <c r="Q140" s="2">
        <v>90</v>
      </c>
      <c r="R140" s="1">
        <v>45733</v>
      </c>
      <c r="S140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113.85</v>
      </c>
    </row>
    <row r="141" spans="1:19" x14ac:dyDescent="0.3">
      <c r="A141" t="s">
        <v>301</v>
      </c>
      <c r="B141" t="s">
        <v>27</v>
      </c>
      <c r="C141" t="s">
        <v>17</v>
      </c>
      <c r="D141">
        <v>40.694119999999998</v>
      </c>
      <c r="E141">
        <v>-73.933850000000007</v>
      </c>
      <c r="F141" t="s">
        <v>18</v>
      </c>
      <c r="G141">
        <v>2</v>
      </c>
      <c r="H141">
        <v>1</v>
      </c>
      <c r="I141">
        <v>1</v>
      </c>
      <c r="J141">
        <v>1</v>
      </c>
      <c r="K141">
        <v>5</v>
      </c>
      <c r="L141">
        <v>141</v>
      </c>
      <c r="M141">
        <v>52</v>
      </c>
      <c r="N141">
        <v>0.53</v>
      </c>
      <c r="O141">
        <f t="shared" si="4"/>
        <v>1</v>
      </c>
      <c r="P141">
        <f t="shared" si="5"/>
        <v>2</v>
      </c>
      <c r="Q141" s="2">
        <v>155</v>
      </c>
      <c r="R141" s="1">
        <v>45729</v>
      </c>
      <c r="S141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169.06000000000003</v>
      </c>
    </row>
    <row r="142" spans="1:19" x14ac:dyDescent="0.3">
      <c r="A142" t="s">
        <v>302</v>
      </c>
      <c r="B142" t="s">
        <v>296</v>
      </c>
      <c r="C142" t="s">
        <v>17</v>
      </c>
      <c r="D142" s="3" t="s">
        <v>303</v>
      </c>
      <c r="E142">
        <v>-74.005593391156793</v>
      </c>
      <c r="F142" t="s">
        <v>21</v>
      </c>
      <c r="G142">
        <v>2</v>
      </c>
      <c r="H142">
        <v>1</v>
      </c>
      <c r="I142">
        <v>1</v>
      </c>
      <c r="J142">
        <v>2</v>
      </c>
      <c r="K142">
        <v>30</v>
      </c>
      <c r="L142">
        <v>285</v>
      </c>
      <c r="M142">
        <v>100</v>
      </c>
      <c r="N142">
        <v>1.04</v>
      </c>
      <c r="O142">
        <f t="shared" si="4"/>
        <v>0</v>
      </c>
      <c r="P142">
        <f t="shared" si="5"/>
        <v>2</v>
      </c>
      <c r="Q142" s="2">
        <v>95</v>
      </c>
      <c r="R142" s="1">
        <v>45746</v>
      </c>
      <c r="S142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122.85000000000002</v>
      </c>
    </row>
    <row r="143" spans="1:19" x14ac:dyDescent="0.3">
      <c r="A143" t="s">
        <v>304</v>
      </c>
      <c r="B143" t="s">
        <v>38</v>
      </c>
      <c r="C143" t="s">
        <v>20</v>
      </c>
      <c r="D143">
        <v>40.766599999999997</v>
      </c>
      <c r="E143">
        <v>-73.983009999999993</v>
      </c>
      <c r="F143" t="s">
        <v>21</v>
      </c>
      <c r="G143">
        <v>2</v>
      </c>
      <c r="H143">
        <v>1</v>
      </c>
      <c r="I143">
        <v>0</v>
      </c>
      <c r="J143">
        <v>1</v>
      </c>
      <c r="K143">
        <v>30</v>
      </c>
      <c r="L143">
        <v>180</v>
      </c>
      <c r="M143">
        <v>116</v>
      </c>
      <c r="N143">
        <v>1.21</v>
      </c>
      <c r="O143">
        <f t="shared" si="4"/>
        <v>0</v>
      </c>
      <c r="P143">
        <f t="shared" si="5"/>
        <v>4</v>
      </c>
      <c r="Q143" s="2">
        <v>110</v>
      </c>
      <c r="R143" s="1">
        <v>45732</v>
      </c>
      <c r="S143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157.51000000000002</v>
      </c>
    </row>
    <row r="144" spans="1:19" x14ac:dyDescent="0.3">
      <c r="A144" t="s">
        <v>305</v>
      </c>
      <c r="B144" t="s">
        <v>38</v>
      </c>
      <c r="C144" t="s">
        <v>20</v>
      </c>
      <c r="D144">
        <v>40.764110000000002</v>
      </c>
      <c r="E144">
        <v>-73.993709999999993</v>
      </c>
      <c r="F144" t="s">
        <v>21</v>
      </c>
      <c r="G144">
        <v>3</v>
      </c>
      <c r="H144">
        <v>1</v>
      </c>
      <c r="I144">
        <v>2</v>
      </c>
      <c r="J144">
        <v>1</v>
      </c>
      <c r="K144">
        <v>30</v>
      </c>
      <c r="L144">
        <v>221</v>
      </c>
      <c r="M144">
        <v>6</v>
      </c>
      <c r="N144">
        <v>0.11</v>
      </c>
      <c r="O144">
        <f t="shared" si="4"/>
        <v>0</v>
      </c>
      <c r="P144">
        <f t="shared" si="5"/>
        <v>4</v>
      </c>
      <c r="Q144" s="2">
        <v>220</v>
      </c>
      <c r="R144" s="1">
        <v>45731</v>
      </c>
      <c r="S144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174.85000000000002</v>
      </c>
    </row>
    <row r="145" spans="1:19" x14ac:dyDescent="0.3">
      <c r="A145" t="s">
        <v>307</v>
      </c>
      <c r="B145" t="s">
        <v>53</v>
      </c>
      <c r="C145" t="s">
        <v>20</v>
      </c>
      <c r="D145">
        <v>40.786380000000001</v>
      </c>
      <c r="E145">
        <v>-73.970529999999997</v>
      </c>
      <c r="F145" t="s">
        <v>21</v>
      </c>
      <c r="G145">
        <v>2</v>
      </c>
      <c r="H145">
        <v>1</v>
      </c>
      <c r="I145">
        <v>1</v>
      </c>
      <c r="J145">
        <v>2</v>
      </c>
      <c r="K145">
        <v>30</v>
      </c>
      <c r="L145">
        <v>243</v>
      </c>
      <c r="M145">
        <v>16</v>
      </c>
      <c r="N145">
        <v>0.3</v>
      </c>
      <c r="O145">
        <f t="shared" si="4"/>
        <v>0</v>
      </c>
      <c r="P145">
        <f t="shared" si="5"/>
        <v>4</v>
      </c>
      <c r="Q145" s="2">
        <v>139</v>
      </c>
      <c r="R145" s="1">
        <v>45721</v>
      </c>
      <c r="S145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154.99</v>
      </c>
    </row>
    <row r="146" spans="1:19" x14ac:dyDescent="0.3">
      <c r="A146" t="s">
        <v>308</v>
      </c>
      <c r="B146" t="s">
        <v>36</v>
      </c>
      <c r="C146" t="s">
        <v>20</v>
      </c>
      <c r="D146">
        <v>40.772930000000002</v>
      </c>
      <c r="E146">
        <v>-73.95581</v>
      </c>
      <c r="F146" t="s">
        <v>21</v>
      </c>
      <c r="G146">
        <v>2</v>
      </c>
      <c r="H146">
        <v>1</v>
      </c>
      <c r="I146">
        <v>1</v>
      </c>
      <c r="J146">
        <v>1</v>
      </c>
      <c r="K146">
        <v>30</v>
      </c>
      <c r="L146">
        <v>222</v>
      </c>
      <c r="M146">
        <v>12</v>
      </c>
      <c r="N146">
        <v>0.13</v>
      </c>
      <c r="O146">
        <f t="shared" si="4"/>
        <v>0</v>
      </c>
      <c r="P146">
        <f t="shared" si="5"/>
        <v>4</v>
      </c>
      <c r="Q146" s="2">
        <v>113</v>
      </c>
      <c r="R146" s="1">
        <v>45722</v>
      </c>
      <c r="S146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155.83000000000004</v>
      </c>
    </row>
    <row r="147" spans="1:19" x14ac:dyDescent="0.3">
      <c r="A147" t="s">
        <v>309</v>
      </c>
      <c r="B147" t="s">
        <v>19</v>
      </c>
      <c r="C147" t="s">
        <v>20</v>
      </c>
      <c r="D147">
        <v>40.750520000000002</v>
      </c>
      <c r="E147">
        <v>-73.983199999999997</v>
      </c>
      <c r="F147" t="s">
        <v>21</v>
      </c>
      <c r="G147">
        <v>6</v>
      </c>
      <c r="H147">
        <v>1</v>
      </c>
      <c r="I147">
        <v>2</v>
      </c>
      <c r="J147">
        <v>4</v>
      </c>
      <c r="K147">
        <v>30</v>
      </c>
      <c r="L147">
        <v>286</v>
      </c>
      <c r="M147">
        <v>12</v>
      </c>
      <c r="N147">
        <v>0.13</v>
      </c>
      <c r="O147">
        <f t="shared" si="4"/>
        <v>0</v>
      </c>
      <c r="P147">
        <f t="shared" si="5"/>
        <v>4</v>
      </c>
      <c r="Q147" s="2">
        <v>120</v>
      </c>
      <c r="R147" s="1">
        <v>45724</v>
      </c>
      <c r="S147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229.19000000000005</v>
      </c>
    </row>
    <row r="148" spans="1:19" x14ac:dyDescent="0.3">
      <c r="A148" t="s">
        <v>310</v>
      </c>
      <c r="B148" t="s">
        <v>36</v>
      </c>
      <c r="C148" t="s">
        <v>20</v>
      </c>
      <c r="D148">
        <v>40.769930000000002</v>
      </c>
      <c r="E148">
        <v>-73.957340000000002</v>
      </c>
      <c r="F148" t="s">
        <v>21</v>
      </c>
      <c r="G148">
        <v>3</v>
      </c>
      <c r="H148">
        <v>1</v>
      </c>
      <c r="I148">
        <v>0</v>
      </c>
      <c r="J148">
        <v>2</v>
      </c>
      <c r="K148">
        <v>30</v>
      </c>
      <c r="L148">
        <v>308</v>
      </c>
      <c r="M148">
        <v>28</v>
      </c>
      <c r="N148">
        <v>0.31</v>
      </c>
      <c r="O148">
        <f t="shared" si="4"/>
        <v>0</v>
      </c>
      <c r="P148">
        <f t="shared" si="5"/>
        <v>4</v>
      </c>
      <c r="Q148" s="2">
        <v>135</v>
      </c>
      <c r="R148" s="1">
        <v>45738</v>
      </c>
      <c r="S148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171.37</v>
      </c>
    </row>
    <row r="149" spans="1:19" x14ac:dyDescent="0.3">
      <c r="A149" t="s">
        <v>213</v>
      </c>
      <c r="B149" t="s">
        <v>207</v>
      </c>
      <c r="C149" t="s">
        <v>31</v>
      </c>
      <c r="D149">
        <v>40.812559999999998</v>
      </c>
      <c r="E149">
        <v>-73.889009999999999</v>
      </c>
      <c r="F149" t="s">
        <v>18</v>
      </c>
      <c r="G149">
        <v>1</v>
      </c>
      <c r="H149">
        <v>1.5</v>
      </c>
      <c r="I149">
        <v>1</v>
      </c>
      <c r="J149">
        <v>1</v>
      </c>
      <c r="K149">
        <v>30</v>
      </c>
      <c r="L149">
        <v>350</v>
      </c>
      <c r="M149">
        <v>29</v>
      </c>
      <c r="N149">
        <v>0.34</v>
      </c>
      <c r="O149">
        <f t="shared" si="4"/>
        <v>1</v>
      </c>
      <c r="P149">
        <f t="shared" si="5"/>
        <v>0</v>
      </c>
      <c r="Q149" s="2">
        <v>50</v>
      </c>
      <c r="R149" s="1">
        <v>45737</v>
      </c>
      <c r="S149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33.120000000000019</v>
      </c>
    </row>
    <row r="150" spans="1:19" x14ac:dyDescent="0.3">
      <c r="A150" t="s">
        <v>311</v>
      </c>
      <c r="B150" t="s">
        <v>27</v>
      </c>
      <c r="C150" t="s">
        <v>17</v>
      </c>
      <c r="D150">
        <v>40.69444</v>
      </c>
      <c r="E150">
        <v>-73.946439999999996</v>
      </c>
      <c r="F150" t="s">
        <v>21</v>
      </c>
      <c r="G150">
        <v>8</v>
      </c>
      <c r="H150">
        <v>2</v>
      </c>
      <c r="I150">
        <v>3</v>
      </c>
      <c r="J150">
        <v>3</v>
      </c>
      <c r="K150">
        <v>30</v>
      </c>
      <c r="L150">
        <v>281</v>
      </c>
      <c r="M150">
        <v>111</v>
      </c>
      <c r="N150">
        <v>1.1599999999999999</v>
      </c>
      <c r="O150">
        <f t="shared" si="4"/>
        <v>0</v>
      </c>
      <c r="P150">
        <f t="shared" si="5"/>
        <v>2</v>
      </c>
      <c r="Q150" s="2">
        <v>115</v>
      </c>
      <c r="R150" s="1">
        <v>45728</v>
      </c>
      <c r="S150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248.11000000000004</v>
      </c>
    </row>
    <row r="151" spans="1:19" x14ac:dyDescent="0.3">
      <c r="A151" t="s">
        <v>312</v>
      </c>
      <c r="B151" t="s">
        <v>53</v>
      </c>
      <c r="C151" t="s">
        <v>20</v>
      </c>
      <c r="D151">
        <v>40.778700000000001</v>
      </c>
      <c r="E151">
        <v>-73.980189999999993</v>
      </c>
      <c r="F151" t="s">
        <v>21</v>
      </c>
      <c r="G151">
        <v>2</v>
      </c>
      <c r="H151">
        <v>1</v>
      </c>
      <c r="I151">
        <v>1</v>
      </c>
      <c r="J151">
        <v>2</v>
      </c>
      <c r="K151">
        <v>30</v>
      </c>
      <c r="L151">
        <v>232</v>
      </c>
      <c r="M151">
        <v>61</v>
      </c>
      <c r="N151">
        <v>0.67</v>
      </c>
      <c r="O151">
        <f t="shared" si="4"/>
        <v>0</v>
      </c>
      <c r="P151">
        <f t="shared" si="5"/>
        <v>4</v>
      </c>
      <c r="Q151" s="2">
        <v>180</v>
      </c>
      <c r="R151" s="1">
        <v>45745</v>
      </c>
      <c r="S151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155.43</v>
      </c>
    </row>
    <row r="152" spans="1:19" x14ac:dyDescent="0.3">
      <c r="A152" t="s">
        <v>313</v>
      </c>
      <c r="B152" t="s">
        <v>28</v>
      </c>
      <c r="C152" t="s">
        <v>20</v>
      </c>
      <c r="D152">
        <v>40.825180000000003</v>
      </c>
      <c r="E152">
        <v>-73.942750000000004</v>
      </c>
      <c r="F152" t="s">
        <v>18</v>
      </c>
      <c r="G152">
        <v>2</v>
      </c>
      <c r="H152">
        <v>1.5</v>
      </c>
      <c r="I152">
        <v>1</v>
      </c>
      <c r="J152">
        <v>1</v>
      </c>
      <c r="K152">
        <v>30</v>
      </c>
      <c r="L152">
        <v>278</v>
      </c>
      <c r="M152">
        <v>62</v>
      </c>
      <c r="N152">
        <v>0.65</v>
      </c>
      <c r="O152">
        <f t="shared" si="4"/>
        <v>1</v>
      </c>
      <c r="P152">
        <f t="shared" si="5"/>
        <v>4</v>
      </c>
      <c r="Q152" s="2">
        <v>69</v>
      </c>
      <c r="R152" s="1">
        <v>45720</v>
      </c>
      <c r="S152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115.90000000000003</v>
      </c>
    </row>
    <row r="153" spans="1:19" x14ac:dyDescent="0.3">
      <c r="A153" t="s">
        <v>314</v>
      </c>
      <c r="B153" t="s">
        <v>99</v>
      </c>
      <c r="C153" t="s">
        <v>30</v>
      </c>
      <c r="D153" s="3" t="s">
        <v>315</v>
      </c>
      <c r="E153">
        <v>-73.883781822275793</v>
      </c>
      <c r="F153" t="s">
        <v>18</v>
      </c>
      <c r="G153">
        <v>2</v>
      </c>
      <c r="H153">
        <v>1</v>
      </c>
      <c r="I153">
        <v>1</v>
      </c>
      <c r="J153">
        <v>2</v>
      </c>
      <c r="K153">
        <v>2</v>
      </c>
      <c r="L153">
        <v>303</v>
      </c>
      <c r="M153">
        <v>126</v>
      </c>
      <c r="N153">
        <v>1.39</v>
      </c>
      <c r="O153">
        <f t="shared" si="4"/>
        <v>1</v>
      </c>
      <c r="P153">
        <f t="shared" si="5"/>
        <v>0</v>
      </c>
      <c r="Q153" s="2">
        <v>180</v>
      </c>
      <c r="R153" s="1">
        <v>45726</v>
      </c>
      <c r="S153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142.17000000000002</v>
      </c>
    </row>
    <row r="154" spans="1:19" x14ac:dyDescent="0.3">
      <c r="A154" t="s">
        <v>316</v>
      </c>
      <c r="B154" t="s">
        <v>121</v>
      </c>
      <c r="C154" t="s">
        <v>31</v>
      </c>
      <c r="D154">
        <v>40.83793</v>
      </c>
      <c r="E154">
        <v>-73.783280000000005</v>
      </c>
      <c r="F154" t="s">
        <v>18</v>
      </c>
      <c r="G154">
        <v>2</v>
      </c>
      <c r="H154">
        <v>1</v>
      </c>
      <c r="I154">
        <v>1</v>
      </c>
      <c r="J154">
        <v>1</v>
      </c>
      <c r="K154">
        <v>1</v>
      </c>
      <c r="L154">
        <v>317</v>
      </c>
      <c r="M154">
        <v>67</v>
      </c>
      <c r="N154">
        <v>0.89</v>
      </c>
      <c r="O154">
        <f t="shared" si="4"/>
        <v>1</v>
      </c>
      <c r="P154">
        <f t="shared" si="5"/>
        <v>0</v>
      </c>
      <c r="Q154" s="2">
        <v>87</v>
      </c>
      <c r="R154" s="1">
        <v>45741</v>
      </c>
      <c r="S154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144.96000000000004</v>
      </c>
    </row>
    <row r="155" spans="1:19" x14ac:dyDescent="0.3">
      <c r="A155" t="s">
        <v>317</v>
      </c>
      <c r="B155" t="s">
        <v>56</v>
      </c>
      <c r="C155" t="s">
        <v>17</v>
      </c>
      <c r="D155">
        <v>40.676029999999997</v>
      </c>
      <c r="E155">
        <v>-73.910880000000006</v>
      </c>
      <c r="F155" t="s">
        <v>21</v>
      </c>
      <c r="G155">
        <v>6</v>
      </c>
      <c r="H155">
        <v>2</v>
      </c>
      <c r="I155">
        <v>3</v>
      </c>
      <c r="J155">
        <v>5</v>
      </c>
      <c r="K155">
        <v>30</v>
      </c>
      <c r="L155">
        <v>349</v>
      </c>
      <c r="M155">
        <v>62</v>
      </c>
      <c r="N155">
        <v>0.66</v>
      </c>
      <c r="O155">
        <f t="shared" si="4"/>
        <v>0</v>
      </c>
      <c r="P155">
        <f t="shared" si="5"/>
        <v>2</v>
      </c>
      <c r="Q155" s="2">
        <v>120</v>
      </c>
      <c r="R155" s="1">
        <v>45717</v>
      </c>
      <c r="S155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207.43</v>
      </c>
    </row>
    <row r="156" spans="1:19" x14ac:dyDescent="0.3">
      <c r="A156" t="s">
        <v>318</v>
      </c>
      <c r="B156" t="s">
        <v>161</v>
      </c>
      <c r="C156" t="s">
        <v>30</v>
      </c>
      <c r="D156">
        <v>40.710659999999997</v>
      </c>
      <c r="E156">
        <v>-73.85087</v>
      </c>
      <c r="F156" t="s">
        <v>18</v>
      </c>
      <c r="G156">
        <v>2</v>
      </c>
      <c r="H156">
        <v>1</v>
      </c>
      <c r="I156">
        <v>1</v>
      </c>
      <c r="J156">
        <v>1</v>
      </c>
      <c r="K156">
        <v>30</v>
      </c>
      <c r="L156">
        <v>117</v>
      </c>
      <c r="M156">
        <v>88</v>
      </c>
      <c r="N156">
        <v>0.93</v>
      </c>
      <c r="O156">
        <f t="shared" si="4"/>
        <v>1</v>
      </c>
      <c r="P156">
        <f t="shared" si="5"/>
        <v>0</v>
      </c>
      <c r="Q156" s="2">
        <v>72</v>
      </c>
      <c r="R156" s="1">
        <v>45747</v>
      </c>
      <c r="S156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55.810000000000016</v>
      </c>
    </row>
    <row r="157" spans="1:19" x14ac:dyDescent="0.3">
      <c r="A157" t="s">
        <v>319</v>
      </c>
      <c r="B157" t="s">
        <v>23</v>
      </c>
      <c r="C157" t="s">
        <v>17</v>
      </c>
      <c r="D157">
        <v>40.719059999999999</v>
      </c>
      <c r="E157">
        <v>-73.942459999999997</v>
      </c>
      <c r="F157" t="s">
        <v>21</v>
      </c>
      <c r="G157">
        <v>3</v>
      </c>
      <c r="H157">
        <v>1</v>
      </c>
      <c r="I157">
        <v>1</v>
      </c>
      <c r="J157">
        <v>1</v>
      </c>
      <c r="K157">
        <v>30</v>
      </c>
      <c r="L157">
        <v>233</v>
      </c>
      <c r="M157">
        <v>208</v>
      </c>
      <c r="N157">
        <v>2.21</v>
      </c>
      <c r="O157">
        <f t="shared" si="4"/>
        <v>0</v>
      </c>
      <c r="P157">
        <f t="shared" si="5"/>
        <v>2</v>
      </c>
      <c r="Q157" s="2">
        <v>177</v>
      </c>
      <c r="R157" s="1">
        <v>45747</v>
      </c>
      <c r="S157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143.91000000000003</v>
      </c>
    </row>
    <row r="158" spans="1:19" x14ac:dyDescent="0.3">
      <c r="A158" t="s">
        <v>320</v>
      </c>
      <c r="B158" t="s">
        <v>113</v>
      </c>
      <c r="C158" t="s">
        <v>30</v>
      </c>
      <c r="D158">
        <v>40.752029999999998</v>
      </c>
      <c r="E158">
        <v>-73.815119999999993</v>
      </c>
      <c r="F158" t="s">
        <v>18</v>
      </c>
      <c r="G158">
        <v>2</v>
      </c>
      <c r="H158">
        <v>2</v>
      </c>
      <c r="I158">
        <v>1</v>
      </c>
      <c r="J158">
        <v>1</v>
      </c>
      <c r="K158">
        <v>30</v>
      </c>
      <c r="L158">
        <v>63</v>
      </c>
      <c r="M158">
        <v>199</v>
      </c>
      <c r="N158">
        <v>2.13</v>
      </c>
      <c r="O158">
        <f t="shared" si="4"/>
        <v>1</v>
      </c>
      <c r="P158">
        <f t="shared" si="5"/>
        <v>0</v>
      </c>
      <c r="Q158" s="2">
        <v>65</v>
      </c>
      <c r="R158" s="1">
        <v>45732</v>
      </c>
      <c r="S158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69.190000000000026</v>
      </c>
    </row>
    <row r="159" spans="1:19" x14ac:dyDescent="0.3">
      <c r="A159" t="s">
        <v>321</v>
      </c>
      <c r="B159" t="s">
        <v>36</v>
      </c>
      <c r="C159" t="s">
        <v>20</v>
      </c>
      <c r="D159">
        <v>40.778179999999999</v>
      </c>
      <c r="E159">
        <v>-73.954769999999996</v>
      </c>
      <c r="F159" t="s">
        <v>21</v>
      </c>
      <c r="G159">
        <v>2</v>
      </c>
      <c r="H159">
        <v>1</v>
      </c>
      <c r="I159">
        <v>1</v>
      </c>
      <c r="J159">
        <v>1</v>
      </c>
      <c r="K159">
        <v>30</v>
      </c>
      <c r="L159">
        <v>334</v>
      </c>
      <c r="M159">
        <v>21</v>
      </c>
      <c r="N159">
        <v>0.24</v>
      </c>
      <c r="O159">
        <f t="shared" si="4"/>
        <v>0</v>
      </c>
      <c r="P159">
        <f t="shared" si="5"/>
        <v>4</v>
      </c>
      <c r="Q159" s="2">
        <v>131</v>
      </c>
      <c r="R159" s="1">
        <v>45726</v>
      </c>
      <c r="S159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151.35000000000002</v>
      </c>
    </row>
    <row r="160" spans="1:19" x14ac:dyDescent="0.3">
      <c r="A160" t="s">
        <v>322</v>
      </c>
      <c r="B160" t="s">
        <v>23</v>
      </c>
      <c r="C160" t="s">
        <v>17</v>
      </c>
      <c r="D160">
        <v>40.717170000000003</v>
      </c>
      <c r="E160">
        <v>-73.949160000000006</v>
      </c>
      <c r="F160" t="s">
        <v>18</v>
      </c>
      <c r="G160">
        <v>1</v>
      </c>
      <c r="H160">
        <v>2</v>
      </c>
      <c r="I160">
        <v>1</v>
      </c>
      <c r="J160">
        <v>1</v>
      </c>
      <c r="K160">
        <v>30</v>
      </c>
      <c r="L160">
        <v>135</v>
      </c>
      <c r="M160">
        <v>35</v>
      </c>
      <c r="N160">
        <v>0.38</v>
      </c>
      <c r="O160">
        <f t="shared" si="4"/>
        <v>1</v>
      </c>
      <c r="P160">
        <f t="shared" si="5"/>
        <v>2</v>
      </c>
      <c r="Q160" s="2">
        <v>52</v>
      </c>
      <c r="R160" s="1">
        <v>45731</v>
      </c>
      <c r="S160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77.789999999999992</v>
      </c>
    </row>
    <row r="161" spans="1:19" x14ac:dyDescent="0.3">
      <c r="A161" t="s">
        <v>323</v>
      </c>
      <c r="B161" t="s">
        <v>48</v>
      </c>
      <c r="C161" t="s">
        <v>20</v>
      </c>
      <c r="D161">
        <v>40.732750000000003</v>
      </c>
      <c r="E161">
        <v>-74.000050000000002</v>
      </c>
      <c r="F161" t="s">
        <v>21</v>
      </c>
      <c r="G161">
        <v>2</v>
      </c>
      <c r="H161">
        <v>1</v>
      </c>
      <c r="I161">
        <v>1</v>
      </c>
      <c r="J161">
        <v>1</v>
      </c>
      <c r="K161">
        <v>30</v>
      </c>
      <c r="L161">
        <v>243</v>
      </c>
      <c r="M161">
        <v>36</v>
      </c>
      <c r="N161">
        <v>0.39</v>
      </c>
      <c r="O161">
        <f t="shared" si="4"/>
        <v>0</v>
      </c>
      <c r="P161">
        <f t="shared" si="5"/>
        <v>4</v>
      </c>
      <c r="Q161" s="2">
        <v>178</v>
      </c>
      <c r="R161" s="1">
        <v>45725</v>
      </c>
      <c r="S161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154.99</v>
      </c>
    </row>
    <row r="162" spans="1:19" x14ac:dyDescent="0.3">
      <c r="A162" t="s">
        <v>324</v>
      </c>
      <c r="B162" t="s">
        <v>41</v>
      </c>
      <c r="C162" t="s">
        <v>20</v>
      </c>
      <c r="D162">
        <v>40.728099999999998</v>
      </c>
      <c r="E162">
        <v>-73.978319999999997</v>
      </c>
      <c r="F162" t="s">
        <v>18</v>
      </c>
      <c r="G162">
        <v>2</v>
      </c>
      <c r="H162">
        <v>1</v>
      </c>
      <c r="I162">
        <v>1</v>
      </c>
      <c r="J162">
        <v>1</v>
      </c>
      <c r="K162">
        <v>30</v>
      </c>
      <c r="L162">
        <v>243</v>
      </c>
      <c r="M162">
        <v>163</v>
      </c>
      <c r="N162">
        <v>1.77</v>
      </c>
      <c r="O162">
        <f t="shared" si="4"/>
        <v>1</v>
      </c>
      <c r="P162">
        <f t="shared" si="5"/>
        <v>4</v>
      </c>
      <c r="Q162" s="2">
        <v>85</v>
      </c>
      <c r="R162" s="1">
        <v>45747</v>
      </c>
      <c r="S162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111.69000000000003</v>
      </c>
    </row>
    <row r="163" spans="1:19" x14ac:dyDescent="0.3">
      <c r="A163" t="s">
        <v>325</v>
      </c>
      <c r="B163" t="s">
        <v>38</v>
      </c>
      <c r="C163" t="s">
        <v>20</v>
      </c>
      <c r="D163">
        <v>40.753740000000001</v>
      </c>
      <c r="E163">
        <v>-73.996799999999993</v>
      </c>
      <c r="F163" t="s">
        <v>21</v>
      </c>
      <c r="G163">
        <v>2</v>
      </c>
      <c r="H163">
        <v>1</v>
      </c>
      <c r="I163">
        <v>2</v>
      </c>
      <c r="J163">
        <v>2</v>
      </c>
      <c r="K163">
        <v>30</v>
      </c>
      <c r="L163">
        <v>364</v>
      </c>
      <c r="M163">
        <v>68</v>
      </c>
      <c r="N163">
        <v>0.74</v>
      </c>
      <c r="O163">
        <f t="shared" si="4"/>
        <v>0</v>
      </c>
      <c r="P163">
        <f t="shared" si="5"/>
        <v>4</v>
      </c>
      <c r="Q163" s="2">
        <v>200</v>
      </c>
      <c r="R163" s="1">
        <v>45719</v>
      </c>
      <c r="S163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150.15000000000003</v>
      </c>
    </row>
    <row r="164" spans="1:19" x14ac:dyDescent="0.3">
      <c r="A164" t="s">
        <v>326</v>
      </c>
      <c r="B164" t="s">
        <v>242</v>
      </c>
      <c r="C164" t="s">
        <v>31</v>
      </c>
      <c r="D164">
        <v>40.864409999999999</v>
      </c>
      <c r="E164">
        <v>-73.842839999999995</v>
      </c>
      <c r="F164" t="s">
        <v>18</v>
      </c>
      <c r="G164">
        <v>1</v>
      </c>
      <c r="H164">
        <v>1</v>
      </c>
      <c r="I164">
        <v>1</v>
      </c>
      <c r="J164">
        <v>1</v>
      </c>
      <c r="K164">
        <v>30</v>
      </c>
      <c r="L164">
        <v>125</v>
      </c>
      <c r="M164">
        <v>53</v>
      </c>
      <c r="N164">
        <v>0.57999999999999996</v>
      </c>
      <c r="O164">
        <f t="shared" si="4"/>
        <v>1</v>
      </c>
      <c r="P164">
        <f t="shared" si="5"/>
        <v>0</v>
      </c>
      <c r="Q164" s="2">
        <v>58</v>
      </c>
      <c r="R164" s="1">
        <v>45728</v>
      </c>
      <c r="S164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36.510000000000005</v>
      </c>
    </row>
    <row r="165" spans="1:19" x14ac:dyDescent="0.3">
      <c r="A165" t="s">
        <v>327</v>
      </c>
      <c r="B165" t="s">
        <v>73</v>
      </c>
      <c r="C165" t="s">
        <v>30</v>
      </c>
      <c r="D165">
        <v>40.747520000000002</v>
      </c>
      <c r="E165">
        <v>-73.949520000000007</v>
      </c>
      <c r="F165" t="s">
        <v>18</v>
      </c>
      <c r="G165">
        <v>2</v>
      </c>
      <c r="H165">
        <v>1</v>
      </c>
      <c r="I165">
        <v>1</v>
      </c>
      <c r="J165">
        <v>1</v>
      </c>
      <c r="K165">
        <v>7</v>
      </c>
      <c r="L165">
        <v>48</v>
      </c>
      <c r="M165">
        <v>80</v>
      </c>
      <c r="N165">
        <v>0.94</v>
      </c>
      <c r="O165">
        <f t="shared" si="4"/>
        <v>1</v>
      </c>
      <c r="P165">
        <f t="shared" si="5"/>
        <v>0</v>
      </c>
      <c r="Q165" s="2">
        <v>143</v>
      </c>
      <c r="R165" s="1">
        <v>45737</v>
      </c>
      <c r="S165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135.62000000000006</v>
      </c>
    </row>
    <row r="166" spans="1:19" x14ac:dyDescent="0.3">
      <c r="A166" t="s">
        <v>328</v>
      </c>
      <c r="B166" t="s">
        <v>36</v>
      </c>
      <c r="C166" t="s">
        <v>20</v>
      </c>
      <c r="D166">
        <v>40.777810000000002</v>
      </c>
      <c r="E166">
        <v>-73.951560000000001</v>
      </c>
      <c r="F166" t="s">
        <v>21</v>
      </c>
      <c r="G166">
        <v>2</v>
      </c>
      <c r="H166">
        <v>1</v>
      </c>
      <c r="I166">
        <v>0</v>
      </c>
      <c r="J166">
        <v>1</v>
      </c>
      <c r="K166">
        <v>30</v>
      </c>
      <c r="L166">
        <v>86</v>
      </c>
      <c r="M166">
        <v>92</v>
      </c>
      <c r="N166">
        <v>1.01</v>
      </c>
      <c r="O166">
        <f t="shared" si="4"/>
        <v>0</v>
      </c>
      <c r="P166">
        <f t="shared" si="5"/>
        <v>4</v>
      </c>
      <c r="Q166" s="2">
        <v>105</v>
      </c>
      <c r="R166" s="1">
        <v>45746</v>
      </c>
      <c r="S166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161.27000000000004</v>
      </c>
    </row>
    <row r="167" spans="1:19" x14ac:dyDescent="0.3">
      <c r="A167" t="s">
        <v>329</v>
      </c>
      <c r="B167" t="s">
        <v>33</v>
      </c>
      <c r="C167" t="s">
        <v>17</v>
      </c>
      <c r="D167">
        <v>40.67456</v>
      </c>
      <c r="E167">
        <v>-73.979510000000005</v>
      </c>
      <c r="F167" t="s">
        <v>21</v>
      </c>
      <c r="G167">
        <v>4</v>
      </c>
      <c r="H167">
        <v>1</v>
      </c>
      <c r="I167">
        <v>2</v>
      </c>
      <c r="J167">
        <v>2</v>
      </c>
      <c r="K167">
        <v>30</v>
      </c>
      <c r="L167">
        <v>334</v>
      </c>
      <c r="M167">
        <v>125</v>
      </c>
      <c r="N167">
        <v>1.4</v>
      </c>
      <c r="O167">
        <f t="shared" si="4"/>
        <v>0</v>
      </c>
      <c r="P167">
        <f t="shared" si="5"/>
        <v>2</v>
      </c>
      <c r="Q167" s="2">
        <v>190</v>
      </c>
      <c r="R167" s="1">
        <v>45739</v>
      </c>
      <c r="S167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158.85000000000005</v>
      </c>
    </row>
    <row r="168" spans="1:19" x14ac:dyDescent="0.3">
      <c r="A168" t="s">
        <v>330</v>
      </c>
      <c r="B168" t="s">
        <v>27</v>
      </c>
      <c r="C168" t="s">
        <v>17</v>
      </c>
      <c r="D168">
        <v>40.689250000000001</v>
      </c>
      <c r="E168">
        <v>-73.951589999999996</v>
      </c>
      <c r="F168" t="s">
        <v>18</v>
      </c>
      <c r="G168">
        <v>2</v>
      </c>
      <c r="H168">
        <v>1</v>
      </c>
      <c r="I168">
        <v>2</v>
      </c>
      <c r="J168">
        <v>2</v>
      </c>
      <c r="K168">
        <v>2</v>
      </c>
      <c r="L168">
        <v>98</v>
      </c>
      <c r="M168">
        <v>82</v>
      </c>
      <c r="N168">
        <v>0.95</v>
      </c>
      <c r="O168">
        <f t="shared" si="4"/>
        <v>1</v>
      </c>
      <c r="P168">
        <f t="shared" si="5"/>
        <v>2</v>
      </c>
      <c r="Q168" s="2">
        <v>154</v>
      </c>
      <c r="R168" s="1">
        <v>45746</v>
      </c>
      <c r="S168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180.83000000000007</v>
      </c>
    </row>
    <row r="169" spans="1:19" x14ac:dyDescent="0.3">
      <c r="A169" t="s">
        <v>331</v>
      </c>
      <c r="B169" t="s">
        <v>67</v>
      </c>
      <c r="C169" t="s">
        <v>17</v>
      </c>
      <c r="D169">
        <v>40.701790000000003</v>
      </c>
      <c r="E169">
        <v>-73.930030000000002</v>
      </c>
      <c r="F169" t="s">
        <v>18</v>
      </c>
      <c r="G169">
        <v>1</v>
      </c>
      <c r="H169">
        <v>1.5</v>
      </c>
      <c r="I169">
        <v>1</v>
      </c>
      <c r="J169">
        <v>1</v>
      </c>
      <c r="K169">
        <v>30</v>
      </c>
      <c r="L169">
        <v>52</v>
      </c>
      <c r="M169">
        <v>153</v>
      </c>
      <c r="N169">
        <v>1.69</v>
      </c>
      <c r="O169">
        <f t="shared" si="4"/>
        <v>1</v>
      </c>
      <c r="P169">
        <f t="shared" si="5"/>
        <v>2</v>
      </c>
      <c r="Q169" s="2">
        <v>80</v>
      </c>
      <c r="R169" s="1">
        <v>45723</v>
      </c>
      <c r="S169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75.500000000000028</v>
      </c>
    </row>
    <row r="170" spans="1:19" x14ac:dyDescent="0.3">
      <c r="A170" t="s">
        <v>332</v>
      </c>
      <c r="B170" t="s">
        <v>44</v>
      </c>
      <c r="C170" t="s">
        <v>30</v>
      </c>
      <c r="D170">
        <v>40.681069999999998</v>
      </c>
      <c r="E170">
        <v>-73.768780000000007</v>
      </c>
      <c r="F170" t="s">
        <v>21</v>
      </c>
      <c r="G170">
        <v>7</v>
      </c>
      <c r="H170">
        <v>2</v>
      </c>
      <c r="I170">
        <v>3</v>
      </c>
      <c r="J170">
        <v>5</v>
      </c>
      <c r="K170">
        <v>30</v>
      </c>
      <c r="L170">
        <v>180</v>
      </c>
      <c r="M170">
        <v>288</v>
      </c>
      <c r="N170">
        <v>3.19</v>
      </c>
      <c r="O170">
        <f t="shared" si="4"/>
        <v>0</v>
      </c>
      <c r="P170">
        <f t="shared" si="5"/>
        <v>0</v>
      </c>
      <c r="Q170" s="2">
        <v>140</v>
      </c>
      <c r="R170" s="1">
        <v>45723</v>
      </c>
      <c r="S170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202.71000000000004</v>
      </c>
    </row>
    <row r="171" spans="1:19" x14ac:dyDescent="0.3">
      <c r="A171" t="s">
        <v>333</v>
      </c>
      <c r="B171" t="s">
        <v>84</v>
      </c>
      <c r="C171" t="s">
        <v>17</v>
      </c>
      <c r="D171" s="3" t="s">
        <v>334</v>
      </c>
      <c r="E171">
        <v>-73.949431590735898</v>
      </c>
      <c r="F171" t="s">
        <v>18</v>
      </c>
      <c r="G171">
        <v>2</v>
      </c>
      <c r="H171">
        <v>1</v>
      </c>
      <c r="I171">
        <v>1</v>
      </c>
      <c r="J171">
        <v>1</v>
      </c>
      <c r="K171">
        <v>30</v>
      </c>
      <c r="L171">
        <v>265</v>
      </c>
      <c r="M171">
        <v>117</v>
      </c>
      <c r="N171">
        <v>1.34</v>
      </c>
      <c r="O171">
        <f t="shared" si="4"/>
        <v>1</v>
      </c>
      <c r="P171">
        <f t="shared" si="5"/>
        <v>2</v>
      </c>
      <c r="Q171" s="2">
        <v>51</v>
      </c>
      <c r="R171" s="1">
        <v>45735</v>
      </c>
      <c r="S171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80.350000000000023</v>
      </c>
    </row>
    <row r="172" spans="1:19" x14ac:dyDescent="0.3">
      <c r="A172" t="s">
        <v>335</v>
      </c>
      <c r="B172" t="s">
        <v>205</v>
      </c>
      <c r="C172" t="s">
        <v>17</v>
      </c>
      <c r="D172" s="3" t="s">
        <v>336</v>
      </c>
      <c r="E172">
        <v>-73.909805292605199</v>
      </c>
      <c r="F172" t="s">
        <v>18</v>
      </c>
      <c r="G172">
        <v>1</v>
      </c>
      <c r="H172">
        <v>1</v>
      </c>
      <c r="I172">
        <v>1</v>
      </c>
      <c r="J172">
        <v>1</v>
      </c>
      <c r="K172">
        <v>3</v>
      </c>
      <c r="L172">
        <v>349</v>
      </c>
      <c r="M172">
        <v>124</v>
      </c>
      <c r="N172">
        <v>1.39</v>
      </c>
      <c r="O172">
        <f t="shared" si="4"/>
        <v>1</v>
      </c>
      <c r="P172">
        <f t="shared" si="5"/>
        <v>2</v>
      </c>
      <c r="Q172" s="2">
        <v>84</v>
      </c>
      <c r="R172" s="1">
        <v>45739</v>
      </c>
      <c r="S172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148.45999999999998</v>
      </c>
    </row>
    <row r="173" spans="1:19" x14ac:dyDescent="0.3">
      <c r="A173" t="s">
        <v>337</v>
      </c>
      <c r="B173" t="s">
        <v>28</v>
      </c>
      <c r="C173" t="s">
        <v>20</v>
      </c>
      <c r="D173">
        <v>40.806429999999999</v>
      </c>
      <c r="E173">
        <v>-73.949309999999997</v>
      </c>
      <c r="F173" t="s">
        <v>21</v>
      </c>
      <c r="G173">
        <v>2</v>
      </c>
      <c r="H173">
        <v>1</v>
      </c>
      <c r="I173">
        <v>0</v>
      </c>
      <c r="J173">
        <v>1</v>
      </c>
      <c r="K173">
        <v>30</v>
      </c>
      <c r="L173">
        <v>182</v>
      </c>
      <c r="M173">
        <v>32</v>
      </c>
      <c r="N173">
        <v>0.36</v>
      </c>
      <c r="O173">
        <f t="shared" si="4"/>
        <v>0</v>
      </c>
      <c r="P173">
        <f t="shared" si="5"/>
        <v>4</v>
      </c>
      <c r="Q173" s="2">
        <v>75</v>
      </c>
      <c r="R173" s="1">
        <v>45730</v>
      </c>
      <c r="S173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157.43</v>
      </c>
    </row>
    <row r="174" spans="1:19" x14ac:dyDescent="0.3">
      <c r="A174" t="s">
        <v>338</v>
      </c>
      <c r="B174" t="s">
        <v>49</v>
      </c>
      <c r="C174" t="s">
        <v>20</v>
      </c>
      <c r="D174" s="3" t="s">
        <v>339</v>
      </c>
      <c r="E174">
        <v>-73.979278564453097</v>
      </c>
      <c r="F174" t="s">
        <v>21</v>
      </c>
      <c r="G174">
        <v>2</v>
      </c>
      <c r="H174">
        <v>1</v>
      </c>
      <c r="I174">
        <v>1</v>
      </c>
      <c r="J174">
        <v>1</v>
      </c>
      <c r="K174">
        <v>30</v>
      </c>
      <c r="L174">
        <v>331</v>
      </c>
      <c r="M174">
        <v>33</v>
      </c>
      <c r="N174">
        <v>0.37</v>
      </c>
      <c r="O174">
        <f t="shared" si="4"/>
        <v>0</v>
      </c>
      <c r="P174">
        <f t="shared" si="5"/>
        <v>4</v>
      </c>
      <c r="Q174" s="2">
        <v>129</v>
      </c>
      <c r="R174" s="1">
        <v>45718</v>
      </c>
      <c r="S174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151.47000000000003</v>
      </c>
    </row>
    <row r="175" spans="1:19" x14ac:dyDescent="0.3">
      <c r="A175" t="s">
        <v>340</v>
      </c>
      <c r="B175" t="s">
        <v>27</v>
      </c>
      <c r="C175" t="s">
        <v>17</v>
      </c>
      <c r="D175">
        <v>40.695390000000003</v>
      </c>
      <c r="E175">
        <v>-73.949539999999999</v>
      </c>
      <c r="F175" t="s">
        <v>21</v>
      </c>
      <c r="G175">
        <v>1</v>
      </c>
      <c r="H175">
        <v>1</v>
      </c>
      <c r="I175">
        <v>1</v>
      </c>
      <c r="J175">
        <v>1</v>
      </c>
      <c r="K175">
        <v>30</v>
      </c>
      <c r="L175">
        <v>260</v>
      </c>
      <c r="M175">
        <v>113</v>
      </c>
      <c r="N175">
        <v>1.29</v>
      </c>
      <c r="O175">
        <f t="shared" si="4"/>
        <v>0</v>
      </c>
      <c r="P175">
        <f t="shared" si="5"/>
        <v>2</v>
      </c>
      <c r="Q175" s="2">
        <v>127</v>
      </c>
      <c r="R175" s="1">
        <v>45738</v>
      </c>
      <c r="S175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104.87</v>
      </c>
    </row>
    <row r="176" spans="1:19" x14ac:dyDescent="0.3">
      <c r="A176" t="s">
        <v>341</v>
      </c>
      <c r="B176" t="s">
        <v>28</v>
      </c>
      <c r="C176" t="s">
        <v>20</v>
      </c>
      <c r="D176">
        <v>40.828220000000002</v>
      </c>
      <c r="E176">
        <v>-73.942859999999996</v>
      </c>
      <c r="F176" t="s">
        <v>21</v>
      </c>
      <c r="G176">
        <v>2</v>
      </c>
      <c r="H176">
        <v>1</v>
      </c>
      <c r="I176">
        <v>5</v>
      </c>
      <c r="J176">
        <v>1</v>
      </c>
      <c r="K176">
        <v>30</v>
      </c>
      <c r="L176">
        <v>272</v>
      </c>
      <c r="M176">
        <v>418</v>
      </c>
      <c r="N176">
        <v>4.72</v>
      </c>
      <c r="O176">
        <f t="shared" si="4"/>
        <v>0</v>
      </c>
      <c r="P176">
        <f t="shared" si="5"/>
        <v>4</v>
      </c>
      <c r="Q176" s="2">
        <v>104</v>
      </c>
      <c r="R176" s="1">
        <v>45721</v>
      </c>
      <c r="S176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153.83000000000004</v>
      </c>
    </row>
    <row r="177" spans="1:19" x14ac:dyDescent="0.3">
      <c r="A177" t="s">
        <v>342</v>
      </c>
      <c r="B177" t="s">
        <v>16</v>
      </c>
      <c r="C177" t="s">
        <v>17</v>
      </c>
      <c r="D177">
        <v>40.644010000000002</v>
      </c>
      <c r="E177">
        <v>-73.972179999999994</v>
      </c>
      <c r="F177" t="s">
        <v>21</v>
      </c>
      <c r="G177">
        <v>2</v>
      </c>
      <c r="H177">
        <v>1</v>
      </c>
      <c r="I177">
        <v>1</v>
      </c>
      <c r="J177">
        <v>1</v>
      </c>
      <c r="K177">
        <v>30</v>
      </c>
      <c r="L177">
        <v>183</v>
      </c>
      <c r="M177">
        <v>249</v>
      </c>
      <c r="N177">
        <v>2.82</v>
      </c>
      <c r="O177">
        <f t="shared" si="4"/>
        <v>0</v>
      </c>
      <c r="P177">
        <f t="shared" si="5"/>
        <v>2</v>
      </c>
      <c r="Q177" s="2">
        <v>56</v>
      </c>
      <c r="R177" s="1">
        <v>45747</v>
      </c>
      <c r="S177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126.93000000000004</v>
      </c>
    </row>
    <row r="178" spans="1:19" x14ac:dyDescent="0.3">
      <c r="A178" t="s">
        <v>343</v>
      </c>
      <c r="B178" t="s">
        <v>72</v>
      </c>
      <c r="C178" t="s">
        <v>20</v>
      </c>
      <c r="D178">
        <v>40.734920000000002</v>
      </c>
      <c r="E178">
        <v>-73.984539999999996</v>
      </c>
      <c r="F178" t="s">
        <v>18</v>
      </c>
      <c r="G178">
        <v>1</v>
      </c>
      <c r="H178">
        <v>4</v>
      </c>
      <c r="I178">
        <v>1</v>
      </c>
      <c r="J178">
        <v>1</v>
      </c>
      <c r="K178">
        <v>30</v>
      </c>
      <c r="L178">
        <v>300</v>
      </c>
      <c r="M178">
        <v>17</v>
      </c>
      <c r="N178">
        <v>0.2</v>
      </c>
      <c r="O178">
        <f t="shared" si="4"/>
        <v>1</v>
      </c>
      <c r="P178">
        <f t="shared" si="5"/>
        <v>4</v>
      </c>
      <c r="Q178" s="2">
        <v>74</v>
      </c>
      <c r="R178" s="1">
        <v>45746</v>
      </c>
      <c r="S178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124.09</v>
      </c>
    </row>
    <row r="179" spans="1:19" x14ac:dyDescent="0.3">
      <c r="A179" t="s">
        <v>344</v>
      </c>
      <c r="B179" t="s">
        <v>27</v>
      </c>
      <c r="C179" t="s">
        <v>17</v>
      </c>
      <c r="D179">
        <v>40.684950000000001</v>
      </c>
      <c r="E179">
        <v>-73.941310000000001</v>
      </c>
      <c r="F179" t="s">
        <v>21</v>
      </c>
      <c r="G179">
        <v>2</v>
      </c>
      <c r="H179">
        <v>1</v>
      </c>
      <c r="I179">
        <v>1</v>
      </c>
      <c r="J179">
        <v>2</v>
      </c>
      <c r="K179">
        <v>7</v>
      </c>
      <c r="L179">
        <v>224</v>
      </c>
      <c r="M179">
        <v>205</v>
      </c>
      <c r="N179">
        <v>2.3199999999999998</v>
      </c>
      <c r="O179">
        <f t="shared" si="4"/>
        <v>0</v>
      </c>
      <c r="P179">
        <f t="shared" si="5"/>
        <v>2</v>
      </c>
      <c r="Q179" s="2">
        <v>192</v>
      </c>
      <c r="R179" s="1">
        <v>45733</v>
      </c>
      <c r="S179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202.34000000000003</v>
      </c>
    </row>
    <row r="180" spans="1:19" x14ac:dyDescent="0.3">
      <c r="A180" t="s">
        <v>345</v>
      </c>
      <c r="B180" t="s">
        <v>157</v>
      </c>
      <c r="C180" t="s">
        <v>17</v>
      </c>
      <c r="D180">
        <v>40.625079999999997</v>
      </c>
      <c r="E180">
        <v>-73.962549999999993</v>
      </c>
      <c r="F180" t="s">
        <v>21</v>
      </c>
      <c r="G180">
        <v>2</v>
      </c>
      <c r="H180">
        <v>1</v>
      </c>
      <c r="I180">
        <v>1</v>
      </c>
      <c r="J180">
        <v>3</v>
      </c>
      <c r="K180">
        <v>30</v>
      </c>
      <c r="L180">
        <v>299</v>
      </c>
      <c r="M180">
        <v>222</v>
      </c>
      <c r="N180">
        <v>2.5499999999999998</v>
      </c>
      <c r="O180">
        <f t="shared" si="4"/>
        <v>0</v>
      </c>
      <c r="P180">
        <f t="shared" si="5"/>
        <v>2</v>
      </c>
      <c r="Q180" s="2">
        <v>103</v>
      </c>
      <c r="R180" s="1">
        <v>45732</v>
      </c>
      <c r="S180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122.29000000000002</v>
      </c>
    </row>
    <row r="181" spans="1:19" x14ac:dyDescent="0.3">
      <c r="A181" t="s">
        <v>347</v>
      </c>
      <c r="B181" t="s">
        <v>154</v>
      </c>
      <c r="C181" t="s">
        <v>31</v>
      </c>
      <c r="D181">
        <v>40.850709999999999</v>
      </c>
      <c r="E181">
        <v>-73.902410000000003</v>
      </c>
      <c r="F181" t="s">
        <v>18</v>
      </c>
      <c r="G181">
        <v>1</v>
      </c>
      <c r="H181">
        <v>1</v>
      </c>
      <c r="I181">
        <v>1</v>
      </c>
      <c r="J181">
        <v>1</v>
      </c>
      <c r="K181">
        <v>30</v>
      </c>
      <c r="L181">
        <v>60</v>
      </c>
      <c r="M181">
        <v>49</v>
      </c>
      <c r="N181">
        <v>0.56000000000000005</v>
      </c>
      <c r="O181">
        <f t="shared" si="4"/>
        <v>1</v>
      </c>
      <c r="P181">
        <f t="shared" si="5"/>
        <v>0</v>
      </c>
      <c r="Q181" s="2">
        <v>55</v>
      </c>
      <c r="R181" s="1">
        <v>45747</v>
      </c>
      <c r="S181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39.11</v>
      </c>
    </row>
    <row r="182" spans="1:19" x14ac:dyDescent="0.3">
      <c r="A182" t="s">
        <v>348</v>
      </c>
      <c r="B182" t="s">
        <v>27</v>
      </c>
      <c r="C182" t="s">
        <v>17</v>
      </c>
      <c r="D182">
        <v>40.688200000000002</v>
      </c>
      <c r="E182">
        <v>-73.936359999999993</v>
      </c>
      <c r="F182" t="s">
        <v>21</v>
      </c>
      <c r="G182">
        <v>4</v>
      </c>
      <c r="H182">
        <v>1</v>
      </c>
      <c r="I182">
        <v>2</v>
      </c>
      <c r="J182">
        <v>2</v>
      </c>
      <c r="K182">
        <v>30</v>
      </c>
      <c r="L182">
        <v>217</v>
      </c>
      <c r="M182">
        <v>133</v>
      </c>
      <c r="N182">
        <v>1.54</v>
      </c>
      <c r="O182">
        <f t="shared" si="4"/>
        <v>0</v>
      </c>
      <c r="P182">
        <f t="shared" si="5"/>
        <v>2</v>
      </c>
      <c r="Q182" s="2">
        <v>130</v>
      </c>
      <c r="R182" s="1">
        <v>45738</v>
      </c>
      <c r="S182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163.53000000000003</v>
      </c>
    </row>
    <row r="183" spans="1:19" x14ac:dyDescent="0.3">
      <c r="A183" t="s">
        <v>349</v>
      </c>
      <c r="B183" t="s">
        <v>23</v>
      </c>
      <c r="C183" t="s">
        <v>17</v>
      </c>
      <c r="D183">
        <v>40.712159999999997</v>
      </c>
      <c r="E183">
        <v>-73.951549999999997</v>
      </c>
      <c r="F183" t="s">
        <v>21</v>
      </c>
      <c r="G183">
        <v>1</v>
      </c>
      <c r="H183">
        <v>1</v>
      </c>
      <c r="I183">
        <v>0</v>
      </c>
      <c r="J183">
        <v>1</v>
      </c>
      <c r="K183">
        <v>30</v>
      </c>
      <c r="L183">
        <v>62</v>
      </c>
      <c r="M183">
        <v>197</v>
      </c>
      <c r="N183">
        <v>2.25</v>
      </c>
      <c r="O183">
        <f t="shared" si="4"/>
        <v>0</v>
      </c>
      <c r="P183">
        <f t="shared" si="5"/>
        <v>2</v>
      </c>
      <c r="Q183" s="2">
        <v>110</v>
      </c>
      <c r="R183" s="1">
        <v>45728</v>
      </c>
      <c r="S183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112.78999999999999</v>
      </c>
    </row>
    <row r="184" spans="1:19" x14ac:dyDescent="0.3">
      <c r="A184" t="s">
        <v>350</v>
      </c>
      <c r="B184" t="s">
        <v>27</v>
      </c>
      <c r="C184" t="s">
        <v>17</v>
      </c>
      <c r="D184">
        <v>40.678080000000001</v>
      </c>
      <c r="E184">
        <v>-73.909859999999995</v>
      </c>
      <c r="F184" t="s">
        <v>21</v>
      </c>
      <c r="G184">
        <v>2</v>
      </c>
      <c r="H184">
        <v>1</v>
      </c>
      <c r="I184">
        <v>1</v>
      </c>
      <c r="J184">
        <v>2</v>
      </c>
      <c r="K184">
        <v>30</v>
      </c>
      <c r="L184">
        <v>95</v>
      </c>
      <c r="M184">
        <v>87</v>
      </c>
      <c r="N184">
        <v>1.01</v>
      </c>
      <c r="O184">
        <f t="shared" si="4"/>
        <v>0</v>
      </c>
      <c r="P184">
        <f t="shared" si="5"/>
        <v>2</v>
      </c>
      <c r="Q184" s="2">
        <v>100</v>
      </c>
      <c r="R184" s="1">
        <v>45730</v>
      </c>
      <c r="S184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130.45000000000002</v>
      </c>
    </row>
    <row r="185" spans="1:19" x14ac:dyDescent="0.3">
      <c r="A185" t="s">
        <v>351</v>
      </c>
      <c r="B185" t="s">
        <v>27</v>
      </c>
      <c r="C185" t="s">
        <v>17</v>
      </c>
      <c r="D185">
        <v>40.684190000000001</v>
      </c>
      <c r="E185">
        <v>-73.93065</v>
      </c>
      <c r="F185" t="s">
        <v>21</v>
      </c>
      <c r="G185">
        <v>3</v>
      </c>
      <c r="H185">
        <v>1</v>
      </c>
      <c r="I185">
        <v>1</v>
      </c>
      <c r="J185">
        <v>2</v>
      </c>
      <c r="K185">
        <v>30</v>
      </c>
      <c r="L185">
        <v>114</v>
      </c>
      <c r="M185">
        <v>153</v>
      </c>
      <c r="N185">
        <v>1.76</v>
      </c>
      <c r="O185">
        <f t="shared" si="4"/>
        <v>0</v>
      </c>
      <c r="P185">
        <f t="shared" si="5"/>
        <v>2</v>
      </c>
      <c r="Q185" s="2">
        <v>145</v>
      </c>
      <c r="R185" s="1">
        <v>45723</v>
      </c>
      <c r="S185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148.67000000000002</v>
      </c>
    </row>
    <row r="186" spans="1:19" x14ac:dyDescent="0.3">
      <c r="A186" t="s">
        <v>352</v>
      </c>
      <c r="B186" t="s">
        <v>27</v>
      </c>
      <c r="C186" t="s">
        <v>17</v>
      </c>
      <c r="D186">
        <v>40.692790000000002</v>
      </c>
      <c r="E186">
        <v>-73.944829999999996</v>
      </c>
      <c r="F186" t="s">
        <v>21</v>
      </c>
      <c r="G186">
        <v>5</v>
      </c>
      <c r="H186">
        <v>2</v>
      </c>
      <c r="I186">
        <v>3</v>
      </c>
      <c r="J186">
        <v>2</v>
      </c>
      <c r="K186">
        <v>30</v>
      </c>
      <c r="L186">
        <v>288</v>
      </c>
      <c r="M186">
        <v>5</v>
      </c>
      <c r="N186">
        <v>0.06</v>
      </c>
      <c r="O186">
        <f t="shared" si="4"/>
        <v>0</v>
      </c>
      <c r="P186">
        <f t="shared" si="5"/>
        <v>2</v>
      </c>
      <c r="Q186" s="2">
        <v>250</v>
      </c>
      <c r="R186" s="1">
        <v>45747</v>
      </c>
      <c r="S186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190.89000000000004</v>
      </c>
    </row>
    <row r="187" spans="1:19" x14ac:dyDescent="0.3">
      <c r="A187" t="s">
        <v>353</v>
      </c>
      <c r="B187" t="s">
        <v>36</v>
      </c>
      <c r="C187" t="s">
        <v>20</v>
      </c>
      <c r="D187">
        <v>40.76417</v>
      </c>
      <c r="E187">
        <v>-73.967429999999993</v>
      </c>
      <c r="F187" t="s">
        <v>21</v>
      </c>
      <c r="G187">
        <v>2</v>
      </c>
      <c r="H187">
        <v>1</v>
      </c>
      <c r="I187">
        <v>1</v>
      </c>
      <c r="J187">
        <v>2</v>
      </c>
      <c r="K187">
        <v>30</v>
      </c>
      <c r="L187">
        <v>120</v>
      </c>
      <c r="M187">
        <v>11</v>
      </c>
      <c r="N187">
        <v>0.13</v>
      </c>
      <c r="O187">
        <f t="shared" si="4"/>
        <v>0</v>
      </c>
      <c r="P187">
        <f t="shared" si="5"/>
        <v>4</v>
      </c>
      <c r="Q187" s="2">
        <v>173</v>
      </c>
      <c r="R187" s="1">
        <v>45743</v>
      </c>
      <c r="S187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159.91000000000003</v>
      </c>
    </row>
    <row r="188" spans="1:19" x14ac:dyDescent="0.3">
      <c r="A188" t="s">
        <v>354</v>
      </c>
      <c r="B188" t="s">
        <v>27</v>
      </c>
      <c r="C188" t="s">
        <v>17</v>
      </c>
      <c r="D188">
        <v>40.682780000000001</v>
      </c>
      <c r="E188">
        <v>-73.953010000000006</v>
      </c>
      <c r="F188" t="s">
        <v>21</v>
      </c>
      <c r="G188">
        <v>2</v>
      </c>
      <c r="H188">
        <v>1</v>
      </c>
      <c r="I188">
        <v>1</v>
      </c>
      <c r="J188">
        <v>2</v>
      </c>
      <c r="K188">
        <v>30</v>
      </c>
      <c r="L188">
        <v>82</v>
      </c>
      <c r="M188">
        <v>18</v>
      </c>
      <c r="N188">
        <v>0.26</v>
      </c>
      <c r="O188">
        <f t="shared" si="4"/>
        <v>0</v>
      </c>
      <c r="P188">
        <f t="shared" si="5"/>
        <v>2</v>
      </c>
      <c r="Q188" s="2">
        <v>80</v>
      </c>
      <c r="R188" s="1">
        <v>45745</v>
      </c>
      <c r="S188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130.97000000000003</v>
      </c>
    </row>
    <row r="189" spans="1:19" x14ac:dyDescent="0.3">
      <c r="A189" t="s">
        <v>355</v>
      </c>
      <c r="B189" t="s">
        <v>82</v>
      </c>
      <c r="C189" t="s">
        <v>30</v>
      </c>
      <c r="D189">
        <v>40.754959999999997</v>
      </c>
      <c r="E189">
        <v>-73.902090000000001</v>
      </c>
      <c r="F189" t="s">
        <v>21</v>
      </c>
      <c r="G189">
        <v>4</v>
      </c>
      <c r="H189">
        <v>2</v>
      </c>
      <c r="I189">
        <v>2</v>
      </c>
      <c r="J189">
        <v>2</v>
      </c>
      <c r="K189">
        <v>30</v>
      </c>
      <c r="L189">
        <v>71</v>
      </c>
      <c r="M189">
        <v>11</v>
      </c>
      <c r="N189">
        <v>0.31</v>
      </c>
      <c r="O189">
        <f t="shared" si="4"/>
        <v>0</v>
      </c>
      <c r="P189">
        <f t="shared" si="5"/>
        <v>0</v>
      </c>
      <c r="Q189" s="2">
        <v>150</v>
      </c>
      <c r="R189" s="1">
        <v>45747</v>
      </c>
      <c r="S189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150.13000000000002</v>
      </c>
    </row>
    <row r="190" spans="1:19" x14ac:dyDescent="0.3">
      <c r="A190" t="s">
        <v>346</v>
      </c>
      <c r="B190" t="s">
        <v>72</v>
      </c>
      <c r="C190" t="s">
        <v>20</v>
      </c>
      <c r="D190">
        <v>40.73556</v>
      </c>
      <c r="E190">
        <v>-73.985299999999995</v>
      </c>
      <c r="F190" t="s">
        <v>18</v>
      </c>
      <c r="G190">
        <v>1</v>
      </c>
      <c r="H190">
        <v>4</v>
      </c>
      <c r="I190">
        <v>1</v>
      </c>
      <c r="J190">
        <v>1</v>
      </c>
      <c r="K190">
        <v>30</v>
      </c>
      <c r="L190">
        <v>358</v>
      </c>
      <c r="M190">
        <v>11</v>
      </c>
      <c r="N190">
        <v>0.16</v>
      </c>
      <c r="O190">
        <f t="shared" si="4"/>
        <v>1</v>
      </c>
      <c r="P190">
        <f t="shared" si="5"/>
        <v>4</v>
      </c>
      <c r="Q190" s="2">
        <v>76</v>
      </c>
      <c r="R190" s="1">
        <v>45724</v>
      </c>
      <c r="S190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121.77000000000001</v>
      </c>
    </row>
    <row r="191" spans="1:19" x14ac:dyDescent="0.3">
      <c r="A191" t="s">
        <v>357</v>
      </c>
      <c r="B191" t="s">
        <v>23</v>
      </c>
      <c r="C191" t="s">
        <v>17</v>
      </c>
      <c r="D191">
        <v>40.711480000000002</v>
      </c>
      <c r="E191">
        <v>-73.942490000000006</v>
      </c>
      <c r="F191" t="s">
        <v>18</v>
      </c>
      <c r="G191">
        <v>2</v>
      </c>
      <c r="H191">
        <v>1</v>
      </c>
      <c r="I191">
        <v>1</v>
      </c>
      <c r="J191">
        <v>1</v>
      </c>
      <c r="K191">
        <v>30</v>
      </c>
      <c r="L191">
        <v>239</v>
      </c>
      <c r="M191">
        <v>40</v>
      </c>
      <c r="N191">
        <v>0.47</v>
      </c>
      <c r="O191">
        <f t="shared" si="4"/>
        <v>1</v>
      </c>
      <c r="P191">
        <f t="shared" si="5"/>
        <v>2</v>
      </c>
      <c r="Q191" s="2">
        <v>112</v>
      </c>
      <c r="R191" s="1">
        <v>45721</v>
      </c>
      <c r="S191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81.390000000000015</v>
      </c>
    </row>
    <row r="192" spans="1:19" x14ac:dyDescent="0.3">
      <c r="A192" t="s">
        <v>358</v>
      </c>
      <c r="B192" t="s">
        <v>29</v>
      </c>
      <c r="C192" t="s">
        <v>30</v>
      </c>
      <c r="D192">
        <v>40.702269999999999</v>
      </c>
      <c r="E192">
        <v>-73.904110000000003</v>
      </c>
      <c r="F192" t="s">
        <v>21</v>
      </c>
      <c r="G192">
        <v>2</v>
      </c>
      <c r="H192">
        <v>1</v>
      </c>
      <c r="I192">
        <v>1</v>
      </c>
      <c r="J192">
        <v>1</v>
      </c>
      <c r="K192">
        <v>30</v>
      </c>
      <c r="L192">
        <v>144</v>
      </c>
      <c r="M192">
        <v>55</v>
      </c>
      <c r="N192">
        <v>0.65</v>
      </c>
      <c r="O192">
        <f t="shared" si="4"/>
        <v>0</v>
      </c>
      <c r="P192">
        <f t="shared" si="5"/>
        <v>0</v>
      </c>
      <c r="Q192" s="2">
        <v>119</v>
      </c>
      <c r="R192" s="1">
        <v>45717</v>
      </c>
      <c r="S192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98.030000000000015</v>
      </c>
    </row>
    <row r="193" spans="1:19" x14ac:dyDescent="0.3">
      <c r="A193" t="s">
        <v>360</v>
      </c>
      <c r="B193" t="s">
        <v>157</v>
      </c>
      <c r="C193" t="s">
        <v>17</v>
      </c>
      <c r="D193">
        <v>40.616039999999998</v>
      </c>
      <c r="E193">
        <v>-73.952259999999995</v>
      </c>
      <c r="F193" t="s">
        <v>21</v>
      </c>
      <c r="G193">
        <v>2</v>
      </c>
      <c r="H193">
        <v>1</v>
      </c>
      <c r="I193">
        <v>1</v>
      </c>
      <c r="J193">
        <v>2</v>
      </c>
      <c r="K193">
        <v>30</v>
      </c>
      <c r="L193">
        <v>106</v>
      </c>
      <c r="M193">
        <v>77</v>
      </c>
      <c r="N193">
        <v>0.91</v>
      </c>
      <c r="O193">
        <f t="shared" si="4"/>
        <v>0</v>
      </c>
      <c r="P193">
        <f t="shared" si="5"/>
        <v>2</v>
      </c>
      <c r="Q193" s="2">
        <v>75</v>
      </c>
      <c r="R193" s="1">
        <v>45733</v>
      </c>
      <c r="S193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130.01000000000002</v>
      </c>
    </row>
    <row r="194" spans="1:19" x14ac:dyDescent="0.3">
      <c r="A194" t="s">
        <v>361</v>
      </c>
      <c r="B194" t="s">
        <v>23</v>
      </c>
      <c r="C194" t="s">
        <v>17</v>
      </c>
      <c r="D194">
        <v>40.71555</v>
      </c>
      <c r="E194">
        <v>-73.953469999999996</v>
      </c>
      <c r="F194" t="s">
        <v>21</v>
      </c>
      <c r="G194">
        <v>2</v>
      </c>
      <c r="H194">
        <v>1</v>
      </c>
      <c r="I194">
        <v>1</v>
      </c>
      <c r="J194">
        <v>1</v>
      </c>
      <c r="K194">
        <v>30</v>
      </c>
      <c r="L194">
        <v>305</v>
      </c>
      <c r="M194">
        <v>21</v>
      </c>
      <c r="N194">
        <v>0.26</v>
      </c>
      <c r="O194">
        <f t="shared" si="4"/>
        <v>0</v>
      </c>
      <c r="P194">
        <f t="shared" si="5"/>
        <v>2</v>
      </c>
      <c r="Q194" s="2">
        <v>280</v>
      </c>
      <c r="R194" s="1">
        <v>45747</v>
      </c>
      <c r="S194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122.05000000000001</v>
      </c>
    </row>
    <row r="195" spans="1:19" x14ac:dyDescent="0.3">
      <c r="A195" t="s">
        <v>362</v>
      </c>
      <c r="B195" t="s">
        <v>264</v>
      </c>
      <c r="C195" t="s">
        <v>30</v>
      </c>
      <c r="D195" s="3" t="s">
        <v>363</v>
      </c>
      <c r="E195">
        <v>-73.754622093630502</v>
      </c>
      <c r="F195" t="s">
        <v>21</v>
      </c>
      <c r="G195">
        <v>4</v>
      </c>
      <c r="H195">
        <v>1</v>
      </c>
      <c r="I195">
        <v>2</v>
      </c>
      <c r="J195">
        <v>2</v>
      </c>
      <c r="K195">
        <v>3</v>
      </c>
      <c r="L195">
        <v>321</v>
      </c>
      <c r="M195">
        <v>82</v>
      </c>
      <c r="N195">
        <v>1.01</v>
      </c>
      <c r="O195">
        <f t="shared" ref="O195:O258" si="6">IF(F195="Private room",1,0)</f>
        <v>0</v>
      </c>
      <c r="P195">
        <f t="shared" ref="P195:P258" si="7">IF(C195="Manhattan",4,IF(C195="Brooklyn",2,0))</f>
        <v>0</v>
      </c>
      <c r="Q195" s="2">
        <v>142</v>
      </c>
      <c r="R195" s="1">
        <v>45744</v>
      </c>
      <c r="S195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219.36</v>
      </c>
    </row>
    <row r="196" spans="1:19" x14ac:dyDescent="0.3">
      <c r="A196" t="s">
        <v>364</v>
      </c>
      <c r="B196" t="s">
        <v>23</v>
      </c>
      <c r="C196" t="s">
        <v>17</v>
      </c>
      <c r="D196">
        <v>40.7119</v>
      </c>
      <c r="E196">
        <v>-73.941559999999996</v>
      </c>
      <c r="F196" t="s">
        <v>21</v>
      </c>
      <c r="G196">
        <v>4</v>
      </c>
      <c r="H196">
        <v>1.5</v>
      </c>
      <c r="I196">
        <v>2</v>
      </c>
      <c r="J196">
        <v>2</v>
      </c>
      <c r="K196">
        <v>30</v>
      </c>
      <c r="L196">
        <v>100</v>
      </c>
      <c r="M196">
        <v>28</v>
      </c>
      <c r="N196">
        <v>0.33</v>
      </c>
      <c r="O196">
        <f t="shared" si="6"/>
        <v>0</v>
      </c>
      <c r="P196">
        <f t="shared" si="7"/>
        <v>2</v>
      </c>
      <c r="Q196" s="2">
        <v>147</v>
      </c>
      <c r="R196" s="1">
        <v>45747</v>
      </c>
      <c r="S196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173.82000000000005</v>
      </c>
    </row>
    <row r="197" spans="1:19" x14ac:dyDescent="0.3">
      <c r="A197" t="s">
        <v>365</v>
      </c>
      <c r="B197" t="s">
        <v>32</v>
      </c>
      <c r="C197" t="s">
        <v>20</v>
      </c>
      <c r="D197">
        <v>40.814278000000002</v>
      </c>
      <c r="E197">
        <v>-73.960257999999996</v>
      </c>
      <c r="F197" t="s">
        <v>21</v>
      </c>
      <c r="G197">
        <v>4</v>
      </c>
      <c r="H197">
        <v>1</v>
      </c>
      <c r="I197">
        <v>3</v>
      </c>
      <c r="J197">
        <v>4</v>
      </c>
      <c r="K197">
        <v>30</v>
      </c>
      <c r="L197">
        <v>331</v>
      </c>
      <c r="M197">
        <v>3</v>
      </c>
      <c r="N197">
        <v>0.05</v>
      </c>
      <c r="O197">
        <f t="shared" si="6"/>
        <v>0</v>
      </c>
      <c r="P197">
        <f t="shared" si="7"/>
        <v>4</v>
      </c>
      <c r="Q197" s="2">
        <v>98</v>
      </c>
      <c r="R197" s="1">
        <v>45730</v>
      </c>
      <c r="S197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189.43</v>
      </c>
    </row>
    <row r="198" spans="1:19" x14ac:dyDescent="0.3">
      <c r="A198" t="s">
        <v>366</v>
      </c>
      <c r="B198" t="s">
        <v>27</v>
      </c>
      <c r="C198" t="s">
        <v>17</v>
      </c>
      <c r="D198">
        <v>40.683329999999998</v>
      </c>
      <c r="E198">
        <v>-73.958330000000004</v>
      </c>
      <c r="F198" t="s">
        <v>21</v>
      </c>
      <c r="G198">
        <v>4</v>
      </c>
      <c r="H198">
        <v>2</v>
      </c>
      <c r="I198">
        <v>2</v>
      </c>
      <c r="J198">
        <v>2</v>
      </c>
      <c r="K198">
        <v>30</v>
      </c>
      <c r="L198">
        <v>338</v>
      </c>
      <c r="M198">
        <v>16</v>
      </c>
      <c r="N198">
        <v>0.19</v>
      </c>
      <c r="O198">
        <f t="shared" si="6"/>
        <v>0</v>
      </c>
      <c r="P198">
        <f t="shared" si="7"/>
        <v>2</v>
      </c>
      <c r="Q198" s="2">
        <v>252</v>
      </c>
      <c r="R198" s="1">
        <v>45719</v>
      </c>
      <c r="S198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169.91000000000003</v>
      </c>
    </row>
    <row r="199" spans="1:19" x14ac:dyDescent="0.3">
      <c r="A199" t="s">
        <v>367</v>
      </c>
      <c r="B199" t="s">
        <v>67</v>
      </c>
      <c r="C199" t="s">
        <v>17</v>
      </c>
      <c r="D199">
        <v>40.687359999999998</v>
      </c>
      <c r="E199">
        <v>-73.914450000000002</v>
      </c>
      <c r="F199" t="s">
        <v>21</v>
      </c>
      <c r="G199">
        <v>2</v>
      </c>
      <c r="H199">
        <v>1</v>
      </c>
      <c r="I199">
        <v>1</v>
      </c>
      <c r="J199">
        <v>1</v>
      </c>
      <c r="K199">
        <v>30</v>
      </c>
      <c r="L199">
        <v>129</v>
      </c>
      <c r="M199">
        <v>53</v>
      </c>
      <c r="N199">
        <v>1.38</v>
      </c>
      <c r="O199">
        <f t="shared" si="6"/>
        <v>0</v>
      </c>
      <c r="P199">
        <f t="shared" si="7"/>
        <v>2</v>
      </c>
      <c r="Q199" s="2">
        <v>77</v>
      </c>
      <c r="R199" s="1">
        <v>45747</v>
      </c>
      <c r="S199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129.09000000000003</v>
      </c>
    </row>
    <row r="200" spans="1:19" x14ac:dyDescent="0.3">
      <c r="A200" t="s">
        <v>368</v>
      </c>
      <c r="B200" t="s">
        <v>66</v>
      </c>
      <c r="C200" t="s">
        <v>30</v>
      </c>
      <c r="D200">
        <v>40.741039999999998</v>
      </c>
      <c r="E200">
        <v>-73.926360000000003</v>
      </c>
      <c r="F200" t="s">
        <v>18</v>
      </c>
      <c r="G200">
        <v>1</v>
      </c>
      <c r="H200">
        <v>1</v>
      </c>
      <c r="I200">
        <v>1</v>
      </c>
      <c r="J200">
        <v>1</v>
      </c>
      <c r="K200">
        <v>30</v>
      </c>
      <c r="L200">
        <v>150</v>
      </c>
      <c r="M200">
        <v>55</v>
      </c>
      <c r="N200">
        <v>0.65</v>
      </c>
      <c r="O200">
        <f t="shared" si="6"/>
        <v>1</v>
      </c>
      <c r="P200">
        <f t="shared" si="7"/>
        <v>0</v>
      </c>
      <c r="Q200" s="2">
        <v>50</v>
      </c>
      <c r="R200" s="1">
        <v>45735</v>
      </c>
      <c r="S200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35.510000000000005</v>
      </c>
    </row>
    <row r="201" spans="1:19" x14ac:dyDescent="0.3">
      <c r="A201" t="s">
        <v>369</v>
      </c>
      <c r="B201" t="s">
        <v>134</v>
      </c>
      <c r="C201" t="s">
        <v>30</v>
      </c>
      <c r="D201">
        <v>40.721829999999997</v>
      </c>
      <c r="E201">
        <v>-73.736069999999998</v>
      </c>
      <c r="F201" t="s">
        <v>21</v>
      </c>
      <c r="G201">
        <v>2</v>
      </c>
      <c r="H201">
        <v>1</v>
      </c>
      <c r="I201">
        <v>1</v>
      </c>
      <c r="J201">
        <v>1</v>
      </c>
      <c r="K201">
        <v>30</v>
      </c>
      <c r="L201">
        <v>122</v>
      </c>
      <c r="M201">
        <v>73</v>
      </c>
      <c r="N201">
        <v>0.87</v>
      </c>
      <c r="O201">
        <f t="shared" si="6"/>
        <v>0</v>
      </c>
      <c r="P201">
        <f t="shared" si="7"/>
        <v>0</v>
      </c>
      <c r="Q201" s="2">
        <v>139</v>
      </c>
      <c r="R201" s="1">
        <v>45747</v>
      </c>
      <c r="S201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98.910000000000025</v>
      </c>
    </row>
    <row r="202" spans="1:19" x14ac:dyDescent="0.3">
      <c r="A202" t="s">
        <v>370</v>
      </c>
      <c r="B202" t="s">
        <v>49</v>
      </c>
      <c r="C202" t="s">
        <v>20</v>
      </c>
      <c r="D202" s="3" t="s">
        <v>359</v>
      </c>
      <c r="E202">
        <v>-73.9798583984375</v>
      </c>
      <c r="F202" t="s">
        <v>21</v>
      </c>
      <c r="G202">
        <v>2</v>
      </c>
      <c r="H202">
        <v>1</v>
      </c>
      <c r="I202">
        <v>0</v>
      </c>
      <c r="J202">
        <v>1</v>
      </c>
      <c r="K202">
        <v>30</v>
      </c>
      <c r="L202">
        <v>275</v>
      </c>
      <c r="M202">
        <v>19</v>
      </c>
      <c r="N202">
        <v>0.25</v>
      </c>
      <c r="O202">
        <f t="shared" si="6"/>
        <v>0</v>
      </c>
      <c r="P202">
        <f t="shared" si="7"/>
        <v>4</v>
      </c>
      <c r="Q202" s="2">
        <v>120</v>
      </c>
      <c r="R202" s="1">
        <v>45736</v>
      </c>
      <c r="S202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153.71000000000004</v>
      </c>
    </row>
    <row r="203" spans="1:19" x14ac:dyDescent="0.3">
      <c r="A203" t="s">
        <v>372</v>
      </c>
      <c r="B203" t="s">
        <v>84</v>
      </c>
      <c r="C203" t="s">
        <v>17</v>
      </c>
      <c r="D203">
        <v>40.661560000000001</v>
      </c>
      <c r="E203">
        <v>-73.959019999999995</v>
      </c>
      <c r="F203" t="s">
        <v>21</v>
      </c>
      <c r="G203">
        <v>3</v>
      </c>
      <c r="H203">
        <v>1</v>
      </c>
      <c r="I203">
        <v>0</v>
      </c>
      <c r="J203">
        <v>2</v>
      </c>
      <c r="K203">
        <v>30</v>
      </c>
      <c r="L203">
        <v>260</v>
      </c>
      <c r="M203">
        <v>97</v>
      </c>
      <c r="N203">
        <v>1.17</v>
      </c>
      <c r="O203">
        <f t="shared" si="6"/>
        <v>0</v>
      </c>
      <c r="P203">
        <f t="shared" si="7"/>
        <v>2</v>
      </c>
      <c r="Q203" s="2">
        <v>139</v>
      </c>
      <c r="R203" s="1">
        <v>45746</v>
      </c>
      <c r="S203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142.83000000000001</v>
      </c>
    </row>
    <row r="204" spans="1:19" x14ac:dyDescent="0.3">
      <c r="A204" t="s">
        <v>373</v>
      </c>
      <c r="B204" t="s">
        <v>27</v>
      </c>
      <c r="C204" t="s">
        <v>17</v>
      </c>
      <c r="D204">
        <v>40.695700000000002</v>
      </c>
      <c r="E204">
        <v>-73.934880000000007</v>
      </c>
      <c r="F204" t="s">
        <v>18</v>
      </c>
      <c r="G204">
        <v>2</v>
      </c>
      <c r="H204">
        <v>1</v>
      </c>
      <c r="I204">
        <v>1</v>
      </c>
      <c r="J204">
        <v>1</v>
      </c>
      <c r="K204">
        <v>5</v>
      </c>
      <c r="L204">
        <v>36</v>
      </c>
      <c r="M204">
        <v>143</v>
      </c>
      <c r="N204">
        <v>1.73</v>
      </c>
      <c r="O204">
        <f t="shared" si="6"/>
        <v>1</v>
      </c>
      <c r="P204">
        <f t="shared" si="7"/>
        <v>2</v>
      </c>
      <c r="Q204" s="2">
        <v>186</v>
      </c>
      <c r="R204" s="1">
        <v>45736</v>
      </c>
      <c r="S204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173.26000000000002</v>
      </c>
    </row>
    <row r="205" spans="1:19" x14ac:dyDescent="0.3">
      <c r="A205" t="s">
        <v>374</v>
      </c>
      <c r="B205" t="s">
        <v>56</v>
      </c>
      <c r="C205" t="s">
        <v>17</v>
      </c>
      <c r="D205" s="3" t="s">
        <v>375</v>
      </c>
      <c r="E205">
        <v>-73.946116887862502</v>
      </c>
      <c r="F205" t="s">
        <v>18</v>
      </c>
      <c r="G205">
        <v>2</v>
      </c>
      <c r="H205">
        <v>1</v>
      </c>
      <c r="I205">
        <v>2</v>
      </c>
      <c r="J205">
        <v>2</v>
      </c>
      <c r="K205">
        <v>7</v>
      </c>
      <c r="L205">
        <v>170</v>
      </c>
      <c r="M205">
        <v>96</v>
      </c>
      <c r="N205">
        <v>1.18</v>
      </c>
      <c r="O205">
        <f t="shared" si="6"/>
        <v>1</v>
      </c>
      <c r="P205">
        <f t="shared" si="7"/>
        <v>2</v>
      </c>
      <c r="Q205" s="2">
        <v>191</v>
      </c>
      <c r="R205" s="1">
        <v>45737</v>
      </c>
      <c r="S205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161.20000000000002</v>
      </c>
    </row>
    <row r="206" spans="1:19" x14ac:dyDescent="0.3">
      <c r="A206" t="s">
        <v>376</v>
      </c>
      <c r="B206" t="s">
        <v>137</v>
      </c>
      <c r="C206" t="s">
        <v>31</v>
      </c>
      <c r="D206">
        <v>40.836739999999999</v>
      </c>
      <c r="E206">
        <v>-73.858270000000005</v>
      </c>
      <c r="F206" t="s">
        <v>18</v>
      </c>
      <c r="G206">
        <v>2</v>
      </c>
      <c r="H206">
        <v>1</v>
      </c>
      <c r="I206">
        <v>1</v>
      </c>
      <c r="J206">
        <v>1</v>
      </c>
      <c r="K206">
        <v>30</v>
      </c>
      <c r="L206">
        <v>334</v>
      </c>
      <c r="M206">
        <v>102</v>
      </c>
      <c r="N206">
        <v>1.24</v>
      </c>
      <c r="O206">
        <f t="shared" si="6"/>
        <v>1</v>
      </c>
      <c r="P206">
        <f t="shared" si="7"/>
        <v>0</v>
      </c>
      <c r="Q206" s="2">
        <v>50</v>
      </c>
      <c r="R206" s="1">
        <v>45747</v>
      </c>
      <c r="S206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47.130000000000024</v>
      </c>
    </row>
    <row r="207" spans="1:19" x14ac:dyDescent="0.3">
      <c r="A207" t="s">
        <v>378</v>
      </c>
      <c r="B207" t="s">
        <v>242</v>
      </c>
      <c r="C207" t="s">
        <v>31</v>
      </c>
      <c r="D207">
        <v>40.861499999999999</v>
      </c>
      <c r="E207">
        <v>-73.83775</v>
      </c>
      <c r="F207" t="s">
        <v>21</v>
      </c>
      <c r="G207">
        <v>6</v>
      </c>
      <c r="H207">
        <v>1</v>
      </c>
      <c r="I207">
        <v>2</v>
      </c>
      <c r="J207">
        <v>4</v>
      </c>
      <c r="K207">
        <v>30</v>
      </c>
      <c r="L207">
        <v>202</v>
      </c>
      <c r="M207">
        <v>143</v>
      </c>
      <c r="N207">
        <v>1.73</v>
      </c>
      <c r="O207">
        <f t="shared" si="6"/>
        <v>0</v>
      </c>
      <c r="P207">
        <f t="shared" si="7"/>
        <v>0</v>
      </c>
      <c r="Q207" s="2">
        <v>146</v>
      </c>
      <c r="R207" s="1">
        <v>45741</v>
      </c>
      <c r="S207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171.63000000000002</v>
      </c>
    </row>
    <row r="208" spans="1:19" x14ac:dyDescent="0.3">
      <c r="A208" t="s">
        <v>380</v>
      </c>
      <c r="B208" t="s">
        <v>67</v>
      </c>
      <c r="C208" t="s">
        <v>17</v>
      </c>
      <c r="D208">
        <v>40.694980000000001</v>
      </c>
      <c r="E208">
        <v>-73.922579999999996</v>
      </c>
      <c r="F208" t="s">
        <v>21</v>
      </c>
      <c r="G208">
        <v>2</v>
      </c>
      <c r="H208">
        <v>1</v>
      </c>
      <c r="I208">
        <v>1</v>
      </c>
      <c r="J208">
        <v>1</v>
      </c>
      <c r="K208">
        <v>30</v>
      </c>
      <c r="L208">
        <v>147</v>
      </c>
      <c r="M208">
        <v>141</v>
      </c>
      <c r="N208">
        <v>1.73</v>
      </c>
      <c r="O208">
        <f t="shared" si="6"/>
        <v>0</v>
      </c>
      <c r="P208">
        <f t="shared" si="7"/>
        <v>2</v>
      </c>
      <c r="Q208" s="2">
        <v>125</v>
      </c>
      <c r="R208" s="1">
        <v>45719</v>
      </c>
      <c r="S208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128.37000000000003</v>
      </c>
    </row>
    <row r="209" spans="1:19" x14ac:dyDescent="0.3">
      <c r="A209" t="s">
        <v>381</v>
      </c>
      <c r="B209" t="s">
        <v>23</v>
      </c>
      <c r="C209" t="s">
        <v>17</v>
      </c>
      <c r="D209">
        <v>40.712240000000001</v>
      </c>
      <c r="E209">
        <v>-73.939760000000007</v>
      </c>
      <c r="F209" t="s">
        <v>18</v>
      </c>
      <c r="G209">
        <v>2</v>
      </c>
      <c r="H209">
        <v>1</v>
      </c>
      <c r="I209">
        <v>3</v>
      </c>
      <c r="J209">
        <v>1</v>
      </c>
      <c r="K209">
        <v>30</v>
      </c>
      <c r="L209">
        <v>136</v>
      </c>
      <c r="M209">
        <v>28</v>
      </c>
      <c r="N209">
        <v>0.37</v>
      </c>
      <c r="O209">
        <f t="shared" si="6"/>
        <v>1</v>
      </c>
      <c r="P209">
        <f t="shared" si="7"/>
        <v>2</v>
      </c>
      <c r="Q209" s="2">
        <v>74</v>
      </c>
      <c r="R209" s="1">
        <v>45747</v>
      </c>
      <c r="S209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85.510000000000019</v>
      </c>
    </row>
    <row r="210" spans="1:19" x14ac:dyDescent="0.3">
      <c r="A210" t="s">
        <v>382</v>
      </c>
      <c r="B210" t="s">
        <v>44</v>
      </c>
      <c r="C210" t="s">
        <v>30</v>
      </c>
      <c r="D210">
        <v>40.674239999999998</v>
      </c>
      <c r="E210">
        <v>-73.7971</v>
      </c>
      <c r="F210" t="s">
        <v>18</v>
      </c>
      <c r="G210">
        <v>2</v>
      </c>
      <c r="H210">
        <v>1</v>
      </c>
      <c r="I210">
        <v>1</v>
      </c>
      <c r="J210">
        <v>1</v>
      </c>
      <c r="K210">
        <v>30</v>
      </c>
      <c r="L210">
        <v>180</v>
      </c>
      <c r="M210">
        <v>219</v>
      </c>
      <c r="N210">
        <v>2.77</v>
      </c>
      <c r="O210">
        <f t="shared" si="6"/>
        <v>1</v>
      </c>
      <c r="P210">
        <f t="shared" si="7"/>
        <v>0</v>
      </c>
      <c r="Q210" s="2">
        <v>50</v>
      </c>
      <c r="R210" s="1">
        <v>45747</v>
      </c>
      <c r="S210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53.29000000000002</v>
      </c>
    </row>
    <row r="211" spans="1:19" x14ac:dyDescent="0.3">
      <c r="A211" t="s">
        <v>377</v>
      </c>
      <c r="B211" t="s">
        <v>27</v>
      </c>
      <c r="C211" t="s">
        <v>17</v>
      </c>
      <c r="D211">
        <v>40.686279999999996</v>
      </c>
      <c r="E211">
        <v>-73.950760000000002</v>
      </c>
      <c r="F211" t="s">
        <v>18</v>
      </c>
      <c r="G211">
        <v>1</v>
      </c>
      <c r="H211">
        <v>1.5</v>
      </c>
      <c r="I211">
        <v>1</v>
      </c>
      <c r="J211">
        <v>1</v>
      </c>
      <c r="K211">
        <v>30</v>
      </c>
      <c r="L211">
        <v>363</v>
      </c>
      <c r="M211">
        <v>16</v>
      </c>
      <c r="N211">
        <v>0.2</v>
      </c>
      <c r="O211">
        <f t="shared" si="6"/>
        <v>1</v>
      </c>
      <c r="P211">
        <f t="shared" si="7"/>
        <v>2</v>
      </c>
      <c r="Q211" s="2">
        <v>128</v>
      </c>
      <c r="R211" s="1">
        <v>45747</v>
      </c>
      <c r="S211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63.060000000000024</v>
      </c>
    </row>
    <row r="212" spans="1:19" x14ac:dyDescent="0.3">
      <c r="A212" t="s">
        <v>383</v>
      </c>
      <c r="B212" t="s">
        <v>23</v>
      </c>
      <c r="C212" t="s">
        <v>17</v>
      </c>
      <c r="D212">
        <v>40.713410000000003</v>
      </c>
      <c r="E212">
        <v>-73.960639999999998</v>
      </c>
      <c r="F212" t="s">
        <v>21</v>
      </c>
      <c r="G212">
        <v>2</v>
      </c>
      <c r="H212">
        <v>1</v>
      </c>
      <c r="I212">
        <v>1</v>
      </c>
      <c r="J212">
        <v>1</v>
      </c>
      <c r="K212">
        <v>30</v>
      </c>
      <c r="L212">
        <v>75</v>
      </c>
      <c r="M212">
        <v>15</v>
      </c>
      <c r="N212">
        <v>0.18</v>
      </c>
      <c r="O212">
        <f t="shared" si="6"/>
        <v>0</v>
      </c>
      <c r="P212">
        <f t="shared" si="7"/>
        <v>2</v>
      </c>
      <c r="Q212" s="2">
        <v>305</v>
      </c>
      <c r="R212" s="1">
        <v>45747</v>
      </c>
      <c r="S212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131.25000000000003</v>
      </c>
    </row>
    <row r="213" spans="1:19" x14ac:dyDescent="0.3">
      <c r="A213" t="s">
        <v>384</v>
      </c>
      <c r="B213" t="s">
        <v>28</v>
      </c>
      <c r="C213" t="s">
        <v>20</v>
      </c>
      <c r="D213">
        <v>40.811860000000003</v>
      </c>
      <c r="E213">
        <v>-73.943089999999998</v>
      </c>
      <c r="F213" t="s">
        <v>18</v>
      </c>
      <c r="G213">
        <v>1</v>
      </c>
      <c r="H213">
        <v>1</v>
      </c>
      <c r="I213">
        <v>1</v>
      </c>
      <c r="J213">
        <v>1</v>
      </c>
      <c r="K213">
        <v>30</v>
      </c>
      <c r="L213">
        <v>356</v>
      </c>
      <c r="M213">
        <v>20</v>
      </c>
      <c r="N213">
        <v>0.25</v>
      </c>
      <c r="O213">
        <f t="shared" si="6"/>
        <v>1</v>
      </c>
      <c r="P213">
        <f t="shared" si="7"/>
        <v>4</v>
      </c>
      <c r="Q213" s="2">
        <v>62</v>
      </c>
      <c r="R213" s="1">
        <v>45717</v>
      </c>
      <c r="S213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88.190000000000012</v>
      </c>
    </row>
    <row r="214" spans="1:19" x14ac:dyDescent="0.3">
      <c r="A214" t="s">
        <v>386</v>
      </c>
      <c r="B214" t="s">
        <v>73</v>
      </c>
      <c r="C214" t="s">
        <v>30</v>
      </c>
      <c r="D214" s="3" t="s">
        <v>387</v>
      </c>
      <c r="E214">
        <v>-73.921388676172299</v>
      </c>
      <c r="F214" t="s">
        <v>21</v>
      </c>
      <c r="G214">
        <v>4</v>
      </c>
      <c r="H214">
        <v>1</v>
      </c>
      <c r="I214">
        <v>2</v>
      </c>
      <c r="J214">
        <v>2</v>
      </c>
      <c r="K214">
        <v>30</v>
      </c>
      <c r="L214">
        <v>232</v>
      </c>
      <c r="M214">
        <v>25</v>
      </c>
      <c r="N214">
        <v>0.32</v>
      </c>
      <c r="O214">
        <f t="shared" si="6"/>
        <v>0</v>
      </c>
      <c r="P214">
        <f t="shared" si="7"/>
        <v>0</v>
      </c>
      <c r="Q214" s="2">
        <v>124</v>
      </c>
      <c r="R214" s="1">
        <v>45747</v>
      </c>
      <c r="S214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132.47000000000003</v>
      </c>
    </row>
    <row r="215" spans="1:19" x14ac:dyDescent="0.3">
      <c r="A215" t="s">
        <v>388</v>
      </c>
      <c r="B215" t="s">
        <v>264</v>
      </c>
      <c r="C215" t="s">
        <v>30</v>
      </c>
      <c r="D215">
        <v>40.700940000000003</v>
      </c>
      <c r="E215">
        <v>-73.755309999999994</v>
      </c>
      <c r="F215" t="s">
        <v>18</v>
      </c>
      <c r="G215">
        <v>2</v>
      </c>
      <c r="H215">
        <v>1</v>
      </c>
      <c r="I215">
        <v>1</v>
      </c>
      <c r="J215">
        <v>1</v>
      </c>
      <c r="K215">
        <v>30</v>
      </c>
      <c r="L215">
        <v>364</v>
      </c>
      <c r="M215">
        <v>133</v>
      </c>
      <c r="N215">
        <v>1.65</v>
      </c>
      <c r="O215">
        <f t="shared" si="6"/>
        <v>1</v>
      </c>
      <c r="P215">
        <f t="shared" si="7"/>
        <v>0</v>
      </c>
      <c r="Q215" s="2">
        <v>74</v>
      </c>
      <c r="R215" s="1">
        <v>45732</v>
      </c>
      <c r="S215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45.930000000000021</v>
      </c>
    </row>
    <row r="216" spans="1:19" x14ac:dyDescent="0.3">
      <c r="A216" t="s">
        <v>389</v>
      </c>
      <c r="B216" t="s">
        <v>44</v>
      </c>
      <c r="C216" t="s">
        <v>30</v>
      </c>
      <c r="D216">
        <v>40.687079099999998</v>
      </c>
      <c r="E216">
        <v>-73.775479500000003</v>
      </c>
      <c r="F216" t="s">
        <v>18</v>
      </c>
      <c r="G216">
        <v>2</v>
      </c>
      <c r="H216">
        <v>1</v>
      </c>
      <c r="I216">
        <v>1</v>
      </c>
      <c r="J216">
        <v>2</v>
      </c>
      <c r="K216">
        <v>1</v>
      </c>
      <c r="L216">
        <v>86</v>
      </c>
      <c r="M216">
        <v>86</v>
      </c>
      <c r="N216">
        <v>1.07</v>
      </c>
      <c r="O216">
        <f t="shared" si="6"/>
        <v>1</v>
      </c>
      <c r="P216">
        <f t="shared" si="7"/>
        <v>0</v>
      </c>
      <c r="Q216" s="2">
        <v>100</v>
      </c>
      <c r="R216" s="1">
        <v>45746</v>
      </c>
      <c r="S216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154.20000000000005</v>
      </c>
    </row>
    <row r="217" spans="1:19" x14ac:dyDescent="0.3">
      <c r="A217" t="s">
        <v>390</v>
      </c>
      <c r="B217" t="s">
        <v>40</v>
      </c>
      <c r="C217" t="s">
        <v>17</v>
      </c>
      <c r="D217">
        <v>40.640430000000002</v>
      </c>
      <c r="E217">
        <v>-73.964060000000003</v>
      </c>
      <c r="F217" t="s">
        <v>18</v>
      </c>
      <c r="G217">
        <v>2</v>
      </c>
      <c r="H217">
        <v>1.5</v>
      </c>
      <c r="I217">
        <v>1</v>
      </c>
      <c r="J217">
        <v>1</v>
      </c>
      <c r="K217">
        <v>30</v>
      </c>
      <c r="L217">
        <v>180</v>
      </c>
      <c r="M217">
        <v>46</v>
      </c>
      <c r="N217">
        <v>0.57999999999999996</v>
      </c>
      <c r="O217">
        <f t="shared" si="6"/>
        <v>1</v>
      </c>
      <c r="P217">
        <f t="shared" si="7"/>
        <v>2</v>
      </c>
      <c r="Q217" s="2">
        <v>70</v>
      </c>
      <c r="R217" s="1">
        <v>45739</v>
      </c>
      <c r="S217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89.360000000000042</v>
      </c>
    </row>
    <row r="218" spans="1:19" x14ac:dyDescent="0.3">
      <c r="A218" t="s">
        <v>391</v>
      </c>
      <c r="B218" t="s">
        <v>23</v>
      </c>
      <c r="C218" t="s">
        <v>17</v>
      </c>
      <c r="D218">
        <v>40.71557</v>
      </c>
      <c r="E218">
        <v>-73.950389999999999</v>
      </c>
      <c r="F218" t="s">
        <v>21</v>
      </c>
      <c r="G218">
        <v>2</v>
      </c>
      <c r="H218">
        <v>1</v>
      </c>
      <c r="I218">
        <v>1</v>
      </c>
      <c r="J218">
        <v>1</v>
      </c>
      <c r="K218">
        <v>30</v>
      </c>
      <c r="L218">
        <v>85</v>
      </c>
      <c r="M218">
        <v>66</v>
      </c>
      <c r="N218">
        <v>0.85</v>
      </c>
      <c r="O218">
        <f t="shared" si="6"/>
        <v>0</v>
      </c>
      <c r="P218">
        <f t="shared" si="7"/>
        <v>2</v>
      </c>
      <c r="Q218" s="2">
        <v>131</v>
      </c>
      <c r="R218" s="1">
        <v>45747</v>
      </c>
      <c r="S218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130.85000000000002</v>
      </c>
    </row>
    <row r="219" spans="1:19" x14ac:dyDescent="0.3">
      <c r="A219" t="s">
        <v>392</v>
      </c>
      <c r="B219" t="s">
        <v>157</v>
      </c>
      <c r="C219" t="s">
        <v>17</v>
      </c>
      <c r="D219">
        <v>40.626840000000001</v>
      </c>
      <c r="E219">
        <v>-73.962760000000003</v>
      </c>
      <c r="F219" t="s">
        <v>21</v>
      </c>
      <c r="G219">
        <v>3</v>
      </c>
      <c r="H219">
        <v>1</v>
      </c>
      <c r="I219">
        <v>1</v>
      </c>
      <c r="J219">
        <v>4</v>
      </c>
      <c r="K219">
        <v>30</v>
      </c>
      <c r="L219">
        <v>87</v>
      </c>
      <c r="M219">
        <v>28</v>
      </c>
      <c r="N219">
        <v>0.35</v>
      </c>
      <c r="O219">
        <f t="shared" si="6"/>
        <v>0</v>
      </c>
      <c r="P219">
        <f t="shared" si="7"/>
        <v>2</v>
      </c>
      <c r="Q219" s="2">
        <v>105</v>
      </c>
      <c r="R219" s="1">
        <v>45733</v>
      </c>
      <c r="S219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149.75</v>
      </c>
    </row>
    <row r="220" spans="1:19" x14ac:dyDescent="0.3">
      <c r="A220" t="s">
        <v>393</v>
      </c>
      <c r="B220" t="s">
        <v>38</v>
      </c>
      <c r="C220" t="s">
        <v>20</v>
      </c>
      <c r="D220">
        <v>40.76455</v>
      </c>
      <c r="E220">
        <v>-73.99033</v>
      </c>
      <c r="F220" t="s">
        <v>21</v>
      </c>
      <c r="G220">
        <v>3</v>
      </c>
      <c r="H220">
        <v>1</v>
      </c>
      <c r="I220">
        <v>1</v>
      </c>
      <c r="J220">
        <v>1</v>
      </c>
      <c r="K220">
        <v>30</v>
      </c>
      <c r="L220">
        <v>179</v>
      </c>
      <c r="M220">
        <v>119</v>
      </c>
      <c r="N220">
        <v>1.5</v>
      </c>
      <c r="O220">
        <f t="shared" si="6"/>
        <v>0</v>
      </c>
      <c r="P220">
        <f t="shared" si="7"/>
        <v>4</v>
      </c>
      <c r="Q220" s="2">
        <v>450</v>
      </c>
      <c r="R220" s="1">
        <v>45719</v>
      </c>
      <c r="S220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176.53000000000003</v>
      </c>
    </row>
    <row r="221" spans="1:19" x14ac:dyDescent="0.3">
      <c r="A221" t="s">
        <v>394</v>
      </c>
      <c r="B221" t="s">
        <v>19</v>
      </c>
      <c r="C221" t="s">
        <v>20</v>
      </c>
      <c r="D221">
        <v>40.747210000000003</v>
      </c>
      <c r="E221">
        <v>-73.987949999999998</v>
      </c>
      <c r="F221" t="s">
        <v>21</v>
      </c>
      <c r="G221">
        <v>6</v>
      </c>
      <c r="H221">
        <v>1</v>
      </c>
      <c r="I221">
        <v>0</v>
      </c>
      <c r="J221">
        <v>3</v>
      </c>
      <c r="K221">
        <v>2</v>
      </c>
      <c r="L221">
        <v>188</v>
      </c>
      <c r="M221">
        <v>152</v>
      </c>
      <c r="N221">
        <v>1.98</v>
      </c>
      <c r="O221">
        <f t="shared" si="6"/>
        <v>0</v>
      </c>
      <c r="P221">
        <f t="shared" si="7"/>
        <v>4</v>
      </c>
      <c r="Q221" s="2">
        <v>293</v>
      </c>
      <c r="R221" s="1">
        <v>45738</v>
      </c>
      <c r="S221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326.91000000000008</v>
      </c>
    </row>
    <row r="222" spans="1:19" x14ac:dyDescent="0.3">
      <c r="A222" t="s">
        <v>395</v>
      </c>
      <c r="B222" t="s">
        <v>56</v>
      </c>
      <c r="C222" t="s">
        <v>17</v>
      </c>
      <c r="D222">
        <v>40.674259999999997</v>
      </c>
      <c r="E222">
        <v>-73.946730000000002</v>
      </c>
      <c r="F222" t="s">
        <v>21</v>
      </c>
      <c r="G222">
        <v>2</v>
      </c>
      <c r="H222">
        <v>1</v>
      </c>
      <c r="I222">
        <v>0</v>
      </c>
      <c r="J222">
        <v>1</v>
      </c>
      <c r="K222">
        <v>30</v>
      </c>
      <c r="L222">
        <v>94</v>
      </c>
      <c r="M222">
        <v>229</v>
      </c>
      <c r="N222">
        <v>2.9</v>
      </c>
      <c r="O222">
        <f t="shared" si="6"/>
        <v>0</v>
      </c>
      <c r="P222">
        <f t="shared" si="7"/>
        <v>2</v>
      </c>
      <c r="Q222" s="2">
        <v>85</v>
      </c>
      <c r="R222" s="1">
        <v>45743</v>
      </c>
      <c r="S222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130.49</v>
      </c>
    </row>
    <row r="223" spans="1:19" x14ac:dyDescent="0.3">
      <c r="A223" t="s">
        <v>396</v>
      </c>
      <c r="B223" t="s">
        <v>23</v>
      </c>
      <c r="C223" t="s">
        <v>17</v>
      </c>
      <c r="D223">
        <v>40.707470000000001</v>
      </c>
      <c r="E223">
        <v>-73.948560000000001</v>
      </c>
      <c r="F223" t="s">
        <v>21</v>
      </c>
      <c r="G223">
        <v>2</v>
      </c>
      <c r="H223">
        <v>1</v>
      </c>
      <c r="I223">
        <v>1</v>
      </c>
      <c r="J223">
        <v>1</v>
      </c>
      <c r="K223">
        <v>30</v>
      </c>
      <c r="L223">
        <v>38</v>
      </c>
      <c r="M223">
        <v>41</v>
      </c>
      <c r="N223">
        <v>0.54</v>
      </c>
      <c r="O223">
        <f t="shared" si="6"/>
        <v>0</v>
      </c>
      <c r="P223">
        <f t="shared" si="7"/>
        <v>2</v>
      </c>
      <c r="Q223" s="2">
        <v>247</v>
      </c>
      <c r="R223" s="1">
        <v>45741</v>
      </c>
      <c r="S223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132.73000000000002</v>
      </c>
    </row>
    <row r="224" spans="1:19" x14ac:dyDescent="0.3">
      <c r="A224" t="s">
        <v>397</v>
      </c>
      <c r="B224" t="s">
        <v>59</v>
      </c>
      <c r="C224" t="s">
        <v>17</v>
      </c>
      <c r="D224" s="3" t="s">
        <v>398</v>
      </c>
      <c r="E224">
        <v>-73.964263231919702</v>
      </c>
      <c r="F224" t="s">
        <v>18</v>
      </c>
      <c r="G224">
        <v>1</v>
      </c>
      <c r="H224">
        <v>1</v>
      </c>
      <c r="I224">
        <v>1</v>
      </c>
      <c r="J224">
        <v>1</v>
      </c>
      <c r="K224">
        <v>30</v>
      </c>
      <c r="L224">
        <v>78</v>
      </c>
      <c r="M224">
        <v>24</v>
      </c>
      <c r="N224">
        <v>0.89</v>
      </c>
      <c r="O224">
        <f t="shared" si="6"/>
        <v>1</v>
      </c>
      <c r="P224">
        <f t="shared" si="7"/>
        <v>2</v>
      </c>
      <c r="Q224" s="2">
        <v>70</v>
      </c>
      <c r="R224" s="1">
        <v>45747</v>
      </c>
      <c r="S224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68.849999999999994</v>
      </c>
    </row>
    <row r="225" spans="1:19" x14ac:dyDescent="0.3">
      <c r="A225" t="s">
        <v>399</v>
      </c>
      <c r="B225" t="s">
        <v>205</v>
      </c>
      <c r="C225" t="s">
        <v>17</v>
      </c>
      <c r="D225" s="3" t="s">
        <v>400</v>
      </c>
      <c r="E225">
        <v>-73.911318357251005</v>
      </c>
      <c r="F225" t="s">
        <v>18</v>
      </c>
      <c r="G225">
        <v>1</v>
      </c>
      <c r="H225">
        <v>1</v>
      </c>
      <c r="I225">
        <v>1</v>
      </c>
      <c r="J225">
        <v>1</v>
      </c>
      <c r="K225">
        <v>3</v>
      </c>
      <c r="L225">
        <v>351</v>
      </c>
      <c r="M225">
        <v>88</v>
      </c>
      <c r="N225">
        <v>1.31</v>
      </c>
      <c r="O225">
        <f t="shared" si="6"/>
        <v>1</v>
      </c>
      <c r="P225">
        <f t="shared" si="7"/>
        <v>2</v>
      </c>
      <c r="Q225" s="2">
        <v>86</v>
      </c>
      <c r="R225" s="1">
        <v>45747</v>
      </c>
      <c r="S225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148.38</v>
      </c>
    </row>
    <row r="226" spans="1:19" x14ac:dyDescent="0.3">
      <c r="A226" t="s">
        <v>401</v>
      </c>
      <c r="B226" t="s">
        <v>38</v>
      </c>
      <c r="C226" t="s">
        <v>20</v>
      </c>
      <c r="D226" s="3" t="s">
        <v>402</v>
      </c>
      <c r="E226">
        <v>-73.9898844847758</v>
      </c>
      <c r="F226" t="s">
        <v>21</v>
      </c>
      <c r="G226">
        <v>4</v>
      </c>
      <c r="H226">
        <v>2</v>
      </c>
      <c r="I226">
        <v>2</v>
      </c>
      <c r="J226">
        <v>3</v>
      </c>
      <c r="K226">
        <v>30</v>
      </c>
      <c r="L226">
        <v>165</v>
      </c>
      <c r="M226">
        <v>6</v>
      </c>
      <c r="N226">
        <v>0.13</v>
      </c>
      <c r="O226">
        <f t="shared" si="6"/>
        <v>0</v>
      </c>
      <c r="P226">
        <f t="shared" si="7"/>
        <v>4</v>
      </c>
      <c r="Q226" s="2">
        <v>200</v>
      </c>
      <c r="R226" s="1">
        <v>45735</v>
      </c>
      <c r="S226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207.29000000000002</v>
      </c>
    </row>
    <row r="227" spans="1:19" x14ac:dyDescent="0.3">
      <c r="A227" t="s">
        <v>403</v>
      </c>
      <c r="B227" t="s">
        <v>22</v>
      </c>
      <c r="C227" t="s">
        <v>17</v>
      </c>
      <c r="D227" s="3" t="s">
        <v>404</v>
      </c>
      <c r="E227">
        <v>-74.013391105901107</v>
      </c>
      <c r="F227" t="s">
        <v>18</v>
      </c>
      <c r="G227">
        <v>2</v>
      </c>
      <c r="H227">
        <v>1</v>
      </c>
      <c r="I227">
        <v>1</v>
      </c>
      <c r="J227">
        <v>1</v>
      </c>
      <c r="K227">
        <v>1</v>
      </c>
      <c r="L227">
        <v>220</v>
      </c>
      <c r="M227">
        <v>84</v>
      </c>
      <c r="N227">
        <v>1.1499999999999999</v>
      </c>
      <c r="O227">
        <f t="shared" si="6"/>
        <v>1</v>
      </c>
      <c r="P227">
        <f t="shared" si="7"/>
        <v>2</v>
      </c>
      <c r="Q227" s="2">
        <v>100</v>
      </c>
      <c r="R227" s="1">
        <v>45740</v>
      </c>
      <c r="S227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179.30000000000004</v>
      </c>
    </row>
    <row r="228" spans="1:19" x14ac:dyDescent="0.3">
      <c r="A228" t="s">
        <v>405</v>
      </c>
      <c r="B228" t="s">
        <v>138</v>
      </c>
      <c r="C228" t="s">
        <v>31</v>
      </c>
      <c r="D228">
        <v>40.856859999999998</v>
      </c>
      <c r="E228">
        <v>-73.857650000000007</v>
      </c>
      <c r="F228" t="s">
        <v>18</v>
      </c>
      <c r="G228">
        <v>1</v>
      </c>
      <c r="H228">
        <v>1</v>
      </c>
      <c r="I228">
        <v>1</v>
      </c>
      <c r="J228">
        <v>1</v>
      </c>
      <c r="K228">
        <v>30</v>
      </c>
      <c r="L228">
        <v>278</v>
      </c>
      <c r="M228">
        <v>10</v>
      </c>
      <c r="N228">
        <v>0.13</v>
      </c>
      <c r="O228">
        <f t="shared" si="6"/>
        <v>1</v>
      </c>
      <c r="P228">
        <f t="shared" si="7"/>
        <v>0</v>
      </c>
      <c r="Q228" s="2">
        <v>54</v>
      </c>
      <c r="R228" s="1">
        <v>45742</v>
      </c>
      <c r="S228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30.39</v>
      </c>
    </row>
    <row r="229" spans="1:19" x14ac:dyDescent="0.3">
      <c r="A229" t="s">
        <v>407</v>
      </c>
      <c r="B229" t="s">
        <v>19</v>
      </c>
      <c r="C229" t="s">
        <v>20</v>
      </c>
      <c r="D229">
        <v>40.747720000000001</v>
      </c>
      <c r="E229">
        <v>-73.986819999999994</v>
      </c>
      <c r="F229" t="s">
        <v>21</v>
      </c>
      <c r="G229">
        <v>6</v>
      </c>
      <c r="H229">
        <v>1</v>
      </c>
      <c r="I229">
        <v>0</v>
      </c>
      <c r="J229">
        <v>3</v>
      </c>
      <c r="K229">
        <v>2</v>
      </c>
      <c r="L229">
        <v>170</v>
      </c>
      <c r="M229">
        <v>167</v>
      </c>
      <c r="N229">
        <v>2.2400000000000002</v>
      </c>
      <c r="O229">
        <f t="shared" si="6"/>
        <v>0</v>
      </c>
      <c r="P229">
        <f t="shared" si="7"/>
        <v>4</v>
      </c>
      <c r="Q229" s="2">
        <v>266</v>
      </c>
      <c r="R229" s="1">
        <v>45733</v>
      </c>
      <c r="S229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327.63000000000005</v>
      </c>
    </row>
    <row r="230" spans="1:19" x14ac:dyDescent="0.3">
      <c r="A230" t="s">
        <v>408</v>
      </c>
      <c r="B230" t="s">
        <v>45</v>
      </c>
      <c r="C230" t="s">
        <v>20</v>
      </c>
      <c r="D230">
        <v>40.753480000000003</v>
      </c>
      <c r="E230">
        <v>-74.000470000000007</v>
      </c>
      <c r="F230" t="s">
        <v>21</v>
      </c>
      <c r="G230">
        <v>2</v>
      </c>
      <c r="H230">
        <v>1</v>
      </c>
      <c r="I230">
        <v>1</v>
      </c>
      <c r="J230">
        <v>2</v>
      </c>
      <c r="K230">
        <v>30</v>
      </c>
      <c r="L230">
        <v>98</v>
      </c>
      <c r="M230">
        <v>35</v>
      </c>
      <c r="N230">
        <v>0.47</v>
      </c>
      <c r="O230">
        <f t="shared" si="6"/>
        <v>0</v>
      </c>
      <c r="P230">
        <f t="shared" si="7"/>
        <v>4</v>
      </c>
      <c r="Q230" s="2">
        <v>283</v>
      </c>
      <c r="R230" s="1">
        <v>45747</v>
      </c>
      <c r="S230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160.79000000000002</v>
      </c>
    </row>
    <row r="231" spans="1:19" x14ac:dyDescent="0.3">
      <c r="A231" t="s">
        <v>409</v>
      </c>
      <c r="B231" t="s">
        <v>95</v>
      </c>
      <c r="C231" t="s">
        <v>20</v>
      </c>
      <c r="D231">
        <v>40.74718</v>
      </c>
      <c r="E231">
        <v>-73.974199999999996</v>
      </c>
      <c r="F231" t="s">
        <v>21</v>
      </c>
      <c r="G231">
        <v>4</v>
      </c>
      <c r="H231">
        <v>1</v>
      </c>
      <c r="I231">
        <v>1</v>
      </c>
      <c r="J231">
        <v>2</v>
      </c>
      <c r="K231">
        <v>1</v>
      </c>
      <c r="L231">
        <v>216</v>
      </c>
      <c r="M231">
        <v>77</v>
      </c>
      <c r="N231">
        <v>1.03</v>
      </c>
      <c r="O231">
        <f t="shared" si="6"/>
        <v>0</v>
      </c>
      <c r="P231">
        <f t="shared" si="7"/>
        <v>4</v>
      </c>
      <c r="Q231" s="2">
        <v>416</v>
      </c>
      <c r="R231" s="1">
        <v>45725</v>
      </c>
      <c r="S231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291.18000000000006</v>
      </c>
    </row>
    <row r="232" spans="1:19" x14ac:dyDescent="0.3">
      <c r="A232" t="s">
        <v>410</v>
      </c>
      <c r="B232" t="s">
        <v>53</v>
      </c>
      <c r="C232" t="s">
        <v>20</v>
      </c>
      <c r="D232">
        <v>40.799743999999997</v>
      </c>
      <c r="E232">
        <v>-73.961494000000002</v>
      </c>
      <c r="F232" t="s">
        <v>21</v>
      </c>
      <c r="G232">
        <v>8</v>
      </c>
      <c r="H232">
        <v>2</v>
      </c>
      <c r="I232">
        <v>4</v>
      </c>
      <c r="J232">
        <v>6</v>
      </c>
      <c r="K232">
        <v>30</v>
      </c>
      <c r="L232">
        <v>365</v>
      </c>
      <c r="M232">
        <v>20</v>
      </c>
      <c r="N232">
        <v>0.27</v>
      </c>
      <c r="O232">
        <f t="shared" si="6"/>
        <v>0</v>
      </c>
      <c r="P232">
        <f t="shared" si="7"/>
        <v>4</v>
      </c>
      <c r="Q232" s="2">
        <v>232</v>
      </c>
      <c r="R232" s="1">
        <v>45745</v>
      </c>
      <c r="S232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275.21000000000004</v>
      </c>
    </row>
    <row r="233" spans="1:19" x14ac:dyDescent="0.3">
      <c r="A233" t="s">
        <v>411</v>
      </c>
      <c r="B233" t="s">
        <v>53</v>
      </c>
      <c r="C233" t="s">
        <v>20</v>
      </c>
      <c r="D233" s="3" t="s">
        <v>412</v>
      </c>
      <c r="E233">
        <v>-73.964514322578907</v>
      </c>
      <c r="F233" t="s">
        <v>18</v>
      </c>
      <c r="G233">
        <v>2</v>
      </c>
      <c r="H233">
        <v>1</v>
      </c>
      <c r="I233">
        <v>1</v>
      </c>
      <c r="J233">
        <v>1</v>
      </c>
      <c r="K233">
        <v>30</v>
      </c>
      <c r="L233">
        <v>62</v>
      </c>
      <c r="M233">
        <v>51</v>
      </c>
      <c r="N233">
        <v>1.75</v>
      </c>
      <c r="O233">
        <f t="shared" si="6"/>
        <v>1</v>
      </c>
      <c r="P233">
        <f t="shared" si="7"/>
        <v>4</v>
      </c>
      <c r="Q233" s="2">
        <v>70</v>
      </c>
      <c r="R233" s="1">
        <v>45747</v>
      </c>
      <c r="S233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118.93000000000002</v>
      </c>
    </row>
    <row r="234" spans="1:19" x14ac:dyDescent="0.3">
      <c r="A234" t="s">
        <v>413</v>
      </c>
      <c r="B234" t="s">
        <v>276</v>
      </c>
      <c r="C234" t="s">
        <v>30</v>
      </c>
      <c r="D234">
        <v>40.728070000000002</v>
      </c>
      <c r="E234">
        <v>-73.820729999999998</v>
      </c>
      <c r="F234" t="s">
        <v>21</v>
      </c>
      <c r="G234">
        <v>8</v>
      </c>
      <c r="H234">
        <v>1.5</v>
      </c>
      <c r="I234">
        <v>3</v>
      </c>
      <c r="J234">
        <v>4</v>
      </c>
      <c r="K234">
        <v>30</v>
      </c>
      <c r="L234">
        <v>241</v>
      </c>
      <c r="M234">
        <v>56</v>
      </c>
      <c r="N234">
        <v>0.77</v>
      </c>
      <c r="O234">
        <f t="shared" si="6"/>
        <v>0</v>
      </c>
      <c r="P234">
        <f t="shared" si="7"/>
        <v>0</v>
      </c>
      <c r="Q234" s="2">
        <v>270</v>
      </c>
      <c r="R234" s="1">
        <v>45726</v>
      </c>
      <c r="S234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213.64000000000004</v>
      </c>
    </row>
    <row r="235" spans="1:19" x14ac:dyDescent="0.3">
      <c r="A235" t="s">
        <v>414</v>
      </c>
      <c r="B235" t="s">
        <v>49</v>
      </c>
      <c r="C235" t="s">
        <v>20</v>
      </c>
      <c r="D235">
        <v>40.74174</v>
      </c>
      <c r="E235">
        <v>-73.978049999999996</v>
      </c>
      <c r="F235" t="s">
        <v>21</v>
      </c>
      <c r="G235">
        <v>2</v>
      </c>
      <c r="H235">
        <v>1</v>
      </c>
      <c r="I235">
        <v>1</v>
      </c>
      <c r="J235">
        <v>1</v>
      </c>
      <c r="K235">
        <v>30</v>
      </c>
      <c r="L235">
        <v>296</v>
      </c>
      <c r="M235">
        <v>71</v>
      </c>
      <c r="N235">
        <v>0.98</v>
      </c>
      <c r="O235">
        <f t="shared" si="6"/>
        <v>0</v>
      </c>
      <c r="P235">
        <f t="shared" si="7"/>
        <v>4</v>
      </c>
      <c r="Q235" s="2">
        <v>110</v>
      </c>
      <c r="R235" s="1">
        <v>45731</v>
      </c>
      <c r="S235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152.87</v>
      </c>
    </row>
    <row r="236" spans="1:19" x14ac:dyDescent="0.3">
      <c r="A236" t="s">
        <v>415</v>
      </c>
      <c r="B236" t="s">
        <v>67</v>
      </c>
      <c r="C236" t="s">
        <v>17</v>
      </c>
      <c r="D236">
        <v>40.690379999999998</v>
      </c>
      <c r="E236">
        <v>-73.912279999999996</v>
      </c>
      <c r="F236" t="s">
        <v>18</v>
      </c>
      <c r="G236">
        <v>2</v>
      </c>
      <c r="H236">
        <v>1</v>
      </c>
      <c r="I236">
        <v>1</v>
      </c>
      <c r="J236">
        <v>1</v>
      </c>
      <c r="K236">
        <v>30</v>
      </c>
      <c r="L236">
        <v>360</v>
      </c>
      <c r="M236">
        <v>20</v>
      </c>
      <c r="N236">
        <v>0.31</v>
      </c>
      <c r="O236">
        <f t="shared" si="6"/>
        <v>1</v>
      </c>
      <c r="P236">
        <f t="shared" si="7"/>
        <v>2</v>
      </c>
      <c r="Q236" s="2">
        <v>62</v>
      </c>
      <c r="R236" s="1">
        <v>45720</v>
      </c>
      <c r="S236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76.550000000000011</v>
      </c>
    </row>
    <row r="237" spans="1:19" x14ac:dyDescent="0.3">
      <c r="A237" t="s">
        <v>416</v>
      </c>
      <c r="B237" t="s">
        <v>44</v>
      </c>
      <c r="C237" t="s">
        <v>30</v>
      </c>
      <c r="D237">
        <v>40.673229999999997</v>
      </c>
      <c r="E237">
        <v>-73.777150000000006</v>
      </c>
      <c r="F237" t="s">
        <v>21</v>
      </c>
      <c r="G237">
        <v>4</v>
      </c>
      <c r="H237">
        <v>1</v>
      </c>
      <c r="I237">
        <v>2</v>
      </c>
      <c r="J237">
        <v>2</v>
      </c>
      <c r="K237">
        <v>30</v>
      </c>
      <c r="L237">
        <v>245</v>
      </c>
      <c r="M237">
        <v>250</v>
      </c>
      <c r="N237">
        <v>3.45</v>
      </c>
      <c r="O237">
        <f t="shared" si="6"/>
        <v>0</v>
      </c>
      <c r="P237">
        <f t="shared" si="7"/>
        <v>0</v>
      </c>
      <c r="Q237" s="2">
        <v>82</v>
      </c>
      <c r="R237" s="1">
        <v>45747</v>
      </c>
      <c r="S237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131.95000000000002</v>
      </c>
    </row>
    <row r="238" spans="1:19" x14ac:dyDescent="0.3">
      <c r="A238" t="s">
        <v>417</v>
      </c>
      <c r="B238" t="s">
        <v>94</v>
      </c>
      <c r="C238" t="s">
        <v>17</v>
      </c>
      <c r="D238">
        <v>40.660440000000001</v>
      </c>
      <c r="E238">
        <v>-73.899169999999998</v>
      </c>
      <c r="F238" t="s">
        <v>21</v>
      </c>
      <c r="G238">
        <v>2</v>
      </c>
      <c r="H238">
        <v>1</v>
      </c>
      <c r="I238">
        <v>1</v>
      </c>
      <c r="J238">
        <v>2</v>
      </c>
      <c r="K238">
        <v>30</v>
      </c>
      <c r="L238">
        <v>238</v>
      </c>
      <c r="M238">
        <v>290</v>
      </c>
      <c r="N238">
        <v>4.22</v>
      </c>
      <c r="O238">
        <f t="shared" si="6"/>
        <v>0</v>
      </c>
      <c r="P238">
        <f t="shared" si="7"/>
        <v>2</v>
      </c>
      <c r="Q238" s="2">
        <v>84</v>
      </c>
      <c r="R238" s="1">
        <v>45739</v>
      </c>
      <c r="S238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124.73000000000002</v>
      </c>
    </row>
    <row r="239" spans="1:19" x14ac:dyDescent="0.3">
      <c r="A239" t="s">
        <v>418</v>
      </c>
      <c r="B239" t="s">
        <v>82</v>
      </c>
      <c r="C239" t="s">
        <v>30</v>
      </c>
      <c r="D239">
        <v>40.744540000000001</v>
      </c>
      <c r="E239">
        <v>-73.906210000000002</v>
      </c>
      <c r="F239" t="s">
        <v>18</v>
      </c>
      <c r="G239">
        <v>1</v>
      </c>
      <c r="H239">
        <v>1</v>
      </c>
      <c r="I239">
        <v>1</v>
      </c>
      <c r="J239">
        <v>1</v>
      </c>
      <c r="K239">
        <v>30</v>
      </c>
      <c r="L239">
        <v>304</v>
      </c>
      <c r="M239">
        <v>13</v>
      </c>
      <c r="N239">
        <v>0.2</v>
      </c>
      <c r="O239">
        <f t="shared" si="6"/>
        <v>1</v>
      </c>
      <c r="P239">
        <f t="shared" si="7"/>
        <v>0</v>
      </c>
      <c r="Q239" s="2">
        <v>69</v>
      </c>
      <c r="R239" s="1">
        <v>45718</v>
      </c>
      <c r="S239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29.350000000000009</v>
      </c>
    </row>
    <row r="240" spans="1:19" x14ac:dyDescent="0.3">
      <c r="A240" t="s">
        <v>419</v>
      </c>
      <c r="B240" t="s">
        <v>85</v>
      </c>
      <c r="C240" t="s">
        <v>20</v>
      </c>
      <c r="D240" s="3" t="s">
        <v>420</v>
      </c>
      <c r="E240">
        <v>-73.996429443359304</v>
      </c>
      <c r="F240" t="s">
        <v>21</v>
      </c>
      <c r="G240">
        <v>2</v>
      </c>
      <c r="H240">
        <v>1</v>
      </c>
      <c r="I240">
        <v>1</v>
      </c>
      <c r="J240">
        <v>1</v>
      </c>
      <c r="K240">
        <v>30</v>
      </c>
      <c r="L240">
        <v>339</v>
      </c>
      <c r="M240">
        <v>17</v>
      </c>
      <c r="N240">
        <v>0.25</v>
      </c>
      <c r="O240">
        <f t="shared" si="6"/>
        <v>0</v>
      </c>
      <c r="P240">
        <f t="shared" si="7"/>
        <v>4</v>
      </c>
      <c r="Q240" s="2">
        <v>133</v>
      </c>
      <c r="R240" s="1">
        <v>45740</v>
      </c>
      <c r="S240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151.15000000000003</v>
      </c>
    </row>
    <row r="241" spans="1:19" x14ac:dyDescent="0.3">
      <c r="A241" t="s">
        <v>421</v>
      </c>
      <c r="B241" t="s">
        <v>275</v>
      </c>
      <c r="C241" t="s">
        <v>30</v>
      </c>
      <c r="D241">
        <v>40.697000000000003</v>
      </c>
      <c r="E241">
        <v>-73.738</v>
      </c>
      <c r="F241" t="s">
        <v>21</v>
      </c>
      <c r="G241">
        <v>4</v>
      </c>
      <c r="H241">
        <v>1</v>
      </c>
      <c r="I241">
        <v>2</v>
      </c>
      <c r="J241">
        <v>5</v>
      </c>
      <c r="K241">
        <v>30</v>
      </c>
      <c r="L241">
        <v>121</v>
      </c>
      <c r="M241">
        <v>110</v>
      </c>
      <c r="N241">
        <v>1.59</v>
      </c>
      <c r="O241">
        <f t="shared" si="6"/>
        <v>0</v>
      </c>
      <c r="P241">
        <f t="shared" si="7"/>
        <v>0</v>
      </c>
      <c r="Q241" s="2">
        <v>100</v>
      </c>
      <c r="R241" s="1">
        <v>45726</v>
      </c>
      <c r="S241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136.91000000000003</v>
      </c>
    </row>
    <row r="242" spans="1:19" x14ac:dyDescent="0.3">
      <c r="A242" t="s">
        <v>422</v>
      </c>
      <c r="B242" t="s">
        <v>48</v>
      </c>
      <c r="C242" t="s">
        <v>20</v>
      </c>
      <c r="D242">
        <v>40.727849999999997</v>
      </c>
      <c r="E242">
        <v>-73.99991</v>
      </c>
      <c r="F242" t="s">
        <v>21</v>
      </c>
      <c r="G242">
        <v>4</v>
      </c>
      <c r="H242">
        <v>1</v>
      </c>
      <c r="I242">
        <v>2</v>
      </c>
      <c r="J242">
        <v>2</v>
      </c>
      <c r="K242">
        <v>30</v>
      </c>
      <c r="L242">
        <v>153</v>
      </c>
      <c r="M242">
        <v>15</v>
      </c>
      <c r="N242">
        <v>0.22</v>
      </c>
      <c r="O242">
        <f t="shared" si="6"/>
        <v>0</v>
      </c>
      <c r="P242">
        <f t="shared" si="7"/>
        <v>4</v>
      </c>
      <c r="Q242" s="2">
        <v>389</v>
      </c>
      <c r="R242" s="1">
        <v>45747</v>
      </c>
      <c r="S242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196.55</v>
      </c>
    </row>
    <row r="243" spans="1:19" x14ac:dyDescent="0.3">
      <c r="A243" t="s">
        <v>423</v>
      </c>
      <c r="B243" t="s">
        <v>58</v>
      </c>
      <c r="C243" t="s">
        <v>17</v>
      </c>
      <c r="D243">
        <v>40.670780000000001</v>
      </c>
      <c r="E243">
        <v>-73.9923</v>
      </c>
      <c r="F243" t="s">
        <v>21</v>
      </c>
      <c r="G243">
        <v>3</v>
      </c>
      <c r="H243">
        <v>1</v>
      </c>
      <c r="I243">
        <v>2</v>
      </c>
      <c r="J243">
        <v>3</v>
      </c>
      <c r="K243">
        <v>30</v>
      </c>
      <c r="L243">
        <v>213</v>
      </c>
      <c r="M243">
        <v>108</v>
      </c>
      <c r="N243">
        <v>1.49</v>
      </c>
      <c r="O243">
        <f t="shared" si="6"/>
        <v>0</v>
      </c>
      <c r="P243">
        <f t="shared" si="7"/>
        <v>2</v>
      </c>
      <c r="Q243" s="2">
        <v>117</v>
      </c>
      <c r="R243" s="1">
        <v>45728</v>
      </c>
      <c r="S243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144.71</v>
      </c>
    </row>
    <row r="244" spans="1:19" x14ac:dyDescent="0.3">
      <c r="A244" t="s">
        <v>424</v>
      </c>
      <c r="B244" t="s">
        <v>19</v>
      </c>
      <c r="C244" t="s">
        <v>20</v>
      </c>
      <c r="D244">
        <v>40.7645895</v>
      </c>
      <c r="E244">
        <v>-73.980911899999995</v>
      </c>
      <c r="F244" t="s">
        <v>18</v>
      </c>
      <c r="G244">
        <v>2</v>
      </c>
      <c r="H244">
        <v>1</v>
      </c>
      <c r="I244">
        <v>1</v>
      </c>
      <c r="J244">
        <v>1</v>
      </c>
      <c r="K244">
        <v>1</v>
      </c>
      <c r="L244">
        <v>285</v>
      </c>
      <c r="M244">
        <v>123</v>
      </c>
      <c r="N244">
        <v>1.75</v>
      </c>
      <c r="O244">
        <f t="shared" si="6"/>
        <v>1</v>
      </c>
      <c r="P244">
        <f t="shared" si="7"/>
        <v>4</v>
      </c>
      <c r="Q244" s="2">
        <v>301</v>
      </c>
      <c r="R244" s="1">
        <v>45740</v>
      </c>
      <c r="S244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207.16000000000003</v>
      </c>
    </row>
    <row r="245" spans="1:19" x14ac:dyDescent="0.3">
      <c r="A245" t="s">
        <v>425</v>
      </c>
      <c r="B245" t="s">
        <v>265</v>
      </c>
      <c r="C245" t="s">
        <v>31</v>
      </c>
      <c r="D245" s="3" t="s">
        <v>426</v>
      </c>
      <c r="E245">
        <v>-73.9101911661065</v>
      </c>
      <c r="F245" t="s">
        <v>18</v>
      </c>
      <c r="G245">
        <v>2</v>
      </c>
      <c r="H245">
        <v>1.5</v>
      </c>
      <c r="I245">
        <v>1</v>
      </c>
      <c r="J245">
        <v>1</v>
      </c>
      <c r="K245">
        <v>7</v>
      </c>
      <c r="L245">
        <v>135</v>
      </c>
      <c r="M245">
        <v>43</v>
      </c>
      <c r="N245">
        <v>0.62</v>
      </c>
      <c r="O245">
        <f t="shared" si="6"/>
        <v>1</v>
      </c>
      <c r="P245">
        <f t="shared" si="7"/>
        <v>0</v>
      </c>
      <c r="Q245" s="2">
        <v>75</v>
      </c>
      <c r="R245" s="1">
        <v>45746</v>
      </c>
      <c r="S245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137.75000000000006</v>
      </c>
    </row>
    <row r="246" spans="1:19" x14ac:dyDescent="0.3">
      <c r="A246" t="s">
        <v>427</v>
      </c>
      <c r="B246" t="s">
        <v>78</v>
      </c>
      <c r="C246" t="s">
        <v>20</v>
      </c>
      <c r="D246">
        <v>40.761299999999999</v>
      </c>
      <c r="E246">
        <v>-73.980770000000007</v>
      </c>
      <c r="F246" t="s">
        <v>21</v>
      </c>
      <c r="G246">
        <v>4</v>
      </c>
      <c r="H246">
        <v>1</v>
      </c>
      <c r="I246">
        <v>2</v>
      </c>
      <c r="J246">
        <v>3</v>
      </c>
      <c r="K246">
        <v>30</v>
      </c>
      <c r="L246">
        <v>235</v>
      </c>
      <c r="M246">
        <v>17</v>
      </c>
      <c r="N246">
        <v>0.25</v>
      </c>
      <c r="O246">
        <f t="shared" si="6"/>
        <v>0</v>
      </c>
      <c r="P246">
        <f t="shared" si="7"/>
        <v>4</v>
      </c>
      <c r="Q246" s="2">
        <v>220</v>
      </c>
      <c r="R246" s="1">
        <v>45739</v>
      </c>
      <c r="S246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193.27000000000004</v>
      </c>
    </row>
    <row r="247" spans="1:19" x14ac:dyDescent="0.3">
      <c r="A247" t="s">
        <v>428</v>
      </c>
      <c r="B247" t="s">
        <v>58</v>
      </c>
      <c r="C247" t="s">
        <v>17</v>
      </c>
      <c r="D247">
        <v>40.667940000000002</v>
      </c>
      <c r="E247">
        <v>-73.993189999999998</v>
      </c>
      <c r="F247" t="s">
        <v>21</v>
      </c>
      <c r="G247">
        <v>3</v>
      </c>
      <c r="H247">
        <v>1</v>
      </c>
      <c r="I247">
        <v>1</v>
      </c>
      <c r="J247">
        <v>1</v>
      </c>
      <c r="K247">
        <v>30</v>
      </c>
      <c r="L247">
        <v>92</v>
      </c>
      <c r="M247">
        <v>102</v>
      </c>
      <c r="N247">
        <v>1.41</v>
      </c>
      <c r="O247">
        <f t="shared" si="6"/>
        <v>0</v>
      </c>
      <c r="P247">
        <f t="shared" si="7"/>
        <v>2</v>
      </c>
      <c r="Q247" s="2">
        <v>143</v>
      </c>
      <c r="R247" s="1">
        <v>45747</v>
      </c>
      <c r="S247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149.55000000000001</v>
      </c>
    </row>
    <row r="248" spans="1:19" x14ac:dyDescent="0.3">
      <c r="A248" t="s">
        <v>429</v>
      </c>
      <c r="B248" t="s">
        <v>40</v>
      </c>
      <c r="C248" t="s">
        <v>17</v>
      </c>
      <c r="D248">
        <v>40.641240000000003</v>
      </c>
      <c r="E248">
        <v>-73.965069999999997</v>
      </c>
      <c r="F248" t="s">
        <v>21</v>
      </c>
      <c r="G248">
        <v>2</v>
      </c>
      <c r="H248">
        <v>1</v>
      </c>
      <c r="I248">
        <v>0</v>
      </c>
      <c r="J248">
        <v>1</v>
      </c>
      <c r="K248">
        <v>30</v>
      </c>
      <c r="L248">
        <v>274</v>
      </c>
      <c r="M248">
        <v>217</v>
      </c>
      <c r="N248">
        <v>3.05</v>
      </c>
      <c r="O248">
        <f t="shared" si="6"/>
        <v>0</v>
      </c>
      <c r="P248">
        <f t="shared" si="7"/>
        <v>2</v>
      </c>
      <c r="Q248" s="2">
        <v>98</v>
      </c>
      <c r="R248" s="1">
        <v>45738</v>
      </c>
      <c r="S248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123.29000000000002</v>
      </c>
    </row>
    <row r="249" spans="1:19" x14ac:dyDescent="0.3">
      <c r="A249" t="s">
        <v>430</v>
      </c>
      <c r="B249" t="s">
        <v>28</v>
      </c>
      <c r="C249" t="s">
        <v>20</v>
      </c>
      <c r="D249">
        <v>40.805079999999997</v>
      </c>
      <c r="E249">
        <v>-73.946709999999996</v>
      </c>
      <c r="F249" t="s">
        <v>21</v>
      </c>
      <c r="G249">
        <v>2</v>
      </c>
      <c r="H249">
        <v>1</v>
      </c>
      <c r="I249">
        <v>1</v>
      </c>
      <c r="J249">
        <v>3</v>
      </c>
      <c r="K249">
        <v>3</v>
      </c>
      <c r="L249">
        <v>250</v>
      </c>
      <c r="M249">
        <v>50</v>
      </c>
      <c r="N249">
        <v>0.7</v>
      </c>
      <c r="O249">
        <f t="shared" si="6"/>
        <v>0</v>
      </c>
      <c r="P249">
        <f t="shared" si="7"/>
        <v>4</v>
      </c>
      <c r="Q249" s="2">
        <v>234</v>
      </c>
      <c r="R249" s="1">
        <v>45739</v>
      </c>
      <c r="S249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245.16000000000003</v>
      </c>
    </row>
    <row r="250" spans="1:19" x14ac:dyDescent="0.3">
      <c r="A250" t="s">
        <v>431</v>
      </c>
      <c r="B250" t="s">
        <v>55</v>
      </c>
      <c r="C250" t="s">
        <v>17</v>
      </c>
      <c r="D250">
        <v>40.661580000000001</v>
      </c>
      <c r="E250">
        <v>-73.984819999999999</v>
      </c>
      <c r="F250" t="s">
        <v>21</v>
      </c>
      <c r="G250">
        <v>4</v>
      </c>
      <c r="H250">
        <v>1</v>
      </c>
      <c r="I250">
        <v>1</v>
      </c>
      <c r="J250">
        <v>3</v>
      </c>
      <c r="K250">
        <v>30</v>
      </c>
      <c r="L250">
        <v>293</v>
      </c>
      <c r="M250">
        <v>139</v>
      </c>
      <c r="N250">
        <v>1.95</v>
      </c>
      <c r="O250">
        <f t="shared" si="6"/>
        <v>0</v>
      </c>
      <c r="P250">
        <f t="shared" si="7"/>
        <v>2</v>
      </c>
      <c r="Q250" s="2">
        <v>139</v>
      </c>
      <c r="R250" s="1">
        <v>45731</v>
      </c>
      <c r="S250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160.49000000000004</v>
      </c>
    </row>
    <row r="251" spans="1:19" x14ac:dyDescent="0.3">
      <c r="A251" t="s">
        <v>432</v>
      </c>
      <c r="B251" t="s">
        <v>36</v>
      </c>
      <c r="C251" t="s">
        <v>20</v>
      </c>
      <c r="D251" s="3" t="s">
        <v>433</v>
      </c>
      <c r="E251">
        <v>-73.955627441406193</v>
      </c>
      <c r="F251" t="s">
        <v>21</v>
      </c>
      <c r="G251">
        <v>2</v>
      </c>
      <c r="H251">
        <v>1</v>
      </c>
      <c r="I251">
        <v>0</v>
      </c>
      <c r="J251">
        <v>1</v>
      </c>
      <c r="K251">
        <v>30</v>
      </c>
      <c r="L251">
        <v>332</v>
      </c>
      <c r="M251">
        <v>19</v>
      </c>
      <c r="N251">
        <v>0.27</v>
      </c>
      <c r="O251">
        <f t="shared" si="6"/>
        <v>0</v>
      </c>
      <c r="P251">
        <f t="shared" si="7"/>
        <v>4</v>
      </c>
      <c r="Q251" s="2">
        <v>113</v>
      </c>
      <c r="R251" s="1">
        <v>45733</v>
      </c>
      <c r="S251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151.43</v>
      </c>
    </row>
    <row r="252" spans="1:19" x14ac:dyDescent="0.3">
      <c r="A252" t="s">
        <v>434</v>
      </c>
      <c r="B252" t="s">
        <v>135</v>
      </c>
      <c r="C252" t="s">
        <v>31</v>
      </c>
      <c r="D252">
        <v>40.881509999999999</v>
      </c>
      <c r="E252">
        <v>-73.849400000000003</v>
      </c>
      <c r="F252" t="s">
        <v>21</v>
      </c>
      <c r="G252">
        <v>2</v>
      </c>
      <c r="H252">
        <v>1</v>
      </c>
      <c r="I252">
        <v>1</v>
      </c>
      <c r="J252">
        <v>1</v>
      </c>
      <c r="K252">
        <v>30</v>
      </c>
      <c r="L252">
        <v>331</v>
      </c>
      <c r="M252">
        <v>74</v>
      </c>
      <c r="N252">
        <v>1.03</v>
      </c>
      <c r="O252">
        <f t="shared" si="6"/>
        <v>0</v>
      </c>
      <c r="P252">
        <f t="shared" si="7"/>
        <v>0</v>
      </c>
      <c r="Q252" s="2">
        <v>67</v>
      </c>
      <c r="R252" s="1">
        <v>45738</v>
      </c>
      <c r="S252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90.550000000000026</v>
      </c>
    </row>
    <row r="253" spans="1:19" x14ac:dyDescent="0.3">
      <c r="A253" t="s">
        <v>435</v>
      </c>
      <c r="B253" t="s">
        <v>38</v>
      </c>
      <c r="C253" t="s">
        <v>20</v>
      </c>
      <c r="D253">
        <v>40.754800000000003</v>
      </c>
      <c r="E253">
        <v>-73.994079999999997</v>
      </c>
      <c r="F253" t="s">
        <v>18</v>
      </c>
      <c r="G253">
        <v>2</v>
      </c>
      <c r="H253">
        <v>1</v>
      </c>
      <c r="I253">
        <v>1</v>
      </c>
      <c r="J253">
        <v>2</v>
      </c>
      <c r="K253">
        <v>1</v>
      </c>
      <c r="L253">
        <v>325</v>
      </c>
      <c r="M253">
        <v>103</v>
      </c>
      <c r="N253">
        <v>1.95</v>
      </c>
      <c r="O253">
        <f t="shared" si="6"/>
        <v>1</v>
      </c>
      <c r="P253">
        <f t="shared" si="7"/>
        <v>4</v>
      </c>
      <c r="Q253" s="2">
        <v>264</v>
      </c>
      <c r="R253" s="1">
        <v>45723</v>
      </c>
      <c r="S253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205.56000000000006</v>
      </c>
    </row>
    <row r="254" spans="1:19" x14ac:dyDescent="0.3">
      <c r="A254" t="s">
        <v>436</v>
      </c>
      <c r="B254" t="s">
        <v>73</v>
      </c>
      <c r="C254" t="s">
        <v>30</v>
      </c>
      <c r="D254">
        <v>40.753039999999999</v>
      </c>
      <c r="E254">
        <v>-73.927580000000006</v>
      </c>
      <c r="F254" t="s">
        <v>18</v>
      </c>
      <c r="G254">
        <v>1</v>
      </c>
      <c r="H254">
        <v>1</v>
      </c>
      <c r="I254">
        <v>1</v>
      </c>
      <c r="J254">
        <v>1</v>
      </c>
      <c r="K254">
        <v>30</v>
      </c>
      <c r="L254">
        <v>111</v>
      </c>
      <c r="M254">
        <v>14</v>
      </c>
      <c r="N254">
        <v>0.2</v>
      </c>
      <c r="O254">
        <f t="shared" si="6"/>
        <v>1</v>
      </c>
      <c r="P254">
        <f t="shared" si="7"/>
        <v>0</v>
      </c>
      <c r="Q254" s="2">
        <v>68</v>
      </c>
      <c r="R254" s="1">
        <v>45726</v>
      </c>
      <c r="S254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37.070000000000007</v>
      </c>
    </row>
    <row r="255" spans="1:19" x14ac:dyDescent="0.3">
      <c r="A255" t="s">
        <v>437</v>
      </c>
      <c r="B255" t="s">
        <v>150</v>
      </c>
      <c r="C255" t="s">
        <v>17</v>
      </c>
      <c r="D255">
        <v>40.644179999999999</v>
      </c>
      <c r="E255">
        <v>-73.990979999999993</v>
      </c>
      <c r="F255" t="s">
        <v>18</v>
      </c>
      <c r="G255">
        <v>3</v>
      </c>
      <c r="H255">
        <v>1</v>
      </c>
      <c r="I255">
        <v>1</v>
      </c>
      <c r="J255">
        <v>2</v>
      </c>
      <c r="K255">
        <v>30</v>
      </c>
      <c r="L255">
        <v>180</v>
      </c>
      <c r="M255">
        <v>21</v>
      </c>
      <c r="N255">
        <v>0.28999999999999998</v>
      </c>
      <c r="O255">
        <f t="shared" si="6"/>
        <v>1</v>
      </c>
      <c r="P255">
        <f t="shared" si="7"/>
        <v>2</v>
      </c>
      <c r="Q255" s="2">
        <v>70</v>
      </c>
      <c r="R255" s="1">
        <v>45739</v>
      </c>
      <c r="S255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102.73000000000002</v>
      </c>
    </row>
    <row r="256" spans="1:19" x14ac:dyDescent="0.3">
      <c r="A256" t="s">
        <v>438</v>
      </c>
      <c r="B256" t="s">
        <v>41</v>
      </c>
      <c r="C256" t="s">
        <v>20</v>
      </c>
      <c r="D256">
        <v>40.72531</v>
      </c>
      <c r="E256">
        <v>-73.985330000000005</v>
      </c>
      <c r="F256" t="s">
        <v>21</v>
      </c>
      <c r="G256">
        <v>3</v>
      </c>
      <c r="H256">
        <v>1</v>
      </c>
      <c r="I256">
        <v>1</v>
      </c>
      <c r="J256">
        <v>1</v>
      </c>
      <c r="K256">
        <v>30</v>
      </c>
      <c r="L256">
        <v>365</v>
      </c>
      <c r="M256">
        <v>12</v>
      </c>
      <c r="N256">
        <v>0.17</v>
      </c>
      <c r="O256">
        <f t="shared" si="6"/>
        <v>0</v>
      </c>
      <c r="P256">
        <f t="shared" si="7"/>
        <v>4</v>
      </c>
      <c r="Q256" s="2">
        <v>183</v>
      </c>
      <c r="R256" s="1">
        <v>45741</v>
      </c>
      <c r="S256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169.09000000000003</v>
      </c>
    </row>
    <row r="257" spans="1:19" x14ac:dyDescent="0.3">
      <c r="A257" t="s">
        <v>439</v>
      </c>
      <c r="B257" t="s">
        <v>164</v>
      </c>
      <c r="C257" t="s">
        <v>91</v>
      </c>
      <c r="D257">
        <v>40.643329999999999</v>
      </c>
      <c r="E257">
        <v>-74.07799</v>
      </c>
      <c r="F257" t="s">
        <v>21</v>
      </c>
      <c r="G257">
        <v>2</v>
      </c>
      <c r="H257">
        <v>1</v>
      </c>
      <c r="I257">
        <v>0</v>
      </c>
      <c r="J257">
        <v>2</v>
      </c>
      <c r="K257">
        <v>30</v>
      </c>
      <c r="L257">
        <v>199</v>
      </c>
      <c r="M257">
        <v>75</v>
      </c>
      <c r="N257">
        <v>1.05</v>
      </c>
      <c r="O257">
        <f t="shared" si="6"/>
        <v>0</v>
      </c>
      <c r="P257">
        <f t="shared" si="7"/>
        <v>0</v>
      </c>
      <c r="Q257" s="2">
        <v>100</v>
      </c>
      <c r="R257" s="1">
        <v>45730</v>
      </c>
      <c r="S257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95.830000000000027</v>
      </c>
    </row>
    <row r="258" spans="1:19" x14ac:dyDescent="0.3">
      <c r="A258" t="s">
        <v>440</v>
      </c>
      <c r="B258" t="s">
        <v>33</v>
      </c>
      <c r="C258" t="s">
        <v>17</v>
      </c>
      <c r="D258">
        <v>40.674410000000002</v>
      </c>
      <c r="E258">
        <v>-73.983260000000001</v>
      </c>
      <c r="F258" t="s">
        <v>21</v>
      </c>
      <c r="G258">
        <v>2</v>
      </c>
      <c r="H258">
        <v>1</v>
      </c>
      <c r="I258">
        <v>1</v>
      </c>
      <c r="J258">
        <v>2</v>
      </c>
      <c r="K258">
        <v>30</v>
      </c>
      <c r="L258">
        <v>68</v>
      </c>
      <c r="M258">
        <v>45</v>
      </c>
      <c r="N258">
        <v>0.63</v>
      </c>
      <c r="O258">
        <f t="shared" si="6"/>
        <v>0</v>
      </c>
      <c r="P258">
        <f t="shared" si="7"/>
        <v>2</v>
      </c>
      <c r="Q258" s="2">
        <v>159</v>
      </c>
      <c r="R258" s="1">
        <v>45745</v>
      </c>
      <c r="S258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131.53000000000003</v>
      </c>
    </row>
    <row r="259" spans="1:19" x14ac:dyDescent="0.3">
      <c r="A259" t="s">
        <v>441</v>
      </c>
      <c r="B259" t="s">
        <v>19</v>
      </c>
      <c r="C259" t="s">
        <v>20</v>
      </c>
      <c r="D259">
        <v>40.763599999999997</v>
      </c>
      <c r="E259">
        <v>-73.980490000000003</v>
      </c>
      <c r="F259" t="s">
        <v>18</v>
      </c>
      <c r="G259">
        <v>4</v>
      </c>
      <c r="H259">
        <v>1</v>
      </c>
      <c r="I259">
        <v>1</v>
      </c>
      <c r="J259">
        <v>2</v>
      </c>
      <c r="K259">
        <v>1</v>
      </c>
      <c r="L259">
        <v>298</v>
      </c>
      <c r="M259">
        <v>37</v>
      </c>
      <c r="N259">
        <v>0.68</v>
      </c>
      <c r="O259">
        <f t="shared" ref="O259:O322" si="8">IF(F259="Private room",1,0)</f>
        <v>1</v>
      </c>
      <c r="P259">
        <f t="shared" ref="P259:P322" si="9">IF(C259="Manhattan",4,IF(C259="Brooklyn",2,0))</f>
        <v>4</v>
      </c>
      <c r="Q259" s="2">
        <v>324</v>
      </c>
      <c r="R259" s="1">
        <v>45732</v>
      </c>
      <c r="S259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244.60000000000008</v>
      </c>
    </row>
    <row r="260" spans="1:19" x14ac:dyDescent="0.3">
      <c r="A260" t="s">
        <v>442</v>
      </c>
      <c r="B260" t="s">
        <v>19</v>
      </c>
      <c r="C260" t="s">
        <v>20</v>
      </c>
      <c r="D260">
        <v>40.765520000000002</v>
      </c>
      <c r="E260">
        <v>-73.981960000000001</v>
      </c>
      <c r="F260" t="s">
        <v>18</v>
      </c>
      <c r="G260">
        <v>4</v>
      </c>
      <c r="H260">
        <v>1</v>
      </c>
      <c r="I260">
        <v>1</v>
      </c>
      <c r="J260">
        <v>2</v>
      </c>
      <c r="K260">
        <v>1</v>
      </c>
      <c r="L260">
        <v>261</v>
      </c>
      <c r="M260">
        <v>288</v>
      </c>
      <c r="N260">
        <v>4.28</v>
      </c>
      <c r="O260">
        <f t="shared" si="8"/>
        <v>1</v>
      </c>
      <c r="P260">
        <f t="shared" si="9"/>
        <v>4</v>
      </c>
      <c r="Q260" s="2">
        <v>310</v>
      </c>
      <c r="R260" s="1">
        <v>45737</v>
      </c>
      <c r="S260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246.08000000000004</v>
      </c>
    </row>
    <row r="261" spans="1:19" x14ac:dyDescent="0.3">
      <c r="A261" t="s">
        <v>443</v>
      </c>
      <c r="B261" t="s">
        <v>95</v>
      </c>
      <c r="C261" t="s">
        <v>20</v>
      </c>
      <c r="D261">
        <v>40.745469999999997</v>
      </c>
      <c r="E261">
        <v>-73.976050000000001</v>
      </c>
      <c r="F261" t="s">
        <v>21</v>
      </c>
      <c r="G261">
        <v>3</v>
      </c>
      <c r="H261">
        <v>1</v>
      </c>
      <c r="I261">
        <v>1</v>
      </c>
      <c r="J261">
        <v>1</v>
      </c>
      <c r="K261">
        <v>30</v>
      </c>
      <c r="L261">
        <v>274</v>
      </c>
      <c r="M261">
        <v>8</v>
      </c>
      <c r="N261">
        <v>0.14000000000000001</v>
      </c>
      <c r="O261">
        <f t="shared" si="8"/>
        <v>0</v>
      </c>
      <c r="P261">
        <f t="shared" si="9"/>
        <v>4</v>
      </c>
      <c r="Q261" s="2">
        <v>230</v>
      </c>
      <c r="R261" s="1">
        <v>45717</v>
      </c>
      <c r="S261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172.73000000000002</v>
      </c>
    </row>
    <row r="262" spans="1:19" x14ac:dyDescent="0.3">
      <c r="A262" t="s">
        <v>444</v>
      </c>
      <c r="B262" t="s">
        <v>28</v>
      </c>
      <c r="C262" t="s">
        <v>20</v>
      </c>
      <c r="D262">
        <v>40.831899999999997</v>
      </c>
      <c r="E262">
        <v>-73.94641</v>
      </c>
      <c r="F262" t="s">
        <v>18</v>
      </c>
      <c r="G262">
        <v>1</v>
      </c>
      <c r="H262">
        <v>1</v>
      </c>
      <c r="I262">
        <v>1</v>
      </c>
      <c r="J262">
        <v>1</v>
      </c>
      <c r="K262">
        <v>30</v>
      </c>
      <c r="L262">
        <v>190</v>
      </c>
      <c r="M262">
        <v>56</v>
      </c>
      <c r="N262">
        <v>1.5</v>
      </c>
      <c r="O262">
        <f t="shared" si="8"/>
        <v>1</v>
      </c>
      <c r="P262">
        <f t="shared" si="9"/>
        <v>4</v>
      </c>
      <c r="Q262" s="2">
        <v>79</v>
      </c>
      <c r="R262" s="1">
        <v>45735</v>
      </c>
      <c r="S262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94.830000000000013</v>
      </c>
    </row>
    <row r="263" spans="1:19" x14ac:dyDescent="0.3">
      <c r="A263" t="s">
        <v>445</v>
      </c>
      <c r="B263" t="s">
        <v>59</v>
      </c>
      <c r="C263" t="s">
        <v>17</v>
      </c>
      <c r="D263">
        <v>40.684660000000001</v>
      </c>
      <c r="E263">
        <v>-73.966350000000006</v>
      </c>
      <c r="F263" t="s">
        <v>21</v>
      </c>
      <c r="G263">
        <v>5</v>
      </c>
      <c r="H263">
        <v>1</v>
      </c>
      <c r="I263">
        <v>2</v>
      </c>
      <c r="J263">
        <v>2</v>
      </c>
      <c r="K263">
        <v>30</v>
      </c>
      <c r="L263">
        <v>178</v>
      </c>
      <c r="M263">
        <v>117</v>
      </c>
      <c r="N263">
        <v>1.67</v>
      </c>
      <c r="O263">
        <f t="shared" si="8"/>
        <v>0</v>
      </c>
      <c r="P263">
        <f t="shared" si="9"/>
        <v>2</v>
      </c>
      <c r="Q263" s="2">
        <v>203</v>
      </c>
      <c r="R263" s="1">
        <v>45747</v>
      </c>
      <c r="S263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184.07000000000002</v>
      </c>
    </row>
    <row r="264" spans="1:19" x14ac:dyDescent="0.3">
      <c r="A264" t="s">
        <v>446</v>
      </c>
      <c r="B264" t="s">
        <v>56</v>
      </c>
      <c r="C264" t="s">
        <v>17</v>
      </c>
      <c r="D264">
        <v>40.671860000000002</v>
      </c>
      <c r="E264">
        <v>-73.962450000000004</v>
      </c>
      <c r="F264" t="s">
        <v>18</v>
      </c>
      <c r="G264">
        <v>2</v>
      </c>
      <c r="H264">
        <v>1</v>
      </c>
      <c r="I264">
        <v>1</v>
      </c>
      <c r="J264">
        <v>1</v>
      </c>
      <c r="K264">
        <v>30</v>
      </c>
      <c r="L264">
        <v>119</v>
      </c>
      <c r="M264">
        <v>97</v>
      </c>
      <c r="N264">
        <v>1.39</v>
      </c>
      <c r="O264">
        <f t="shared" si="8"/>
        <v>1</v>
      </c>
      <c r="P264">
        <f t="shared" si="9"/>
        <v>2</v>
      </c>
      <c r="Q264" s="2">
        <v>80</v>
      </c>
      <c r="R264" s="1">
        <v>45733</v>
      </c>
      <c r="S264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86.190000000000026</v>
      </c>
    </row>
    <row r="265" spans="1:19" x14ac:dyDescent="0.3">
      <c r="A265" t="s">
        <v>447</v>
      </c>
      <c r="B265" t="s">
        <v>54</v>
      </c>
      <c r="C265" t="s">
        <v>31</v>
      </c>
      <c r="D265">
        <v>40.879959999999997</v>
      </c>
      <c r="E265">
        <v>-73.836259999999996</v>
      </c>
      <c r="F265" t="s">
        <v>18</v>
      </c>
      <c r="G265">
        <v>3</v>
      </c>
      <c r="H265">
        <v>1</v>
      </c>
      <c r="I265">
        <v>1</v>
      </c>
      <c r="J265">
        <v>2</v>
      </c>
      <c r="K265">
        <v>2</v>
      </c>
      <c r="L265">
        <v>342</v>
      </c>
      <c r="M265">
        <v>10</v>
      </c>
      <c r="N265">
        <v>0.21</v>
      </c>
      <c r="O265">
        <f t="shared" si="8"/>
        <v>1</v>
      </c>
      <c r="P265">
        <f t="shared" si="9"/>
        <v>0</v>
      </c>
      <c r="Q265" s="2">
        <v>92</v>
      </c>
      <c r="R265" s="1">
        <v>45725</v>
      </c>
      <c r="S265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159.59000000000003</v>
      </c>
    </row>
    <row r="266" spans="1:19" x14ac:dyDescent="0.3">
      <c r="A266" t="s">
        <v>448</v>
      </c>
      <c r="B266" t="s">
        <v>251</v>
      </c>
      <c r="C266" t="s">
        <v>30</v>
      </c>
      <c r="D266">
        <v>40.670250000000003</v>
      </c>
      <c r="E266">
        <v>-73.744140000000002</v>
      </c>
      <c r="F266" t="s">
        <v>18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362</v>
      </c>
      <c r="M266">
        <v>66</v>
      </c>
      <c r="N266">
        <v>0.94</v>
      </c>
      <c r="O266">
        <f t="shared" si="8"/>
        <v>1</v>
      </c>
      <c r="P266">
        <f t="shared" si="9"/>
        <v>0</v>
      </c>
      <c r="Q266" s="2">
        <v>59</v>
      </c>
      <c r="R266" s="1">
        <v>45747</v>
      </c>
      <c r="S266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124.18000000000002</v>
      </c>
    </row>
    <row r="267" spans="1:19" x14ac:dyDescent="0.3">
      <c r="A267" t="s">
        <v>449</v>
      </c>
      <c r="B267" t="s">
        <v>27</v>
      </c>
      <c r="C267" t="s">
        <v>17</v>
      </c>
      <c r="D267">
        <v>40.682929999999999</v>
      </c>
      <c r="E267">
        <v>-73.912570000000002</v>
      </c>
      <c r="F267" t="s">
        <v>21</v>
      </c>
      <c r="G267">
        <v>6</v>
      </c>
      <c r="H267">
        <v>1</v>
      </c>
      <c r="I267">
        <v>2</v>
      </c>
      <c r="J267">
        <v>3</v>
      </c>
      <c r="K267">
        <v>30</v>
      </c>
      <c r="L267">
        <v>356</v>
      </c>
      <c r="M267">
        <v>374</v>
      </c>
      <c r="N267">
        <v>5.33</v>
      </c>
      <c r="O267">
        <f t="shared" si="8"/>
        <v>0</v>
      </c>
      <c r="P267">
        <f t="shared" si="9"/>
        <v>2</v>
      </c>
      <c r="Q267" s="2">
        <v>145</v>
      </c>
      <c r="R267" s="1">
        <v>45740</v>
      </c>
      <c r="S267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195.93000000000004</v>
      </c>
    </row>
    <row r="268" spans="1:19" x14ac:dyDescent="0.3">
      <c r="A268" t="s">
        <v>450</v>
      </c>
      <c r="B268" t="s">
        <v>36</v>
      </c>
      <c r="C268" t="s">
        <v>20</v>
      </c>
      <c r="D268">
        <v>40.78107</v>
      </c>
      <c r="E268">
        <v>-73.946479999999994</v>
      </c>
      <c r="F268" t="s">
        <v>21</v>
      </c>
      <c r="G268">
        <v>4</v>
      </c>
      <c r="H268">
        <v>1</v>
      </c>
      <c r="I268">
        <v>2</v>
      </c>
      <c r="J268">
        <v>3</v>
      </c>
      <c r="K268">
        <v>30</v>
      </c>
      <c r="L268">
        <v>362</v>
      </c>
      <c r="M268">
        <v>8</v>
      </c>
      <c r="N268">
        <v>0.12</v>
      </c>
      <c r="O268">
        <f t="shared" si="8"/>
        <v>0</v>
      </c>
      <c r="P268">
        <f t="shared" si="9"/>
        <v>4</v>
      </c>
      <c r="Q268" s="2">
        <v>146</v>
      </c>
      <c r="R268" s="1">
        <v>45747</v>
      </c>
      <c r="S268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188.19000000000003</v>
      </c>
    </row>
    <row r="269" spans="1:19" x14ac:dyDescent="0.3">
      <c r="A269" t="s">
        <v>451</v>
      </c>
      <c r="B269" t="s">
        <v>23</v>
      </c>
      <c r="C269" t="s">
        <v>17</v>
      </c>
      <c r="D269">
        <v>40.70637</v>
      </c>
      <c r="E269">
        <v>-73.927040000000005</v>
      </c>
      <c r="F269" t="s">
        <v>21</v>
      </c>
      <c r="G269">
        <v>2</v>
      </c>
      <c r="H269">
        <v>1</v>
      </c>
      <c r="I269">
        <v>0</v>
      </c>
      <c r="J269">
        <v>1</v>
      </c>
      <c r="K269">
        <v>30</v>
      </c>
      <c r="L269">
        <v>89</v>
      </c>
      <c r="M269">
        <v>120</v>
      </c>
      <c r="N269">
        <v>1.71</v>
      </c>
      <c r="O269">
        <f t="shared" si="8"/>
        <v>0</v>
      </c>
      <c r="P269">
        <f t="shared" si="9"/>
        <v>2</v>
      </c>
      <c r="Q269" s="2">
        <v>157</v>
      </c>
      <c r="R269" s="1">
        <v>45731</v>
      </c>
      <c r="S269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130.69000000000003</v>
      </c>
    </row>
    <row r="270" spans="1:19" x14ac:dyDescent="0.3">
      <c r="A270" t="s">
        <v>453</v>
      </c>
      <c r="B270" t="s">
        <v>28</v>
      </c>
      <c r="C270" t="s">
        <v>20</v>
      </c>
      <c r="D270">
        <v>40.804169999999999</v>
      </c>
      <c r="E270">
        <v>-73.950029999999998</v>
      </c>
      <c r="F270" t="s">
        <v>21</v>
      </c>
      <c r="G270">
        <v>3</v>
      </c>
      <c r="H270">
        <v>1</v>
      </c>
      <c r="I270">
        <v>1</v>
      </c>
      <c r="J270">
        <v>1</v>
      </c>
      <c r="K270">
        <v>30</v>
      </c>
      <c r="L270">
        <v>179</v>
      </c>
      <c r="M270">
        <v>14</v>
      </c>
      <c r="N270">
        <v>0.2</v>
      </c>
      <c r="O270">
        <f t="shared" si="8"/>
        <v>0</v>
      </c>
      <c r="P270">
        <f t="shared" si="9"/>
        <v>4</v>
      </c>
      <c r="Q270" s="2">
        <v>182</v>
      </c>
      <c r="R270" s="1">
        <v>45747</v>
      </c>
      <c r="S270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176.53000000000003</v>
      </c>
    </row>
    <row r="271" spans="1:19" x14ac:dyDescent="0.3">
      <c r="A271" t="s">
        <v>454</v>
      </c>
      <c r="B271" t="s">
        <v>43</v>
      </c>
      <c r="C271" t="s">
        <v>20</v>
      </c>
      <c r="D271">
        <v>40.722580000000001</v>
      </c>
      <c r="E271">
        <v>-73.990459999999999</v>
      </c>
      <c r="F271" t="s">
        <v>18</v>
      </c>
      <c r="G271">
        <v>2</v>
      </c>
      <c r="H271">
        <v>1</v>
      </c>
      <c r="I271">
        <v>1</v>
      </c>
      <c r="J271">
        <v>1</v>
      </c>
      <c r="K271">
        <v>1</v>
      </c>
      <c r="L271">
        <v>349</v>
      </c>
      <c r="M271">
        <v>278</v>
      </c>
      <c r="N271">
        <v>4.24</v>
      </c>
      <c r="O271">
        <f t="shared" si="8"/>
        <v>1</v>
      </c>
      <c r="P271">
        <f t="shared" si="9"/>
        <v>4</v>
      </c>
      <c r="Q271" s="2">
        <v>284</v>
      </c>
      <c r="R271" s="1">
        <v>45732</v>
      </c>
      <c r="S271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204.60000000000002</v>
      </c>
    </row>
    <row r="272" spans="1:19" x14ac:dyDescent="0.3">
      <c r="A272" t="s">
        <v>455</v>
      </c>
      <c r="B272" t="s">
        <v>56</v>
      </c>
      <c r="C272" t="s">
        <v>17</v>
      </c>
      <c r="D272" s="3" t="s">
        <v>456</v>
      </c>
      <c r="E272">
        <v>-73.955319854574199</v>
      </c>
      <c r="F272" t="s">
        <v>18</v>
      </c>
      <c r="G272">
        <v>2</v>
      </c>
      <c r="H272">
        <v>1</v>
      </c>
      <c r="I272">
        <v>1</v>
      </c>
      <c r="J272">
        <v>1</v>
      </c>
      <c r="K272">
        <v>2</v>
      </c>
      <c r="L272">
        <v>356</v>
      </c>
      <c r="M272">
        <v>29</v>
      </c>
      <c r="N272">
        <v>0.42</v>
      </c>
      <c r="O272">
        <f t="shared" si="8"/>
        <v>1</v>
      </c>
      <c r="P272">
        <f t="shared" si="9"/>
        <v>2</v>
      </c>
      <c r="Q272" s="2">
        <v>143</v>
      </c>
      <c r="R272" s="1">
        <v>45739</v>
      </c>
      <c r="S272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170.51000000000002</v>
      </c>
    </row>
    <row r="273" spans="1:19" x14ac:dyDescent="0.3">
      <c r="A273" t="s">
        <v>457</v>
      </c>
      <c r="B273" t="s">
        <v>27</v>
      </c>
      <c r="C273" t="s">
        <v>17</v>
      </c>
      <c r="D273">
        <v>40.677669999999999</v>
      </c>
      <c r="E273">
        <v>-73.91686</v>
      </c>
      <c r="F273" t="s">
        <v>21</v>
      </c>
      <c r="G273">
        <v>2</v>
      </c>
      <c r="H273">
        <v>2</v>
      </c>
      <c r="I273">
        <v>2</v>
      </c>
      <c r="J273">
        <v>3</v>
      </c>
      <c r="K273">
        <v>3</v>
      </c>
      <c r="L273">
        <v>260</v>
      </c>
      <c r="M273">
        <v>189</v>
      </c>
      <c r="N273">
        <v>2.72</v>
      </c>
      <c r="O273">
        <f t="shared" si="8"/>
        <v>0</v>
      </c>
      <c r="P273">
        <f t="shared" si="9"/>
        <v>2</v>
      </c>
      <c r="Q273" s="2">
        <v>245</v>
      </c>
      <c r="R273" s="1">
        <v>45746</v>
      </c>
      <c r="S273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225.52</v>
      </c>
    </row>
    <row r="274" spans="1:19" x14ac:dyDescent="0.3">
      <c r="A274" t="s">
        <v>458</v>
      </c>
      <c r="B274" t="s">
        <v>36</v>
      </c>
      <c r="C274" t="s">
        <v>20</v>
      </c>
      <c r="D274">
        <v>40.760829999999999</v>
      </c>
      <c r="E274">
        <v>-73.96002</v>
      </c>
      <c r="F274" t="s">
        <v>21</v>
      </c>
      <c r="G274">
        <v>4</v>
      </c>
      <c r="H274">
        <v>1</v>
      </c>
      <c r="I274">
        <v>2</v>
      </c>
      <c r="J274">
        <v>2</v>
      </c>
      <c r="K274">
        <v>30</v>
      </c>
      <c r="L274">
        <v>339</v>
      </c>
      <c r="M274">
        <v>14</v>
      </c>
      <c r="N274">
        <v>0.21</v>
      </c>
      <c r="O274">
        <f t="shared" si="8"/>
        <v>0</v>
      </c>
      <c r="P274">
        <f t="shared" si="9"/>
        <v>4</v>
      </c>
      <c r="Q274" s="2">
        <v>193</v>
      </c>
      <c r="R274" s="1">
        <v>45739</v>
      </c>
      <c r="S274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189.11</v>
      </c>
    </row>
    <row r="275" spans="1:19" x14ac:dyDescent="0.3">
      <c r="A275" t="s">
        <v>459</v>
      </c>
      <c r="B275" t="s">
        <v>33</v>
      </c>
      <c r="C275" t="s">
        <v>17</v>
      </c>
      <c r="D275">
        <v>40.675779800000001</v>
      </c>
      <c r="E275">
        <v>-73.978014799999997</v>
      </c>
      <c r="F275" t="s">
        <v>18</v>
      </c>
      <c r="G275">
        <v>4</v>
      </c>
      <c r="H275">
        <v>1</v>
      </c>
      <c r="I275">
        <v>1</v>
      </c>
      <c r="J275">
        <v>1</v>
      </c>
      <c r="K275">
        <v>2</v>
      </c>
      <c r="L275">
        <v>288</v>
      </c>
      <c r="M275">
        <v>86</v>
      </c>
      <c r="N275">
        <v>2.65</v>
      </c>
      <c r="O275">
        <f t="shared" si="8"/>
        <v>1</v>
      </c>
      <c r="P275">
        <f t="shared" si="9"/>
        <v>2</v>
      </c>
      <c r="Q275" s="2">
        <v>298</v>
      </c>
      <c r="R275" s="1">
        <v>45747</v>
      </c>
      <c r="S275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211.19000000000003</v>
      </c>
    </row>
    <row r="276" spans="1:19" x14ac:dyDescent="0.3">
      <c r="A276" t="s">
        <v>460</v>
      </c>
      <c r="B276" t="s">
        <v>45</v>
      </c>
      <c r="C276" t="s">
        <v>20</v>
      </c>
      <c r="D276">
        <v>40.746839999999999</v>
      </c>
      <c r="E276">
        <v>-73.992069999999998</v>
      </c>
      <c r="F276" t="s">
        <v>21</v>
      </c>
      <c r="G276">
        <v>2</v>
      </c>
      <c r="H276">
        <v>1</v>
      </c>
      <c r="I276">
        <v>0</v>
      </c>
      <c r="J276">
        <v>1</v>
      </c>
      <c r="K276">
        <v>30</v>
      </c>
      <c r="L276">
        <v>265</v>
      </c>
      <c r="M276">
        <v>13</v>
      </c>
      <c r="N276">
        <v>0.2</v>
      </c>
      <c r="O276">
        <f t="shared" si="8"/>
        <v>0</v>
      </c>
      <c r="P276">
        <f t="shared" si="9"/>
        <v>4</v>
      </c>
      <c r="Q276" s="2">
        <v>115</v>
      </c>
      <c r="R276" s="1">
        <v>45729</v>
      </c>
      <c r="S276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154.11000000000001</v>
      </c>
    </row>
    <row r="277" spans="1:19" x14ac:dyDescent="0.3">
      <c r="A277" t="s">
        <v>461</v>
      </c>
      <c r="B277" t="s">
        <v>45</v>
      </c>
      <c r="C277" t="s">
        <v>20</v>
      </c>
      <c r="D277">
        <v>40.746839999999999</v>
      </c>
      <c r="E277">
        <v>-73.992069999999998</v>
      </c>
      <c r="F277" t="s">
        <v>21</v>
      </c>
      <c r="G277">
        <v>2</v>
      </c>
      <c r="H277">
        <v>1</v>
      </c>
      <c r="I277">
        <v>0</v>
      </c>
      <c r="J277">
        <v>1</v>
      </c>
      <c r="K277">
        <v>30</v>
      </c>
      <c r="L277">
        <v>272</v>
      </c>
      <c r="M277">
        <v>15</v>
      </c>
      <c r="N277">
        <v>0.23</v>
      </c>
      <c r="O277">
        <f t="shared" si="8"/>
        <v>0</v>
      </c>
      <c r="P277">
        <f t="shared" si="9"/>
        <v>4</v>
      </c>
      <c r="Q277" s="2">
        <v>120</v>
      </c>
      <c r="R277" s="1">
        <v>45747</v>
      </c>
      <c r="S277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153.83000000000004</v>
      </c>
    </row>
    <row r="278" spans="1:19" x14ac:dyDescent="0.3">
      <c r="A278" t="s">
        <v>462</v>
      </c>
      <c r="B278" t="s">
        <v>27</v>
      </c>
      <c r="C278" t="s">
        <v>17</v>
      </c>
      <c r="D278">
        <v>40.689500000000002</v>
      </c>
      <c r="E278">
        <v>-73.957350000000005</v>
      </c>
      <c r="F278" t="s">
        <v>21</v>
      </c>
      <c r="G278">
        <v>6</v>
      </c>
      <c r="H278">
        <v>1</v>
      </c>
      <c r="I278">
        <v>3</v>
      </c>
      <c r="J278">
        <v>3</v>
      </c>
      <c r="K278">
        <v>30</v>
      </c>
      <c r="L278">
        <v>279</v>
      </c>
      <c r="M278">
        <v>19</v>
      </c>
      <c r="N278">
        <v>0.67</v>
      </c>
      <c r="O278">
        <f t="shared" si="8"/>
        <v>0</v>
      </c>
      <c r="P278">
        <f t="shared" si="9"/>
        <v>2</v>
      </c>
      <c r="Q278" s="2">
        <v>428</v>
      </c>
      <c r="R278" s="1">
        <v>45719</v>
      </c>
      <c r="S278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199.01000000000005</v>
      </c>
    </row>
    <row r="279" spans="1:19" x14ac:dyDescent="0.3">
      <c r="A279" t="s">
        <v>463</v>
      </c>
      <c r="B279" t="s">
        <v>82</v>
      </c>
      <c r="C279" t="s">
        <v>30</v>
      </c>
      <c r="D279">
        <v>40.749310000000001</v>
      </c>
      <c r="E279">
        <v>-73.899929999999998</v>
      </c>
      <c r="F279" t="s">
        <v>18</v>
      </c>
      <c r="G279">
        <v>1</v>
      </c>
      <c r="H279">
        <v>1.5</v>
      </c>
      <c r="I279">
        <v>1</v>
      </c>
      <c r="J279">
        <v>1</v>
      </c>
      <c r="K279">
        <v>30</v>
      </c>
      <c r="L279">
        <v>334</v>
      </c>
      <c r="M279">
        <v>10</v>
      </c>
      <c r="N279">
        <v>0.15</v>
      </c>
      <c r="O279">
        <f t="shared" si="8"/>
        <v>1</v>
      </c>
      <c r="P279">
        <f t="shared" si="9"/>
        <v>0</v>
      </c>
      <c r="Q279" s="2">
        <v>74</v>
      </c>
      <c r="R279" s="1">
        <v>45717</v>
      </c>
      <c r="S279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33.760000000000019</v>
      </c>
    </row>
    <row r="280" spans="1:19" x14ac:dyDescent="0.3">
      <c r="A280" t="s">
        <v>464</v>
      </c>
      <c r="B280" t="s">
        <v>134</v>
      </c>
      <c r="C280" t="s">
        <v>30</v>
      </c>
      <c r="D280">
        <v>40.71096</v>
      </c>
      <c r="E280">
        <v>-73.735600000000005</v>
      </c>
      <c r="F280" t="s">
        <v>21</v>
      </c>
      <c r="G280">
        <v>4</v>
      </c>
      <c r="H280">
        <v>1</v>
      </c>
      <c r="I280">
        <v>2</v>
      </c>
      <c r="J280">
        <v>2</v>
      </c>
      <c r="K280">
        <v>30</v>
      </c>
      <c r="L280">
        <v>330</v>
      </c>
      <c r="M280">
        <v>161</v>
      </c>
      <c r="N280">
        <v>2.33</v>
      </c>
      <c r="O280">
        <f t="shared" si="8"/>
        <v>0</v>
      </c>
      <c r="P280">
        <f t="shared" si="9"/>
        <v>0</v>
      </c>
      <c r="Q280" s="2">
        <v>204</v>
      </c>
      <c r="R280" s="1">
        <v>45720</v>
      </c>
      <c r="S280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128.55000000000004</v>
      </c>
    </row>
    <row r="281" spans="1:19" x14ac:dyDescent="0.3">
      <c r="A281" t="s">
        <v>465</v>
      </c>
      <c r="B281" t="s">
        <v>19</v>
      </c>
      <c r="C281" t="s">
        <v>20</v>
      </c>
      <c r="D281">
        <v>40.747819999999997</v>
      </c>
      <c r="E281">
        <v>-73.988680000000002</v>
      </c>
      <c r="F281" t="s">
        <v>21</v>
      </c>
      <c r="G281">
        <v>4</v>
      </c>
      <c r="H281">
        <v>1</v>
      </c>
      <c r="I281">
        <v>0</v>
      </c>
      <c r="J281">
        <v>2</v>
      </c>
      <c r="K281">
        <v>2</v>
      </c>
      <c r="L281">
        <v>180</v>
      </c>
      <c r="M281">
        <v>130</v>
      </c>
      <c r="N281">
        <v>1.92</v>
      </c>
      <c r="O281">
        <f t="shared" si="8"/>
        <v>0</v>
      </c>
      <c r="P281">
        <f t="shared" si="9"/>
        <v>4</v>
      </c>
      <c r="Q281" s="2">
        <v>213</v>
      </c>
      <c r="R281" s="1">
        <v>45732</v>
      </c>
      <c r="S281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289.27000000000004</v>
      </c>
    </row>
    <row r="282" spans="1:19" x14ac:dyDescent="0.3">
      <c r="A282" t="s">
        <v>466</v>
      </c>
      <c r="B282" t="s">
        <v>131</v>
      </c>
      <c r="C282" t="s">
        <v>20</v>
      </c>
      <c r="D282">
        <v>40.70655</v>
      </c>
      <c r="E282">
        <v>-74.006519999999995</v>
      </c>
      <c r="F282" t="s">
        <v>21</v>
      </c>
      <c r="G282">
        <v>4</v>
      </c>
      <c r="H282">
        <v>1</v>
      </c>
      <c r="I282">
        <v>0</v>
      </c>
      <c r="J282">
        <v>2</v>
      </c>
      <c r="K282">
        <v>1</v>
      </c>
      <c r="L282">
        <v>251</v>
      </c>
      <c r="M282">
        <v>109</v>
      </c>
      <c r="N282">
        <v>1.62</v>
      </c>
      <c r="O282">
        <f t="shared" si="8"/>
        <v>0</v>
      </c>
      <c r="P282">
        <f t="shared" si="9"/>
        <v>4</v>
      </c>
      <c r="Q282" s="2">
        <v>319</v>
      </c>
      <c r="R282" s="1">
        <v>45746</v>
      </c>
      <c r="S282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289.78000000000003</v>
      </c>
    </row>
    <row r="283" spans="1:19" x14ac:dyDescent="0.3">
      <c r="A283" t="s">
        <v>467</v>
      </c>
      <c r="B283" t="s">
        <v>36</v>
      </c>
      <c r="C283" t="s">
        <v>20</v>
      </c>
      <c r="D283">
        <v>40.76097</v>
      </c>
      <c r="E283">
        <v>-73.961150000000004</v>
      </c>
      <c r="F283" t="s">
        <v>21</v>
      </c>
      <c r="G283">
        <v>2</v>
      </c>
      <c r="H283">
        <v>1</v>
      </c>
      <c r="I283">
        <v>1</v>
      </c>
      <c r="J283">
        <v>1</v>
      </c>
      <c r="K283">
        <v>30</v>
      </c>
      <c r="L283">
        <v>364</v>
      </c>
      <c r="M283">
        <v>14</v>
      </c>
      <c r="N283">
        <v>0.21</v>
      </c>
      <c r="O283">
        <f t="shared" si="8"/>
        <v>0</v>
      </c>
      <c r="P283">
        <f t="shared" si="9"/>
        <v>4</v>
      </c>
      <c r="Q283" s="2">
        <v>158</v>
      </c>
      <c r="R283" s="1">
        <v>45746</v>
      </c>
      <c r="S283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150.15000000000003</v>
      </c>
    </row>
    <row r="284" spans="1:19" x14ac:dyDescent="0.3">
      <c r="A284" t="s">
        <v>468</v>
      </c>
      <c r="B284" t="s">
        <v>19</v>
      </c>
      <c r="C284" t="s">
        <v>20</v>
      </c>
      <c r="D284">
        <v>40.752499999999998</v>
      </c>
      <c r="E284">
        <v>-73.970830000000007</v>
      </c>
      <c r="F284" t="s">
        <v>21</v>
      </c>
      <c r="G284">
        <v>3</v>
      </c>
      <c r="H284">
        <v>1</v>
      </c>
      <c r="I284">
        <v>0</v>
      </c>
      <c r="J284">
        <v>2</v>
      </c>
      <c r="K284">
        <v>30</v>
      </c>
      <c r="L284">
        <v>192</v>
      </c>
      <c r="M284">
        <v>10</v>
      </c>
      <c r="N284">
        <v>0.15</v>
      </c>
      <c r="O284">
        <f t="shared" si="8"/>
        <v>0</v>
      </c>
      <c r="P284">
        <f t="shared" si="9"/>
        <v>4</v>
      </c>
      <c r="Q284" s="2">
        <v>255</v>
      </c>
      <c r="R284" s="1">
        <v>45740</v>
      </c>
      <c r="S284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176.01</v>
      </c>
    </row>
    <row r="285" spans="1:19" x14ac:dyDescent="0.3">
      <c r="A285" t="s">
        <v>470</v>
      </c>
      <c r="B285" t="s">
        <v>122</v>
      </c>
      <c r="C285" t="s">
        <v>17</v>
      </c>
      <c r="D285">
        <v>40.62538</v>
      </c>
      <c r="E285">
        <v>-74.024640000000005</v>
      </c>
      <c r="F285" t="s">
        <v>18</v>
      </c>
      <c r="G285">
        <v>2</v>
      </c>
      <c r="H285">
        <v>2</v>
      </c>
      <c r="I285">
        <v>1</v>
      </c>
      <c r="J285">
        <v>1</v>
      </c>
      <c r="K285">
        <v>30</v>
      </c>
      <c r="L285">
        <v>112</v>
      </c>
      <c r="M285">
        <v>163</v>
      </c>
      <c r="N285">
        <v>2.39</v>
      </c>
      <c r="O285">
        <f t="shared" si="8"/>
        <v>1</v>
      </c>
      <c r="P285">
        <f t="shared" si="9"/>
        <v>2</v>
      </c>
      <c r="Q285" s="2">
        <v>53</v>
      </c>
      <c r="R285" s="1">
        <v>45718</v>
      </c>
      <c r="S285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97.690000000000026</v>
      </c>
    </row>
    <row r="286" spans="1:19" x14ac:dyDescent="0.3">
      <c r="A286" t="s">
        <v>471</v>
      </c>
      <c r="B286" t="s">
        <v>185</v>
      </c>
      <c r="C286" t="s">
        <v>31</v>
      </c>
      <c r="D286">
        <v>40.847709999999999</v>
      </c>
      <c r="E286">
        <v>-73.847329999999999</v>
      </c>
      <c r="F286" t="s">
        <v>18</v>
      </c>
      <c r="G286">
        <v>2</v>
      </c>
      <c r="H286">
        <v>1</v>
      </c>
      <c r="I286">
        <v>1</v>
      </c>
      <c r="J286">
        <v>1</v>
      </c>
      <c r="K286">
        <v>30</v>
      </c>
      <c r="L286">
        <v>240</v>
      </c>
      <c r="M286">
        <v>87</v>
      </c>
      <c r="N286">
        <v>1.28</v>
      </c>
      <c r="O286">
        <f t="shared" si="8"/>
        <v>1</v>
      </c>
      <c r="P286">
        <f t="shared" si="9"/>
        <v>0</v>
      </c>
      <c r="Q286" s="2">
        <v>59</v>
      </c>
      <c r="R286" s="1">
        <v>45747</v>
      </c>
      <c r="S286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50.890000000000029</v>
      </c>
    </row>
    <row r="287" spans="1:19" x14ac:dyDescent="0.3">
      <c r="A287" t="s">
        <v>472</v>
      </c>
      <c r="B287" t="s">
        <v>56</v>
      </c>
      <c r="C287" t="s">
        <v>17</v>
      </c>
      <c r="D287">
        <v>40.670962279876399</v>
      </c>
      <c r="E287">
        <v>-73.954010648554402</v>
      </c>
      <c r="F287" t="s">
        <v>21</v>
      </c>
      <c r="G287">
        <v>2</v>
      </c>
      <c r="H287">
        <v>1</v>
      </c>
      <c r="I287">
        <v>0</v>
      </c>
      <c r="J287">
        <v>1</v>
      </c>
      <c r="K287">
        <v>30</v>
      </c>
      <c r="L287">
        <v>193</v>
      </c>
      <c r="M287">
        <v>5</v>
      </c>
      <c r="N287">
        <v>0.56999999999999995</v>
      </c>
      <c r="O287">
        <f t="shared" si="8"/>
        <v>0</v>
      </c>
      <c r="P287">
        <f t="shared" si="9"/>
        <v>2</v>
      </c>
      <c r="Q287" s="2">
        <v>211</v>
      </c>
      <c r="R287" s="1">
        <v>45747</v>
      </c>
      <c r="S287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126.53000000000003</v>
      </c>
    </row>
    <row r="288" spans="1:19" x14ac:dyDescent="0.3">
      <c r="A288" t="s">
        <v>473</v>
      </c>
      <c r="B288" t="s">
        <v>264</v>
      </c>
      <c r="C288" t="s">
        <v>30</v>
      </c>
      <c r="D288">
        <v>40.700899999999997</v>
      </c>
      <c r="E288">
        <v>-73.751919999999998</v>
      </c>
      <c r="F288" t="s">
        <v>21</v>
      </c>
      <c r="G288">
        <v>4</v>
      </c>
      <c r="H288">
        <v>1</v>
      </c>
      <c r="I288">
        <v>2</v>
      </c>
      <c r="J288">
        <v>2</v>
      </c>
      <c r="K288">
        <v>3</v>
      </c>
      <c r="L288">
        <v>270</v>
      </c>
      <c r="M288">
        <v>39</v>
      </c>
      <c r="N288">
        <v>0.57999999999999996</v>
      </c>
      <c r="O288">
        <f t="shared" si="8"/>
        <v>0</v>
      </c>
      <c r="P288">
        <f t="shared" si="9"/>
        <v>0</v>
      </c>
      <c r="Q288" s="2">
        <v>186</v>
      </c>
      <c r="R288" s="1">
        <v>45725</v>
      </c>
      <c r="S288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221.4</v>
      </c>
    </row>
    <row r="289" spans="1:19" x14ac:dyDescent="0.3">
      <c r="A289" t="s">
        <v>474</v>
      </c>
      <c r="B289" t="s">
        <v>59</v>
      </c>
      <c r="C289" t="s">
        <v>17</v>
      </c>
      <c r="D289">
        <v>40.694769999999998</v>
      </c>
      <c r="E289">
        <v>-73.969750000000005</v>
      </c>
      <c r="F289" t="s">
        <v>18</v>
      </c>
      <c r="G289">
        <v>2</v>
      </c>
      <c r="H289">
        <v>1</v>
      </c>
      <c r="I289">
        <v>1</v>
      </c>
      <c r="J289">
        <v>1</v>
      </c>
      <c r="K289">
        <v>30</v>
      </c>
      <c r="L289">
        <v>153</v>
      </c>
      <c r="M289">
        <v>191</v>
      </c>
      <c r="N289">
        <v>2.86</v>
      </c>
      <c r="O289">
        <f t="shared" si="8"/>
        <v>1</v>
      </c>
      <c r="P289">
        <f t="shared" si="9"/>
        <v>2</v>
      </c>
      <c r="Q289" s="2">
        <v>67</v>
      </c>
      <c r="R289" s="1">
        <v>45723</v>
      </c>
      <c r="S289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84.830000000000013</v>
      </c>
    </row>
    <row r="290" spans="1:19" x14ac:dyDescent="0.3">
      <c r="A290" t="s">
        <v>475</v>
      </c>
      <c r="B290" t="s">
        <v>62</v>
      </c>
      <c r="C290" t="s">
        <v>20</v>
      </c>
      <c r="D290">
        <v>40.713560000000001</v>
      </c>
      <c r="E290">
        <v>-73.990399999999994</v>
      </c>
      <c r="F290" t="s">
        <v>18</v>
      </c>
      <c r="G290">
        <v>1</v>
      </c>
      <c r="H290">
        <v>1</v>
      </c>
      <c r="I290">
        <v>1</v>
      </c>
      <c r="J290">
        <v>1</v>
      </c>
      <c r="K290">
        <v>30</v>
      </c>
      <c r="L290">
        <v>237</v>
      </c>
      <c r="M290">
        <v>78</v>
      </c>
      <c r="N290">
        <v>1.1499999999999999</v>
      </c>
      <c r="O290">
        <f t="shared" si="8"/>
        <v>1</v>
      </c>
      <c r="P290">
        <f t="shared" si="9"/>
        <v>4</v>
      </c>
      <c r="Q290" s="2">
        <v>75</v>
      </c>
      <c r="R290" s="1">
        <v>45727</v>
      </c>
      <c r="S290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92.95</v>
      </c>
    </row>
    <row r="291" spans="1:19" x14ac:dyDescent="0.3">
      <c r="A291" t="s">
        <v>476</v>
      </c>
      <c r="B291" t="s">
        <v>19</v>
      </c>
      <c r="C291" t="s">
        <v>20</v>
      </c>
      <c r="D291">
        <v>40.747149999999998</v>
      </c>
      <c r="E291">
        <v>-73.9846</v>
      </c>
      <c r="F291" t="s">
        <v>18</v>
      </c>
      <c r="G291">
        <v>2</v>
      </c>
      <c r="H291">
        <v>1</v>
      </c>
      <c r="I291">
        <v>1</v>
      </c>
      <c r="J291">
        <v>1</v>
      </c>
      <c r="K291">
        <v>1</v>
      </c>
      <c r="L291">
        <v>262</v>
      </c>
      <c r="M291">
        <v>48</v>
      </c>
      <c r="N291">
        <v>0.89</v>
      </c>
      <c r="O291">
        <f t="shared" si="8"/>
        <v>1</v>
      </c>
      <c r="P291">
        <f t="shared" si="9"/>
        <v>4</v>
      </c>
      <c r="Q291" s="2">
        <v>294</v>
      </c>
      <c r="R291" s="1">
        <v>45730</v>
      </c>
      <c r="S291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208.08000000000004</v>
      </c>
    </row>
    <row r="292" spans="1:19" x14ac:dyDescent="0.3">
      <c r="A292" t="s">
        <v>477</v>
      </c>
      <c r="B292" t="s">
        <v>19</v>
      </c>
      <c r="C292" t="s">
        <v>20</v>
      </c>
      <c r="D292">
        <v>40.74579</v>
      </c>
      <c r="E292">
        <v>-73.984470000000002</v>
      </c>
      <c r="F292" t="s">
        <v>18</v>
      </c>
      <c r="G292">
        <v>2</v>
      </c>
      <c r="H292">
        <v>1</v>
      </c>
      <c r="I292">
        <v>1</v>
      </c>
      <c r="J292">
        <v>1</v>
      </c>
      <c r="K292">
        <v>1</v>
      </c>
      <c r="L292">
        <v>270</v>
      </c>
      <c r="M292">
        <v>94</v>
      </c>
      <c r="N292">
        <v>1.61</v>
      </c>
      <c r="O292">
        <f t="shared" si="8"/>
        <v>1</v>
      </c>
      <c r="P292">
        <f t="shared" si="9"/>
        <v>4</v>
      </c>
      <c r="Q292" s="2">
        <v>305</v>
      </c>
      <c r="R292" s="1">
        <v>45739</v>
      </c>
      <c r="S292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207.76000000000005</v>
      </c>
    </row>
    <row r="293" spans="1:19" x14ac:dyDescent="0.3">
      <c r="A293" t="s">
        <v>479</v>
      </c>
      <c r="B293" t="s">
        <v>43</v>
      </c>
      <c r="C293" t="s">
        <v>20</v>
      </c>
      <c r="D293">
        <v>40.720379999999999</v>
      </c>
      <c r="E293">
        <v>-73.985039999999998</v>
      </c>
      <c r="F293" t="s">
        <v>18</v>
      </c>
      <c r="G293">
        <v>1</v>
      </c>
      <c r="H293">
        <v>1</v>
      </c>
      <c r="I293">
        <v>1</v>
      </c>
      <c r="J293">
        <v>1</v>
      </c>
      <c r="K293">
        <v>30</v>
      </c>
      <c r="L293">
        <v>317</v>
      </c>
      <c r="M293">
        <v>45</v>
      </c>
      <c r="N293">
        <v>0.67</v>
      </c>
      <c r="O293">
        <f t="shared" si="8"/>
        <v>1</v>
      </c>
      <c r="P293">
        <f t="shared" si="9"/>
        <v>4</v>
      </c>
      <c r="Q293" s="2">
        <v>97</v>
      </c>
      <c r="R293" s="1">
        <v>45724</v>
      </c>
      <c r="S293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89.75</v>
      </c>
    </row>
    <row r="294" spans="1:19" x14ac:dyDescent="0.3">
      <c r="A294" t="s">
        <v>480</v>
      </c>
      <c r="B294" t="s">
        <v>32</v>
      </c>
      <c r="C294" t="s">
        <v>20</v>
      </c>
      <c r="D294">
        <v>40.810200000000002</v>
      </c>
      <c r="E294">
        <v>-73.959130000000002</v>
      </c>
      <c r="F294" t="s">
        <v>18</v>
      </c>
      <c r="G294">
        <v>2</v>
      </c>
      <c r="H294">
        <v>1</v>
      </c>
      <c r="I294">
        <v>1</v>
      </c>
      <c r="J294">
        <v>1</v>
      </c>
      <c r="K294">
        <v>30</v>
      </c>
      <c r="L294">
        <v>66</v>
      </c>
      <c r="M294">
        <v>187</v>
      </c>
      <c r="N294">
        <v>2.81</v>
      </c>
      <c r="O294">
        <f t="shared" si="8"/>
        <v>1</v>
      </c>
      <c r="P294">
        <f t="shared" si="9"/>
        <v>4</v>
      </c>
      <c r="Q294" s="2">
        <v>58</v>
      </c>
      <c r="R294" s="1">
        <v>45729</v>
      </c>
      <c r="S294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118.77000000000002</v>
      </c>
    </row>
    <row r="295" spans="1:19" x14ac:dyDescent="0.3">
      <c r="A295" t="s">
        <v>482</v>
      </c>
      <c r="B295" t="s">
        <v>67</v>
      </c>
      <c r="C295" t="s">
        <v>17</v>
      </c>
      <c r="D295" s="3" t="s">
        <v>483</v>
      </c>
      <c r="E295">
        <v>-73.915100097656193</v>
      </c>
      <c r="F295" t="s">
        <v>18</v>
      </c>
      <c r="G295">
        <v>2</v>
      </c>
      <c r="H295">
        <v>1</v>
      </c>
      <c r="I295">
        <v>1</v>
      </c>
      <c r="J295">
        <v>1</v>
      </c>
      <c r="K295">
        <v>1</v>
      </c>
      <c r="L295">
        <v>45</v>
      </c>
      <c r="M295">
        <v>72</v>
      </c>
      <c r="N295">
        <v>1.0900000000000001</v>
      </c>
      <c r="O295">
        <f t="shared" si="8"/>
        <v>1</v>
      </c>
      <c r="P295">
        <f t="shared" si="9"/>
        <v>2</v>
      </c>
      <c r="Q295" s="2">
        <v>88</v>
      </c>
      <c r="R295" s="1">
        <v>45746</v>
      </c>
      <c r="S295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186.30000000000004</v>
      </c>
    </row>
    <row r="296" spans="1:19" x14ac:dyDescent="0.3">
      <c r="A296" t="s">
        <v>484</v>
      </c>
      <c r="B296" t="s">
        <v>86</v>
      </c>
      <c r="C296" t="s">
        <v>20</v>
      </c>
      <c r="D296">
        <v>40.721679999999999</v>
      </c>
      <c r="E296">
        <v>-73.998390000000001</v>
      </c>
      <c r="F296" t="s">
        <v>21</v>
      </c>
      <c r="G296">
        <v>1</v>
      </c>
      <c r="H296">
        <v>1</v>
      </c>
      <c r="I296">
        <v>0</v>
      </c>
      <c r="J296">
        <v>1</v>
      </c>
      <c r="K296">
        <v>30</v>
      </c>
      <c r="L296">
        <v>291</v>
      </c>
      <c r="M296">
        <v>14</v>
      </c>
      <c r="N296">
        <v>0.3</v>
      </c>
      <c r="O296">
        <f t="shared" si="8"/>
        <v>0</v>
      </c>
      <c r="P296">
        <f t="shared" si="9"/>
        <v>4</v>
      </c>
      <c r="Q296" s="2">
        <v>162</v>
      </c>
      <c r="R296" s="1">
        <v>45746</v>
      </c>
      <c r="S296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134.09</v>
      </c>
    </row>
    <row r="297" spans="1:19" x14ac:dyDescent="0.3">
      <c r="A297" t="s">
        <v>485</v>
      </c>
      <c r="B297" t="s">
        <v>28</v>
      </c>
      <c r="C297" t="s">
        <v>20</v>
      </c>
      <c r="D297">
        <v>40.824089999999998</v>
      </c>
      <c r="E297">
        <v>-73.940219999999997</v>
      </c>
      <c r="F297" t="s">
        <v>18</v>
      </c>
      <c r="G297">
        <v>2</v>
      </c>
      <c r="H297">
        <v>1</v>
      </c>
      <c r="I297">
        <v>1</v>
      </c>
      <c r="J297">
        <v>1</v>
      </c>
      <c r="K297">
        <v>30</v>
      </c>
      <c r="L297">
        <v>90</v>
      </c>
      <c r="M297">
        <v>111</v>
      </c>
      <c r="N297">
        <v>1.7</v>
      </c>
      <c r="O297">
        <f t="shared" si="8"/>
        <v>1</v>
      </c>
      <c r="P297">
        <f t="shared" si="9"/>
        <v>4</v>
      </c>
      <c r="Q297" s="2">
        <v>165</v>
      </c>
      <c r="R297" s="1">
        <v>45740</v>
      </c>
      <c r="S297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117.81000000000003</v>
      </c>
    </row>
    <row r="298" spans="1:19" x14ac:dyDescent="0.3">
      <c r="A298" t="s">
        <v>486</v>
      </c>
      <c r="B298" t="s">
        <v>46</v>
      </c>
      <c r="C298" t="s">
        <v>17</v>
      </c>
      <c r="D298">
        <v>40.692230000000002</v>
      </c>
      <c r="E298">
        <v>-73.992599999999996</v>
      </c>
      <c r="F298" t="s">
        <v>21</v>
      </c>
      <c r="G298">
        <v>3</v>
      </c>
      <c r="H298">
        <v>1</v>
      </c>
      <c r="I298">
        <v>1</v>
      </c>
      <c r="J298">
        <v>2</v>
      </c>
      <c r="K298">
        <v>30</v>
      </c>
      <c r="L298">
        <v>38</v>
      </c>
      <c r="M298">
        <v>87</v>
      </c>
      <c r="N298">
        <v>1.34</v>
      </c>
      <c r="O298">
        <f t="shared" si="8"/>
        <v>0</v>
      </c>
      <c r="P298">
        <f t="shared" si="9"/>
        <v>2</v>
      </c>
      <c r="Q298" s="2">
        <v>177</v>
      </c>
      <c r="R298" s="1">
        <v>45747</v>
      </c>
      <c r="S298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151.71</v>
      </c>
    </row>
    <row r="299" spans="1:19" x14ac:dyDescent="0.3">
      <c r="A299" t="s">
        <v>487</v>
      </c>
      <c r="B299" t="s">
        <v>23</v>
      </c>
      <c r="C299" t="s">
        <v>17</v>
      </c>
      <c r="D299">
        <v>40.713590000000003</v>
      </c>
      <c r="E299">
        <v>-73.952889999999996</v>
      </c>
      <c r="F299" t="s">
        <v>21</v>
      </c>
      <c r="G299">
        <v>2</v>
      </c>
      <c r="H299">
        <v>1</v>
      </c>
      <c r="I299">
        <v>1</v>
      </c>
      <c r="J299">
        <v>1</v>
      </c>
      <c r="K299">
        <v>30</v>
      </c>
      <c r="L299">
        <v>156</v>
      </c>
      <c r="M299">
        <v>49</v>
      </c>
      <c r="N299">
        <v>0.75</v>
      </c>
      <c r="O299">
        <f t="shared" si="8"/>
        <v>0</v>
      </c>
      <c r="P299">
        <f t="shared" si="9"/>
        <v>2</v>
      </c>
      <c r="Q299" s="2">
        <v>94</v>
      </c>
      <c r="R299" s="1">
        <v>45747</v>
      </c>
      <c r="S299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128.01000000000002</v>
      </c>
    </row>
    <row r="300" spans="1:19" x14ac:dyDescent="0.3">
      <c r="A300" t="s">
        <v>488</v>
      </c>
      <c r="B300" t="s">
        <v>19</v>
      </c>
      <c r="C300" t="s">
        <v>20</v>
      </c>
      <c r="D300">
        <v>40.748080000000002</v>
      </c>
      <c r="E300">
        <v>-73.988280000000003</v>
      </c>
      <c r="F300" t="s">
        <v>21</v>
      </c>
      <c r="G300">
        <v>6</v>
      </c>
      <c r="H300">
        <v>1</v>
      </c>
      <c r="I300">
        <v>0</v>
      </c>
      <c r="J300">
        <v>4</v>
      </c>
      <c r="K300">
        <v>1</v>
      </c>
      <c r="L300">
        <v>92</v>
      </c>
      <c r="M300">
        <v>89</v>
      </c>
      <c r="N300">
        <v>1.52</v>
      </c>
      <c r="O300">
        <f t="shared" si="8"/>
        <v>0</v>
      </c>
      <c r="P300">
        <f t="shared" si="9"/>
        <v>4</v>
      </c>
      <c r="Q300" s="2">
        <v>402</v>
      </c>
      <c r="R300" s="1">
        <v>45728</v>
      </c>
      <c r="S300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334.1</v>
      </c>
    </row>
    <row r="301" spans="1:19" x14ac:dyDescent="0.3">
      <c r="A301" t="s">
        <v>489</v>
      </c>
      <c r="B301" t="s">
        <v>27</v>
      </c>
      <c r="C301" t="s">
        <v>17</v>
      </c>
      <c r="D301" s="3" t="s">
        <v>490</v>
      </c>
      <c r="E301">
        <v>-73.945002670869201</v>
      </c>
      <c r="F301" t="s">
        <v>21</v>
      </c>
      <c r="G301">
        <v>2</v>
      </c>
      <c r="H301">
        <v>1</v>
      </c>
      <c r="I301">
        <v>1</v>
      </c>
      <c r="J301">
        <v>1</v>
      </c>
      <c r="K301">
        <v>5</v>
      </c>
      <c r="L301">
        <v>51</v>
      </c>
      <c r="M301">
        <v>117</v>
      </c>
      <c r="N301">
        <v>1.81</v>
      </c>
      <c r="O301">
        <f t="shared" si="8"/>
        <v>0</v>
      </c>
      <c r="P301">
        <f t="shared" si="9"/>
        <v>2</v>
      </c>
      <c r="Q301" s="2">
        <v>210</v>
      </c>
      <c r="R301" s="1">
        <v>45744</v>
      </c>
      <c r="S301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215.96000000000004</v>
      </c>
    </row>
    <row r="302" spans="1:19" x14ac:dyDescent="0.3">
      <c r="A302" t="s">
        <v>491</v>
      </c>
      <c r="B302" t="s">
        <v>68</v>
      </c>
      <c r="C302" t="s">
        <v>20</v>
      </c>
      <c r="D302">
        <v>40.848550000000003</v>
      </c>
      <c r="E302">
        <v>-73.936809999999994</v>
      </c>
      <c r="F302" t="s">
        <v>21</v>
      </c>
      <c r="G302">
        <v>2</v>
      </c>
      <c r="H302">
        <v>1</v>
      </c>
      <c r="I302">
        <v>1</v>
      </c>
      <c r="J302">
        <v>2</v>
      </c>
      <c r="K302">
        <v>30</v>
      </c>
      <c r="L302">
        <v>106</v>
      </c>
      <c r="M302">
        <v>54</v>
      </c>
      <c r="N302">
        <v>0.83</v>
      </c>
      <c r="O302">
        <f t="shared" si="8"/>
        <v>0</v>
      </c>
      <c r="P302">
        <f t="shared" si="9"/>
        <v>4</v>
      </c>
      <c r="Q302" s="2">
        <v>114</v>
      </c>
      <c r="R302" s="1">
        <v>45747</v>
      </c>
      <c r="S302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160.47000000000003</v>
      </c>
    </row>
    <row r="303" spans="1:19" x14ac:dyDescent="0.3">
      <c r="A303" t="s">
        <v>492</v>
      </c>
      <c r="B303" t="s">
        <v>33</v>
      </c>
      <c r="C303" t="s">
        <v>17</v>
      </c>
      <c r="D303">
        <v>40.678930000000001</v>
      </c>
      <c r="E303">
        <v>-73.975390000000004</v>
      </c>
      <c r="F303" t="s">
        <v>21</v>
      </c>
      <c r="G303">
        <v>2</v>
      </c>
      <c r="H303">
        <v>1</v>
      </c>
      <c r="I303">
        <v>1</v>
      </c>
      <c r="J303">
        <v>1</v>
      </c>
      <c r="K303">
        <v>30</v>
      </c>
      <c r="L303">
        <v>80</v>
      </c>
      <c r="M303">
        <v>23</v>
      </c>
      <c r="N303">
        <v>0.54</v>
      </c>
      <c r="O303">
        <f t="shared" si="8"/>
        <v>0</v>
      </c>
      <c r="P303">
        <f t="shared" si="9"/>
        <v>2</v>
      </c>
      <c r="Q303" s="2">
        <v>245</v>
      </c>
      <c r="R303" s="1">
        <v>45741</v>
      </c>
      <c r="S303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131.05000000000001</v>
      </c>
    </row>
    <row r="304" spans="1:19" x14ac:dyDescent="0.3">
      <c r="A304" t="s">
        <v>493</v>
      </c>
      <c r="B304" t="s">
        <v>27</v>
      </c>
      <c r="C304" t="s">
        <v>17</v>
      </c>
      <c r="D304">
        <v>40.689630000000001</v>
      </c>
      <c r="E304">
        <v>-73.931740000000005</v>
      </c>
      <c r="F304" t="s">
        <v>18</v>
      </c>
      <c r="G304">
        <v>2</v>
      </c>
      <c r="H304">
        <v>1</v>
      </c>
      <c r="I304">
        <v>1</v>
      </c>
      <c r="J304">
        <v>1</v>
      </c>
      <c r="K304">
        <v>2</v>
      </c>
      <c r="L304">
        <v>46</v>
      </c>
      <c r="M304">
        <v>150</v>
      </c>
      <c r="N304">
        <v>2.34</v>
      </c>
      <c r="O304">
        <f t="shared" si="8"/>
        <v>1</v>
      </c>
      <c r="P304">
        <f t="shared" si="9"/>
        <v>2</v>
      </c>
      <c r="Q304" s="2">
        <v>120</v>
      </c>
      <c r="R304" s="1">
        <v>45746</v>
      </c>
      <c r="S304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182.91000000000005</v>
      </c>
    </row>
    <row r="305" spans="1:19" x14ac:dyDescent="0.3">
      <c r="A305" t="s">
        <v>494</v>
      </c>
      <c r="B305" t="s">
        <v>385</v>
      </c>
      <c r="C305" t="s">
        <v>17</v>
      </c>
      <c r="D305">
        <v>40.628059999999998</v>
      </c>
      <c r="E305">
        <v>-73.914450000000002</v>
      </c>
      <c r="F305" t="s">
        <v>21</v>
      </c>
      <c r="G305">
        <v>2</v>
      </c>
      <c r="H305">
        <v>1</v>
      </c>
      <c r="I305">
        <v>1</v>
      </c>
      <c r="J305">
        <v>1</v>
      </c>
      <c r="K305">
        <v>2</v>
      </c>
      <c r="L305">
        <v>319</v>
      </c>
      <c r="M305">
        <v>191</v>
      </c>
      <c r="N305">
        <v>2.99</v>
      </c>
      <c r="O305">
        <f t="shared" si="8"/>
        <v>0</v>
      </c>
      <c r="P305">
        <f t="shared" si="9"/>
        <v>2</v>
      </c>
      <c r="Q305" s="2">
        <v>161</v>
      </c>
      <c r="R305" s="1">
        <v>45728</v>
      </c>
      <c r="S305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215.29000000000005</v>
      </c>
    </row>
    <row r="306" spans="1:19" x14ac:dyDescent="0.3">
      <c r="A306" t="s">
        <v>495</v>
      </c>
      <c r="B306" t="s">
        <v>36</v>
      </c>
      <c r="C306" t="s">
        <v>20</v>
      </c>
      <c r="D306">
        <v>40.774900000000002</v>
      </c>
      <c r="E306">
        <v>-73.953360000000004</v>
      </c>
      <c r="F306" t="s">
        <v>21</v>
      </c>
      <c r="G306">
        <v>2</v>
      </c>
      <c r="H306">
        <v>1</v>
      </c>
      <c r="I306">
        <v>0</v>
      </c>
      <c r="J306">
        <v>2</v>
      </c>
      <c r="K306">
        <v>30</v>
      </c>
      <c r="L306">
        <v>365</v>
      </c>
      <c r="M306">
        <v>11</v>
      </c>
      <c r="N306">
        <v>0.25</v>
      </c>
      <c r="O306">
        <f t="shared" si="8"/>
        <v>0</v>
      </c>
      <c r="P306">
        <f t="shared" si="9"/>
        <v>4</v>
      </c>
      <c r="Q306" s="2">
        <v>117</v>
      </c>
      <c r="R306" s="1">
        <v>45747</v>
      </c>
      <c r="S306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150.11000000000001</v>
      </c>
    </row>
    <row r="307" spans="1:19" x14ac:dyDescent="0.3">
      <c r="A307" t="s">
        <v>496</v>
      </c>
      <c r="B307" t="s">
        <v>40</v>
      </c>
      <c r="C307" t="s">
        <v>17</v>
      </c>
      <c r="D307">
        <v>40.641179999999999</v>
      </c>
      <c r="E307">
        <v>-73.952309999999997</v>
      </c>
      <c r="F307" t="s">
        <v>18</v>
      </c>
      <c r="G307">
        <v>1</v>
      </c>
      <c r="H307">
        <v>1</v>
      </c>
      <c r="I307">
        <v>1</v>
      </c>
      <c r="J307">
        <v>1</v>
      </c>
      <c r="K307">
        <v>30</v>
      </c>
      <c r="L307">
        <v>141</v>
      </c>
      <c r="M307">
        <v>44</v>
      </c>
      <c r="N307">
        <v>0.7</v>
      </c>
      <c r="O307">
        <f t="shared" si="8"/>
        <v>1</v>
      </c>
      <c r="P307">
        <f t="shared" si="9"/>
        <v>2</v>
      </c>
      <c r="Q307" s="2">
        <v>67</v>
      </c>
      <c r="R307" s="1">
        <v>45718</v>
      </c>
      <c r="S307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66.330000000000013</v>
      </c>
    </row>
    <row r="308" spans="1:19" x14ac:dyDescent="0.3">
      <c r="A308" t="s">
        <v>497</v>
      </c>
      <c r="B308" t="s">
        <v>251</v>
      </c>
      <c r="C308" t="s">
        <v>30</v>
      </c>
      <c r="D308">
        <v>40.673479999999998</v>
      </c>
      <c r="E308">
        <v>-73.75094</v>
      </c>
      <c r="F308" t="s">
        <v>21</v>
      </c>
      <c r="G308">
        <v>6</v>
      </c>
      <c r="H308">
        <v>1</v>
      </c>
      <c r="I308">
        <v>3</v>
      </c>
      <c r="J308">
        <v>4</v>
      </c>
      <c r="K308">
        <v>30</v>
      </c>
      <c r="L308">
        <v>351</v>
      </c>
      <c r="M308">
        <v>76</v>
      </c>
      <c r="N308">
        <v>1.28</v>
      </c>
      <c r="O308">
        <f t="shared" si="8"/>
        <v>0</v>
      </c>
      <c r="P308">
        <f t="shared" si="9"/>
        <v>0</v>
      </c>
      <c r="Q308" s="2">
        <v>100</v>
      </c>
      <c r="R308" s="1">
        <v>45723</v>
      </c>
      <c r="S308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165.67000000000004</v>
      </c>
    </row>
    <row r="309" spans="1:19" x14ac:dyDescent="0.3">
      <c r="A309" t="s">
        <v>498</v>
      </c>
      <c r="B309" t="s">
        <v>43</v>
      </c>
      <c r="C309" t="s">
        <v>20</v>
      </c>
      <c r="D309">
        <v>40.712319999999998</v>
      </c>
      <c r="E309">
        <v>-73.991479999999996</v>
      </c>
      <c r="F309" t="s">
        <v>21</v>
      </c>
      <c r="G309">
        <v>2</v>
      </c>
      <c r="H309">
        <v>1</v>
      </c>
      <c r="I309">
        <v>1</v>
      </c>
      <c r="J309">
        <v>1</v>
      </c>
      <c r="K309">
        <v>30</v>
      </c>
      <c r="L309">
        <v>266</v>
      </c>
      <c r="M309">
        <v>39</v>
      </c>
      <c r="N309">
        <v>0.62</v>
      </c>
      <c r="O309">
        <f t="shared" si="8"/>
        <v>0</v>
      </c>
      <c r="P309">
        <f t="shared" si="9"/>
        <v>4</v>
      </c>
      <c r="Q309" s="2">
        <v>90</v>
      </c>
      <c r="R309" s="1">
        <v>45747</v>
      </c>
      <c r="S309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154.07000000000002</v>
      </c>
    </row>
    <row r="310" spans="1:19" x14ac:dyDescent="0.3">
      <c r="A310" t="s">
        <v>499</v>
      </c>
      <c r="B310" t="s">
        <v>27</v>
      </c>
      <c r="C310" t="s">
        <v>17</v>
      </c>
      <c r="D310">
        <v>40.690989999999999</v>
      </c>
      <c r="E310">
        <v>-73.926029999999997</v>
      </c>
      <c r="F310" t="s">
        <v>21</v>
      </c>
      <c r="G310">
        <v>2</v>
      </c>
      <c r="H310">
        <v>1</v>
      </c>
      <c r="I310">
        <v>1</v>
      </c>
      <c r="J310">
        <v>2</v>
      </c>
      <c r="K310">
        <v>30</v>
      </c>
      <c r="L310">
        <v>150</v>
      </c>
      <c r="M310">
        <v>20</v>
      </c>
      <c r="N310">
        <v>0.83</v>
      </c>
      <c r="O310">
        <f t="shared" si="8"/>
        <v>0</v>
      </c>
      <c r="P310">
        <f t="shared" si="9"/>
        <v>2</v>
      </c>
      <c r="Q310" s="2">
        <v>100</v>
      </c>
      <c r="R310" s="1">
        <v>45743</v>
      </c>
      <c r="S310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128.25000000000003</v>
      </c>
    </row>
    <row r="311" spans="1:19" x14ac:dyDescent="0.3">
      <c r="A311" t="s">
        <v>500</v>
      </c>
      <c r="B311" t="s">
        <v>23</v>
      </c>
      <c r="C311" t="s">
        <v>17</v>
      </c>
      <c r="D311">
        <v>40.708060000000003</v>
      </c>
      <c r="E311">
        <v>-73.960989999999995</v>
      </c>
      <c r="F311" t="s">
        <v>21</v>
      </c>
      <c r="G311">
        <v>4</v>
      </c>
      <c r="H311">
        <v>1</v>
      </c>
      <c r="I311">
        <v>2</v>
      </c>
      <c r="J311">
        <v>2</v>
      </c>
      <c r="K311">
        <v>30</v>
      </c>
      <c r="L311">
        <v>266</v>
      </c>
      <c r="M311">
        <v>49</v>
      </c>
      <c r="N311">
        <v>0.78</v>
      </c>
      <c r="O311">
        <f t="shared" si="8"/>
        <v>0</v>
      </c>
      <c r="P311">
        <f t="shared" si="9"/>
        <v>2</v>
      </c>
      <c r="Q311" s="2">
        <v>150</v>
      </c>
      <c r="R311" s="1">
        <v>45740</v>
      </c>
      <c r="S311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161.57000000000002</v>
      </c>
    </row>
    <row r="312" spans="1:19" x14ac:dyDescent="0.3">
      <c r="A312" t="s">
        <v>502</v>
      </c>
      <c r="B312" t="s">
        <v>28</v>
      </c>
      <c r="C312" t="s">
        <v>20</v>
      </c>
      <c r="D312">
        <v>40.808160000000001</v>
      </c>
      <c r="E312">
        <v>-73.951920000000001</v>
      </c>
      <c r="F312" t="s">
        <v>21</v>
      </c>
      <c r="G312">
        <v>2</v>
      </c>
      <c r="H312">
        <v>1</v>
      </c>
      <c r="I312">
        <v>0</v>
      </c>
      <c r="J312">
        <v>1</v>
      </c>
      <c r="K312">
        <v>4</v>
      </c>
      <c r="L312">
        <v>38</v>
      </c>
      <c r="M312">
        <v>65</v>
      </c>
      <c r="N312">
        <v>1.03</v>
      </c>
      <c r="O312">
        <f t="shared" si="8"/>
        <v>0</v>
      </c>
      <c r="P312">
        <f t="shared" si="9"/>
        <v>4</v>
      </c>
      <c r="Q312" s="2">
        <v>169</v>
      </c>
      <c r="R312" s="1">
        <v>45746</v>
      </c>
      <c r="S312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250.29000000000002</v>
      </c>
    </row>
    <row r="313" spans="1:19" x14ac:dyDescent="0.3">
      <c r="A313" t="s">
        <v>503</v>
      </c>
      <c r="B313" t="s">
        <v>72</v>
      </c>
      <c r="C313" t="s">
        <v>20</v>
      </c>
      <c r="D313">
        <v>40.734540000000003</v>
      </c>
      <c r="E313">
        <v>-73.983429999999998</v>
      </c>
      <c r="F313" t="s">
        <v>18</v>
      </c>
      <c r="G313">
        <v>1</v>
      </c>
      <c r="H313">
        <v>4</v>
      </c>
      <c r="I313">
        <v>1</v>
      </c>
      <c r="J313">
        <v>1</v>
      </c>
      <c r="K313">
        <v>30</v>
      </c>
      <c r="L313">
        <v>291</v>
      </c>
      <c r="M313">
        <v>10</v>
      </c>
      <c r="N313">
        <v>0.23</v>
      </c>
      <c r="O313">
        <f t="shared" si="8"/>
        <v>1</v>
      </c>
      <c r="P313">
        <f t="shared" si="9"/>
        <v>4</v>
      </c>
      <c r="Q313" s="2">
        <v>82</v>
      </c>
      <c r="R313" s="1">
        <v>45718</v>
      </c>
      <c r="S313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124.45</v>
      </c>
    </row>
    <row r="314" spans="1:19" x14ac:dyDescent="0.3">
      <c r="A314" t="s">
        <v>504</v>
      </c>
      <c r="B314" t="s">
        <v>36</v>
      </c>
      <c r="C314" t="s">
        <v>20</v>
      </c>
      <c r="D314">
        <v>40.773200000000003</v>
      </c>
      <c r="E314">
        <v>-73.951570000000004</v>
      </c>
      <c r="F314" t="s">
        <v>21</v>
      </c>
      <c r="G314">
        <v>3</v>
      </c>
      <c r="H314">
        <v>1</v>
      </c>
      <c r="I314">
        <v>0</v>
      </c>
      <c r="J314">
        <v>2</v>
      </c>
      <c r="K314">
        <v>30</v>
      </c>
      <c r="L314">
        <v>260</v>
      </c>
      <c r="M314">
        <v>4</v>
      </c>
      <c r="N314">
        <v>0.16</v>
      </c>
      <c r="O314">
        <f t="shared" si="8"/>
        <v>0</v>
      </c>
      <c r="P314">
        <f t="shared" si="9"/>
        <v>4</v>
      </c>
      <c r="Q314" s="2">
        <v>125</v>
      </c>
      <c r="R314" s="1">
        <v>45740</v>
      </c>
      <c r="S314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173.29000000000002</v>
      </c>
    </row>
    <row r="315" spans="1:19" x14ac:dyDescent="0.3">
      <c r="A315" t="s">
        <v>505</v>
      </c>
      <c r="B315" t="s">
        <v>72</v>
      </c>
      <c r="C315" t="s">
        <v>20</v>
      </c>
      <c r="D315">
        <v>40.735469999999999</v>
      </c>
      <c r="E315">
        <v>-73.985479999999995</v>
      </c>
      <c r="F315" t="s">
        <v>18</v>
      </c>
      <c r="G315">
        <v>1</v>
      </c>
      <c r="H315">
        <v>4</v>
      </c>
      <c r="I315">
        <v>1</v>
      </c>
      <c r="J315">
        <v>1</v>
      </c>
      <c r="K315">
        <v>30</v>
      </c>
      <c r="L315">
        <v>235</v>
      </c>
      <c r="M315">
        <v>18</v>
      </c>
      <c r="N315">
        <v>0.42</v>
      </c>
      <c r="O315">
        <f t="shared" si="8"/>
        <v>1</v>
      </c>
      <c r="P315">
        <f t="shared" si="9"/>
        <v>4</v>
      </c>
      <c r="Q315" s="2">
        <v>90</v>
      </c>
      <c r="R315" s="1">
        <v>45719</v>
      </c>
      <c r="S315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126.69</v>
      </c>
    </row>
    <row r="316" spans="1:19" x14ac:dyDescent="0.3">
      <c r="A316" t="s">
        <v>506</v>
      </c>
      <c r="B316" t="s">
        <v>36</v>
      </c>
      <c r="C316" t="s">
        <v>20</v>
      </c>
      <c r="D316">
        <v>40.784109999999998</v>
      </c>
      <c r="E316">
        <v>-73.948639999999997</v>
      </c>
      <c r="F316" t="s">
        <v>21</v>
      </c>
      <c r="G316">
        <v>4</v>
      </c>
      <c r="H316">
        <v>1</v>
      </c>
      <c r="I316">
        <v>2</v>
      </c>
      <c r="J316">
        <v>3</v>
      </c>
      <c r="K316">
        <v>30</v>
      </c>
      <c r="L316">
        <v>365</v>
      </c>
      <c r="M316">
        <v>4</v>
      </c>
      <c r="N316">
        <v>0.11</v>
      </c>
      <c r="O316">
        <f t="shared" si="8"/>
        <v>0</v>
      </c>
      <c r="P316">
        <f t="shared" si="9"/>
        <v>4</v>
      </c>
      <c r="Q316" s="2">
        <v>143</v>
      </c>
      <c r="R316" s="1">
        <v>45745</v>
      </c>
      <c r="S316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188.07000000000005</v>
      </c>
    </row>
    <row r="317" spans="1:19" x14ac:dyDescent="0.3">
      <c r="A317" t="s">
        <v>507</v>
      </c>
      <c r="B317" t="s">
        <v>95</v>
      </c>
      <c r="C317" t="s">
        <v>20</v>
      </c>
      <c r="D317">
        <v>40.748820000000002</v>
      </c>
      <c r="E317">
        <v>-73.980119999999999</v>
      </c>
      <c r="F317" t="s">
        <v>21</v>
      </c>
      <c r="G317">
        <v>5</v>
      </c>
      <c r="H317">
        <v>2</v>
      </c>
      <c r="I317">
        <v>2</v>
      </c>
      <c r="J317">
        <v>2</v>
      </c>
      <c r="K317">
        <v>30</v>
      </c>
      <c r="L317">
        <v>274</v>
      </c>
      <c r="M317">
        <v>14</v>
      </c>
      <c r="N317">
        <v>0.22</v>
      </c>
      <c r="O317">
        <f t="shared" si="8"/>
        <v>0</v>
      </c>
      <c r="P317">
        <f t="shared" si="9"/>
        <v>4</v>
      </c>
      <c r="Q317" s="2">
        <v>330</v>
      </c>
      <c r="R317" s="1">
        <v>45717</v>
      </c>
      <c r="S317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221.91000000000003</v>
      </c>
    </row>
    <row r="318" spans="1:19" x14ac:dyDescent="0.3">
      <c r="A318" t="s">
        <v>508</v>
      </c>
      <c r="B318" t="s">
        <v>132</v>
      </c>
      <c r="C318" t="s">
        <v>17</v>
      </c>
      <c r="D318" s="3" t="s">
        <v>509</v>
      </c>
      <c r="E318">
        <v>-73.912321694878798</v>
      </c>
      <c r="F318" t="s">
        <v>18</v>
      </c>
      <c r="G318">
        <v>1</v>
      </c>
      <c r="H318">
        <v>1</v>
      </c>
      <c r="I318">
        <v>1</v>
      </c>
      <c r="J318">
        <v>1</v>
      </c>
      <c r="K318">
        <v>2</v>
      </c>
      <c r="L318">
        <v>167</v>
      </c>
      <c r="M318">
        <v>68</v>
      </c>
      <c r="N318">
        <v>1.98</v>
      </c>
      <c r="O318">
        <f t="shared" si="8"/>
        <v>1</v>
      </c>
      <c r="P318">
        <f t="shared" si="9"/>
        <v>2</v>
      </c>
      <c r="Q318" s="2">
        <v>118</v>
      </c>
      <c r="R318" s="1">
        <v>45732</v>
      </c>
      <c r="S318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159.09</v>
      </c>
    </row>
    <row r="319" spans="1:19" x14ac:dyDescent="0.3">
      <c r="A319" t="s">
        <v>510</v>
      </c>
      <c r="B319" t="s">
        <v>27</v>
      </c>
      <c r="C319" t="s">
        <v>17</v>
      </c>
      <c r="D319">
        <v>40.681910000000002</v>
      </c>
      <c r="E319">
        <v>-73.939880000000002</v>
      </c>
      <c r="F319" t="s">
        <v>21</v>
      </c>
      <c r="G319">
        <v>4</v>
      </c>
      <c r="H319">
        <v>1</v>
      </c>
      <c r="I319">
        <v>2</v>
      </c>
      <c r="J319">
        <v>2</v>
      </c>
      <c r="K319">
        <v>30</v>
      </c>
      <c r="L319">
        <v>188</v>
      </c>
      <c r="M319">
        <v>102</v>
      </c>
      <c r="N319">
        <v>1.71</v>
      </c>
      <c r="O319">
        <f t="shared" si="8"/>
        <v>0</v>
      </c>
      <c r="P319">
        <f t="shared" si="9"/>
        <v>2</v>
      </c>
      <c r="Q319" s="2">
        <v>170</v>
      </c>
      <c r="R319" s="1">
        <v>45739</v>
      </c>
      <c r="S319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164.69000000000003</v>
      </c>
    </row>
    <row r="320" spans="1:19" x14ac:dyDescent="0.3">
      <c r="A320" t="s">
        <v>512</v>
      </c>
      <c r="B320" t="s">
        <v>43</v>
      </c>
      <c r="C320" t="s">
        <v>20</v>
      </c>
      <c r="D320">
        <v>40.718679999999999</v>
      </c>
      <c r="E320">
        <v>-73.993709999999993</v>
      </c>
      <c r="F320" t="s">
        <v>21</v>
      </c>
      <c r="G320">
        <v>2</v>
      </c>
      <c r="H320">
        <v>1</v>
      </c>
      <c r="I320">
        <v>0</v>
      </c>
      <c r="J320">
        <v>1</v>
      </c>
      <c r="K320">
        <v>15</v>
      </c>
      <c r="L320">
        <v>57</v>
      </c>
      <c r="M320">
        <v>42</v>
      </c>
      <c r="N320">
        <v>0.78</v>
      </c>
      <c r="O320">
        <f t="shared" si="8"/>
        <v>0</v>
      </c>
      <c r="P320">
        <f t="shared" si="9"/>
        <v>4</v>
      </c>
      <c r="Q320" s="2">
        <v>200</v>
      </c>
      <c r="R320" s="1">
        <v>45744</v>
      </c>
      <c r="S320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212.68</v>
      </c>
    </row>
    <row r="321" spans="1:19" x14ac:dyDescent="0.3">
      <c r="A321" t="s">
        <v>512</v>
      </c>
      <c r="B321" t="s">
        <v>62</v>
      </c>
      <c r="C321" t="s">
        <v>20</v>
      </c>
      <c r="D321">
        <v>40.718809999999998</v>
      </c>
      <c r="E321">
        <v>-73.996049999999997</v>
      </c>
      <c r="F321" t="s">
        <v>21</v>
      </c>
      <c r="G321">
        <v>2</v>
      </c>
      <c r="H321">
        <v>1</v>
      </c>
      <c r="I321">
        <v>0</v>
      </c>
      <c r="J321">
        <v>1</v>
      </c>
      <c r="K321">
        <v>15</v>
      </c>
      <c r="L321">
        <v>89</v>
      </c>
      <c r="M321">
        <v>35</v>
      </c>
      <c r="N321">
        <v>0.57999999999999996</v>
      </c>
      <c r="O321">
        <f t="shared" si="8"/>
        <v>0</v>
      </c>
      <c r="P321">
        <f t="shared" si="9"/>
        <v>4</v>
      </c>
      <c r="Q321" s="2">
        <v>227</v>
      </c>
      <c r="R321" s="1">
        <v>45717</v>
      </c>
      <c r="S321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211.40000000000003</v>
      </c>
    </row>
    <row r="322" spans="1:19" x14ac:dyDescent="0.3">
      <c r="A322" t="s">
        <v>513</v>
      </c>
      <c r="B322" t="s">
        <v>85</v>
      </c>
      <c r="C322" t="s">
        <v>20</v>
      </c>
      <c r="D322">
        <v>40.719880000000003</v>
      </c>
      <c r="E322">
        <v>-73.995559999999998</v>
      </c>
      <c r="F322" t="s">
        <v>21</v>
      </c>
      <c r="G322">
        <v>2</v>
      </c>
      <c r="H322">
        <v>1</v>
      </c>
      <c r="I322">
        <v>0</v>
      </c>
      <c r="J322">
        <v>1</v>
      </c>
      <c r="K322">
        <v>15</v>
      </c>
      <c r="L322">
        <v>69</v>
      </c>
      <c r="M322">
        <v>47</v>
      </c>
      <c r="N322">
        <v>0.79</v>
      </c>
      <c r="O322">
        <f t="shared" si="8"/>
        <v>0</v>
      </c>
      <c r="P322">
        <f t="shared" si="9"/>
        <v>4</v>
      </c>
      <c r="Q322" s="2">
        <v>204</v>
      </c>
      <c r="R322" s="1">
        <v>45740</v>
      </c>
      <c r="S322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212.20000000000005</v>
      </c>
    </row>
    <row r="323" spans="1:19" x14ac:dyDescent="0.3">
      <c r="A323" t="s">
        <v>515</v>
      </c>
      <c r="B323" t="s">
        <v>43</v>
      </c>
      <c r="C323" t="s">
        <v>20</v>
      </c>
      <c r="D323">
        <v>40.718820000000001</v>
      </c>
      <c r="E323">
        <v>-73.993729999999999</v>
      </c>
      <c r="F323" t="s">
        <v>21</v>
      </c>
      <c r="G323">
        <v>2</v>
      </c>
      <c r="H323">
        <v>1</v>
      </c>
      <c r="I323">
        <v>0</v>
      </c>
      <c r="J323">
        <v>1</v>
      </c>
      <c r="K323">
        <v>19</v>
      </c>
      <c r="L323">
        <v>73</v>
      </c>
      <c r="M323">
        <v>27</v>
      </c>
      <c r="N323">
        <v>0.45</v>
      </c>
      <c r="O323">
        <f t="shared" ref="O323:O386" si="10">IF(F323="Private room",1,0)</f>
        <v>0</v>
      </c>
      <c r="P323">
        <f t="shared" ref="P323:P386" si="11">IF(C323="Manhattan",4,IF(C323="Brooklyn",2,0))</f>
        <v>4</v>
      </c>
      <c r="Q323" s="2">
        <v>200</v>
      </c>
      <c r="R323" s="1">
        <v>45745</v>
      </c>
      <c r="S323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198.64000000000004</v>
      </c>
    </row>
    <row r="324" spans="1:19" x14ac:dyDescent="0.3">
      <c r="A324" t="s">
        <v>516</v>
      </c>
      <c r="B324" t="s">
        <v>57</v>
      </c>
      <c r="C324" t="s">
        <v>20</v>
      </c>
      <c r="D324">
        <v>40.720269999999999</v>
      </c>
      <c r="E324">
        <v>-73.995670000000004</v>
      </c>
      <c r="F324" t="s">
        <v>18</v>
      </c>
      <c r="G324">
        <v>2</v>
      </c>
      <c r="H324">
        <v>1</v>
      </c>
      <c r="I324">
        <v>1</v>
      </c>
      <c r="J324">
        <v>1</v>
      </c>
      <c r="K324">
        <v>15</v>
      </c>
      <c r="L324">
        <v>81</v>
      </c>
      <c r="M324">
        <v>45</v>
      </c>
      <c r="N324">
        <v>0.81</v>
      </c>
      <c r="O324">
        <f t="shared" si="10"/>
        <v>1</v>
      </c>
      <c r="P324">
        <f t="shared" si="11"/>
        <v>4</v>
      </c>
      <c r="Q324" s="2">
        <v>200</v>
      </c>
      <c r="R324" s="1">
        <v>45732</v>
      </c>
      <c r="S324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168.42000000000002</v>
      </c>
    </row>
    <row r="325" spans="1:19" x14ac:dyDescent="0.3">
      <c r="A325" t="s">
        <v>514</v>
      </c>
      <c r="B325" t="s">
        <v>62</v>
      </c>
      <c r="C325" t="s">
        <v>20</v>
      </c>
      <c r="D325">
        <v>40.718629999999997</v>
      </c>
      <c r="E325">
        <v>-73.995620000000002</v>
      </c>
      <c r="F325" t="s">
        <v>21</v>
      </c>
      <c r="G325">
        <v>2</v>
      </c>
      <c r="H325">
        <v>1</v>
      </c>
      <c r="I325">
        <v>0</v>
      </c>
      <c r="J325">
        <v>1</v>
      </c>
      <c r="K325">
        <v>15</v>
      </c>
      <c r="L325">
        <v>62</v>
      </c>
      <c r="M325">
        <v>56</v>
      </c>
      <c r="N325">
        <v>0.94</v>
      </c>
      <c r="O325">
        <f t="shared" si="10"/>
        <v>0</v>
      </c>
      <c r="P325">
        <f t="shared" si="11"/>
        <v>4</v>
      </c>
      <c r="Q325" s="2">
        <v>200</v>
      </c>
      <c r="R325" s="1">
        <v>45746</v>
      </c>
      <c r="S325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212.48000000000002</v>
      </c>
    </row>
    <row r="326" spans="1:19" x14ac:dyDescent="0.3">
      <c r="A326" t="s">
        <v>511</v>
      </c>
      <c r="B326" t="s">
        <v>85</v>
      </c>
      <c r="C326" t="s">
        <v>20</v>
      </c>
      <c r="D326">
        <v>40.719880000000003</v>
      </c>
      <c r="E326">
        <v>-73.995469999999997</v>
      </c>
      <c r="F326" t="s">
        <v>21</v>
      </c>
      <c r="G326">
        <v>2</v>
      </c>
      <c r="H326">
        <v>1</v>
      </c>
      <c r="I326">
        <v>0</v>
      </c>
      <c r="J326">
        <v>1</v>
      </c>
      <c r="K326">
        <v>15</v>
      </c>
      <c r="L326">
        <v>59</v>
      </c>
      <c r="M326">
        <v>45</v>
      </c>
      <c r="N326">
        <v>0.89</v>
      </c>
      <c r="O326">
        <f t="shared" si="10"/>
        <v>0</v>
      </c>
      <c r="P326">
        <f t="shared" si="11"/>
        <v>4</v>
      </c>
      <c r="Q326" s="2">
        <v>200</v>
      </c>
      <c r="R326" s="1">
        <v>45744</v>
      </c>
      <c r="S326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212.60000000000002</v>
      </c>
    </row>
    <row r="327" spans="1:19" x14ac:dyDescent="0.3">
      <c r="A327" t="s">
        <v>518</v>
      </c>
      <c r="B327" t="s">
        <v>26</v>
      </c>
      <c r="C327" t="s">
        <v>17</v>
      </c>
      <c r="D327">
        <v>40.689160000000001</v>
      </c>
      <c r="E327">
        <v>-73.977620000000002</v>
      </c>
      <c r="F327" t="s">
        <v>21</v>
      </c>
      <c r="G327">
        <v>4</v>
      </c>
      <c r="H327">
        <v>1</v>
      </c>
      <c r="I327">
        <v>1</v>
      </c>
      <c r="J327">
        <v>2</v>
      </c>
      <c r="K327">
        <v>30</v>
      </c>
      <c r="L327">
        <v>285</v>
      </c>
      <c r="M327">
        <v>42</v>
      </c>
      <c r="N327">
        <v>0.73</v>
      </c>
      <c r="O327">
        <f t="shared" si="10"/>
        <v>0</v>
      </c>
      <c r="P327">
        <f t="shared" si="11"/>
        <v>2</v>
      </c>
      <c r="Q327" s="2">
        <v>180</v>
      </c>
      <c r="R327" s="1">
        <v>45745</v>
      </c>
      <c r="S327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160.81000000000003</v>
      </c>
    </row>
    <row r="328" spans="1:19" x14ac:dyDescent="0.3">
      <c r="A328" t="s">
        <v>514</v>
      </c>
      <c r="B328" t="s">
        <v>57</v>
      </c>
      <c r="C328" t="s">
        <v>20</v>
      </c>
      <c r="D328">
        <v>40.720219999999998</v>
      </c>
      <c r="E328">
        <v>-73.994280000000003</v>
      </c>
      <c r="F328" t="s">
        <v>21</v>
      </c>
      <c r="G328">
        <v>2</v>
      </c>
      <c r="H328">
        <v>1</v>
      </c>
      <c r="I328">
        <v>1</v>
      </c>
      <c r="J328">
        <v>1</v>
      </c>
      <c r="K328">
        <v>15</v>
      </c>
      <c r="L328">
        <v>61</v>
      </c>
      <c r="M328">
        <v>53</v>
      </c>
      <c r="N328">
        <v>0.96</v>
      </c>
      <c r="O328">
        <f t="shared" si="10"/>
        <v>0</v>
      </c>
      <c r="P328">
        <f t="shared" si="11"/>
        <v>4</v>
      </c>
      <c r="Q328" s="2">
        <v>200</v>
      </c>
      <c r="R328" s="1">
        <v>45742</v>
      </c>
      <c r="S328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212.52000000000004</v>
      </c>
    </row>
    <row r="329" spans="1:19" x14ac:dyDescent="0.3">
      <c r="A329" t="s">
        <v>514</v>
      </c>
      <c r="B329" t="s">
        <v>57</v>
      </c>
      <c r="C329" t="s">
        <v>20</v>
      </c>
      <c r="D329">
        <v>40.720320000000001</v>
      </c>
      <c r="E329">
        <v>-73.995480000000001</v>
      </c>
      <c r="F329" t="s">
        <v>21</v>
      </c>
      <c r="G329">
        <v>2</v>
      </c>
      <c r="H329">
        <v>1</v>
      </c>
      <c r="I329">
        <v>0</v>
      </c>
      <c r="J329">
        <v>1</v>
      </c>
      <c r="K329">
        <v>15</v>
      </c>
      <c r="L329">
        <v>58</v>
      </c>
      <c r="M329">
        <v>53</v>
      </c>
      <c r="N329">
        <v>1.01</v>
      </c>
      <c r="O329">
        <f t="shared" si="10"/>
        <v>0</v>
      </c>
      <c r="P329">
        <f t="shared" si="11"/>
        <v>4</v>
      </c>
      <c r="Q329" s="2">
        <v>228</v>
      </c>
      <c r="R329" s="1">
        <v>45720</v>
      </c>
      <c r="S329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212.64000000000004</v>
      </c>
    </row>
    <row r="330" spans="1:19" x14ac:dyDescent="0.3">
      <c r="A330" t="s">
        <v>519</v>
      </c>
      <c r="B330" t="s">
        <v>56</v>
      </c>
      <c r="C330" t="s">
        <v>17</v>
      </c>
      <c r="D330">
        <v>40.674439999999997</v>
      </c>
      <c r="E330">
        <v>-73.953329999999994</v>
      </c>
      <c r="F330" t="s">
        <v>18</v>
      </c>
      <c r="G330">
        <v>1</v>
      </c>
      <c r="H330">
        <v>1</v>
      </c>
      <c r="I330">
        <v>1</v>
      </c>
      <c r="J330">
        <v>1</v>
      </c>
      <c r="K330">
        <v>30</v>
      </c>
      <c r="L330">
        <v>148</v>
      </c>
      <c r="M330">
        <v>45</v>
      </c>
      <c r="N330">
        <v>0.82</v>
      </c>
      <c r="O330">
        <f t="shared" si="10"/>
        <v>1</v>
      </c>
      <c r="P330">
        <f t="shared" si="11"/>
        <v>2</v>
      </c>
      <c r="Q330" s="2">
        <v>100</v>
      </c>
      <c r="R330" s="1">
        <v>45724</v>
      </c>
      <c r="S330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66.050000000000011</v>
      </c>
    </row>
    <row r="331" spans="1:19" x14ac:dyDescent="0.3">
      <c r="A331" t="s">
        <v>520</v>
      </c>
      <c r="B331" t="s">
        <v>23</v>
      </c>
      <c r="C331" t="s">
        <v>17</v>
      </c>
      <c r="D331">
        <v>40.709879999999998</v>
      </c>
      <c r="E331">
        <v>-73.948419999999999</v>
      </c>
      <c r="F331" t="s">
        <v>21</v>
      </c>
      <c r="G331">
        <v>2</v>
      </c>
      <c r="H331">
        <v>1</v>
      </c>
      <c r="I331">
        <v>0</v>
      </c>
      <c r="J331">
        <v>1</v>
      </c>
      <c r="K331">
        <v>30</v>
      </c>
      <c r="L331">
        <v>310</v>
      </c>
      <c r="M331">
        <v>58</v>
      </c>
      <c r="N331">
        <v>1</v>
      </c>
      <c r="O331">
        <f t="shared" si="10"/>
        <v>0</v>
      </c>
      <c r="P331">
        <f t="shared" si="11"/>
        <v>2</v>
      </c>
      <c r="Q331" s="2">
        <v>105</v>
      </c>
      <c r="R331" s="1">
        <v>45747</v>
      </c>
      <c r="S331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121.85000000000002</v>
      </c>
    </row>
    <row r="332" spans="1:19" x14ac:dyDescent="0.3">
      <c r="A332" t="s">
        <v>521</v>
      </c>
      <c r="B332" t="s">
        <v>86</v>
      </c>
      <c r="C332" t="s">
        <v>20</v>
      </c>
      <c r="D332">
        <v>40.720140000000001</v>
      </c>
      <c r="E332">
        <v>-74.001480000000001</v>
      </c>
      <c r="F332" t="s">
        <v>21</v>
      </c>
      <c r="G332">
        <v>4</v>
      </c>
      <c r="H332">
        <v>1</v>
      </c>
      <c r="I332">
        <v>2</v>
      </c>
      <c r="J332">
        <v>2</v>
      </c>
      <c r="K332">
        <v>30</v>
      </c>
      <c r="L332">
        <v>131</v>
      </c>
      <c r="M332">
        <v>36</v>
      </c>
      <c r="N332">
        <v>0.6</v>
      </c>
      <c r="O332">
        <f t="shared" si="10"/>
        <v>0</v>
      </c>
      <c r="P332">
        <f t="shared" si="11"/>
        <v>4</v>
      </c>
      <c r="Q332" s="2">
        <v>248</v>
      </c>
      <c r="R332" s="1">
        <v>45719</v>
      </c>
      <c r="S332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197.43</v>
      </c>
    </row>
    <row r="333" spans="1:19" x14ac:dyDescent="0.3">
      <c r="A333" t="s">
        <v>522</v>
      </c>
      <c r="B333" t="s">
        <v>36</v>
      </c>
      <c r="C333" t="s">
        <v>20</v>
      </c>
      <c r="D333">
        <v>40.78304</v>
      </c>
      <c r="E333">
        <v>-73.945779999999999</v>
      </c>
      <c r="F333" t="s">
        <v>21</v>
      </c>
      <c r="G333">
        <v>3</v>
      </c>
      <c r="H333">
        <v>1</v>
      </c>
      <c r="I333">
        <v>0</v>
      </c>
      <c r="J333">
        <v>2</v>
      </c>
      <c r="K333">
        <v>30</v>
      </c>
      <c r="L333">
        <v>364</v>
      </c>
      <c r="M333">
        <v>6</v>
      </c>
      <c r="N333">
        <v>0.13</v>
      </c>
      <c r="O333">
        <f t="shared" si="10"/>
        <v>0</v>
      </c>
      <c r="P333">
        <f t="shared" si="11"/>
        <v>4</v>
      </c>
      <c r="Q333" s="2">
        <v>114</v>
      </c>
      <c r="R333" s="1">
        <v>45718</v>
      </c>
      <c r="S333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169.13</v>
      </c>
    </row>
    <row r="334" spans="1:19" x14ac:dyDescent="0.3">
      <c r="A334" t="s">
        <v>523</v>
      </c>
      <c r="B334" t="s">
        <v>94</v>
      </c>
      <c r="C334" t="s">
        <v>17</v>
      </c>
      <c r="D334">
        <v>40.674460000000003</v>
      </c>
      <c r="E334">
        <v>-73.876850000000005</v>
      </c>
      <c r="F334" t="s">
        <v>18</v>
      </c>
      <c r="G334">
        <v>2</v>
      </c>
      <c r="H334">
        <v>1</v>
      </c>
      <c r="I334">
        <v>1</v>
      </c>
      <c r="J334">
        <v>1</v>
      </c>
      <c r="K334">
        <v>4</v>
      </c>
      <c r="L334">
        <v>358</v>
      </c>
      <c r="M334">
        <v>51</v>
      </c>
      <c r="N334">
        <v>1.43</v>
      </c>
      <c r="O334">
        <f t="shared" si="10"/>
        <v>1</v>
      </c>
      <c r="P334">
        <f t="shared" si="11"/>
        <v>2</v>
      </c>
      <c r="Q334" s="2">
        <v>132</v>
      </c>
      <c r="R334" s="1">
        <v>45725</v>
      </c>
      <c r="S334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163.73000000000005</v>
      </c>
    </row>
    <row r="335" spans="1:19" x14ac:dyDescent="0.3">
      <c r="A335" t="s">
        <v>524</v>
      </c>
      <c r="B335" t="s">
        <v>28</v>
      </c>
      <c r="C335" t="s">
        <v>20</v>
      </c>
      <c r="D335">
        <v>40.804220000000001</v>
      </c>
      <c r="E335">
        <v>-73.957310000000007</v>
      </c>
      <c r="F335" t="s">
        <v>21</v>
      </c>
      <c r="G335">
        <v>3</v>
      </c>
      <c r="H335">
        <v>1</v>
      </c>
      <c r="I335">
        <v>2</v>
      </c>
      <c r="J335">
        <v>2</v>
      </c>
      <c r="K335">
        <v>30</v>
      </c>
      <c r="L335">
        <v>76</v>
      </c>
      <c r="M335">
        <v>47</v>
      </c>
      <c r="N335">
        <v>0.83</v>
      </c>
      <c r="O335">
        <f t="shared" si="10"/>
        <v>0</v>
      </c>
      <c r="P335">
        <f t="shared" si="11"/>
        <v>4</v>
      </c>
      <c r="Q335" s="2">
        <v>199</v>
      </c>
      <c r="R335" s="1">
        <v>45744</v>
      </c>
      <c r="S335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180.65</v>
      </c>
    </row>
    <row r="336" spans="1:19" x14ac:dyDescent="0.3">
      <c r="A336" t="s">
        <v>525</v>
      </c>
      <c r="B336" t="s">
        <v>55</v>
      </c>
      <c r="C336" t="s">
        <v>17</v>
      </c>
      <c r="D336">
        <v>40.661960000000001</v>
      </c>
      <c r="E336">
        <v>-73.98518</v>
      </c>
      <c r="F336" t="s">
        <v>21</v>
      </c>
      <c r="G336">
        <v>2</v>
      </c>
      <c r="H336">
        <v>1</v>
      </c>
      <c r="I336">
        <v>0</v>
      </c>
      <c r="J336">
        <v>1</v>
      </c>
      <c r="K336">
        <v>30</v>
      </c>
      <c r="L336">
        <v>181</v>
      </c>
      <c r="M336">
        <v>8</v>
      </c>
      <c r="N336">
        <v>0.36</v>
      </c>
      <c r="O336">
        <f t="shared" si="10"/>
        <v>0</v>
      </c>
      <c r="P336">
        <f t="shared" si="11"/>
        <v>2</v>
      </c>
      <c r="Q336" s="2">
        <v>80</v>
      </c>
      <c r="R336" s="1">
        <v>45747</v>
      </c>
      <c r="S336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127.01000000000002</v>
      </c>
    </row>
    <row r="337" spans="1:19" x14ac:dyDescent="0.3">
      <c r="A337" t="s">
        <v>526</v>
      </c>
      <c r="B337" t="s">
        <v>67</v>
      </c>
      <c r="C337" t="s">
        <v>17</v>
      </c>
      <c r="D337">
        <v>40.691459999999999</v>
      </c>
      <c r="E337">
        <v>-73.917140000000003</v>
      </c>
      <c r="F337" t="s">
        <v>21</v>
      </c>
      <c r="G337">
        <v>5</v>
      </c>
      <c r="H337">
        <v>2</v>
      </c>
      <c r="I337">
        <v>2</v>
      </c>
      <c r="J337">
        <v>2</v>
      </c>
      <c r="K337">
        <v>30</v>
      </c>
      <c r="L337">
        <v>103</v>
      </c>
      <c r="M337">
        <v>52</v>
      </c>
      <c r="N337">
        <v>0.99</v>
      </c>
      <c r="O337">
        <f t="shared" si="10"/>
        <v>0</v>
      </c>
      <c r="P337">
        <f t="shared" si="11"/>
        <v>2</v>
      </c>
      <c r="Q337" s="2">
        <v>168</v>
      </c>
      <c r="R337" s="1">
        <v>45732</v>
      </c>
      <c r="S337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198.29000000000005</v>
      </c>
    </row>
    <row r="338" spans="1:19" x14ac:dyDescent="0.3">
      <c r="A338" t="s">
        <v>511</v>
      </c>
      <c r="B338" t="s">
        <v>43</v>
      </c>
      <c r="C338" t="s">
        <v>20</v>
      </c>
      <c r="D338">
        <v>40.71942</v>
      </c>
      <c r="E338">
        <v>-73.993859999999998</v>
      </c>
      <c r="F338" t="s">
        <v>21</v>
      </c>
      <c r="G338">
        <v>2</v>
      </c>
      <c r="H338">
        <v>1</v>
      </c>
      <c r="I338">
        <v>0</v>
      </c>
      <c r="J338">
        <v>1</v>
      </c>
      <c r="K338">
        <v>15</v>
      </c>
      <c r="L338">
        <v>75</v>
      </c>
      <c r="M338">
        <v>48</v>
      </c>
      <c r="N338">
        <v>1.02</v>
      </c>
      <c r="O338">
        <f t="shared" si="10"/>
        <v>0</v>
      </c>
      <c r="P338">
        <f t="shared" si="11"/>
        <v>4</v>
      </c>
      <c r="Q338" s="2">
        <v>205</v>
      </c>
      <c r="R338" s="1">
        <v>45724</v>
      </c>
      <c r="S338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211.96000000000004</v>
      </c>
    </row>
    <row r="339" spans="1:19" x14ac:dyDescent="0.3">
      <c r="A339" t="s">
        <v>527</v>
      </c>
      <c r="B339" t="s">
        <v>128</v>
      </c>
      <c r="C339" t="s">
        <v>30</v>
      </c>
      <c r="D339">
        <v>40.705739999999999</v>
      </c>
      <c r="E339">
        <v>-73.872969999999995</v>
      </c>
      <c r="F339" t="s">
        <v>21</v>
      </c>
      <c r="G339">
        <v>7</v>
      </c>
      <c r="H339">
        <v>1</v>
      </c>
      <c r="I339">
        <v>3</v>
      </c>
      <c r="J339">
        <v>5</v>
      </c>
      <c r="K339">
        <v>30</v>
      </c>
      <c r="L339">
        <v>365</v>
      </c>
      <c r="M339">
        <v>63</v>
      </c>
      <c r="N339">
        <v>1.2</v>
      </c>
      <c r="O339">
        <f t="shared" si="10"/>
        <v>0</v>
      </c>
      <c r="P339">
        <f t="shared" si="11"/>
        <v>0</v>
      </c>
      <c r="Q339" s="2">
        <v>298</v>
      </c>
      <c r="R339" s="1">
        <v>45722</v>
      </c>
      <c r="S339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184.09000000000006</v>
      </c>
    </row>
    <row r="340" spans="1:19" x14ac:dyDescent="0.3">
      <c r="A340" t="s">
        <v>528</v>
      </c>
      <c r="B340" t="s">
        <v>24</v>
      </c>
      <c r="C340" t="s">
        <v>20</v>
      </c>
      <c r="D340">
        <v>40.797969999999999</v>
      </c>
      <c r="E340">
        <v>-73.936710000000005</v>
      </c>
      <c r="F340" t="s">
        <v>21</v>
      </c>
      <c r="G340">
        <v>4</v>
      </c>
      <c r="H340">
        <v>1</v>
      </c>
      <c r="I340">
        <v>2</v>
      </c>
      <c r="J340">
        <v>2</v>
      </c>
      <c r="K340">
        <v>30</v>
      </c>
      <c r="L340">
        <v>270</v>
      </c>
      <c r="M340">
        <v>7</v>
      </c>
      <c r="N340">
        <v>0.22</v>
      </c>
      <c r="O340">
        <f t="shared" si="10"/>
        <v>0</v>
      </c>
      <c r="P340">
        <f t="shared" si="11"/>
        <v>4</v>
      </c>
      <c r="Q340" s="2">
        <v>110</v>
      </c>
      <c r="R340" s="1">
        <v>45741</v>
      </c>
      <c r="S340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191.87</v>
      </c>
    </row>
    <row r="341" spans="1:19" x14ac:dyDescent="0.3">
      <c r="A341" t="s">
        <v>517</v>
      </c>
      <c r="B341" t="s">
        <v>57</v>
      </c>
      <c r="C341" t="s">
        <v>20</v>
      </c>
      <c r="D341">
        <v>40.720170000000003</v>
      </c>
      <c r="E341">
        <v>-73.995829999999998</v>
      </c>
      <c r="F341" t="s">
        <v>21</v>
      </c>
      <c r="G341">
        <v>2</v>
      </c>
      <c r="H341">
        <v>1</v>
      </c>
      <c r="I341">
        <v>1</v>
      </c>
      <c r="J341">
        <v>1</v>
      </c>
      <c r="K341">
        <v>15</v>
      </c>
      <c r="L341">
        <v>62</v>
      </c>
      <c r="M341">
        <v>64</v>
      </c>
      <c r="N341">
        <v>1.1000000000000001</v>
      </c>
      <c r="O341">
        <f t="shared" si="10"/>
        <v>0</v>
      </c>
      <c r="P341">
        <f t="shared" si="11"/>
        <v>4</v>
      </c>
      <c r="Q341" s="2">
        <v>250</v>
      </c>
      <c r="R341" s="1">
        <v>45738</v>
      </c>
      <c r="S341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212.48000000000002</v>
      </c>
    </row>
    <row r="342" spans="1:19" x14ac:dyDescent="0.3">
      <c r="A342" t="s">
        <v>529</v>
      </c>
      <c r="B342" t="s">
        <v>38</v>
      </c>
      <c r="C342" t="s">
        <v>20</v>
      </c>
      <c r="D342">
        <v>40.765659999999997</v>
      </c>
      <c r="E342">
        <v>-73.989689999999996</v>
      </c>
      <c r="F342" t="s">
        <v>21</v>
      </c>
      <c r="G342">
        <v>2</v>
      </c>
      <c r="H342">
        <v>1</v>
      </c>
      <c r="I342">
        <v>0</v>
      </c>
      <c r="J342">
        <v>1</v>
      </c>
      <c r="K342">
        <v>30</v>
      </c>
      <c r="L342">
        <v>217</v>
      </c>
      <c r="M342">
        <v>6</v>
      </c>
      <c r="N342">
        <v>0.11</v>
      </c>
      <c r="O342">
        <f t="shared" si="10"/>
        <v>0</v>
      </c>
      <c r="P342">
        <f t="shared" si="11"/>
        <v>4</v>
      </c>
      <c r="Q342" s="2">
        <v>131</v>
      </c>
      <c r="R342" s="1">
        <v>45717</v>
      </c>
      <c r="S342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156.03000000000003</v>
      </c>
    </row>
    <row r="343" spans="1:19" x14ac:dyDescent="0.3">
      <c r="A343" t="s">
        <v>530</v>
      </c>
      <c r="B343" t="s">
        <v>28</v>
      </c>
      <c r="C343" t="s">
        <v>20</v>
      </c>
      <c r="D343">
        <v>40.80312</v>
      </c>
      <c r="E343">
        <v>-73.950109999999995</v>
      </c>
      <c r="F343" t="s">
        <v>21</v>
      </c>
      <c r="G343">
        <v>4</v>
      </c>
      <c r="H343">
        <v>2.5</v>
      </c>
      <c r="I343">
        <v>2</v>
      </c>
      <c r="J343">
        <v>2</v>
      </c>
      <c r="K343">
        <v>30</v>
      </c>
      <c r="L343">
        <v>304</v>
      </c>
      <c r="M343">
        <v>4</v>
      </c>
      <c r="N343">
        <v>7.0000000000000007E-2</v>
      </c>
      <c r="O343">
        <f t="shared" si="10"/>
        <v>0</v>
      </c>
      <c r="P343">
        <f t="shared" si="11"/>
        <v>4</v>
      </c>
      <c r="Q343" s="2">
        <v>213</v>
      </c>
      <c r="R343" s="1">
        <v>45734</v>
      </c>
      <c r="S343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207.34000000000003</v>
      </c>
    </row>
    <row r="344" spans="1:19" x14ac:dyDescent="0.3">
      <c r="A344" t="s">
        <v>512</v>
      </c>
      <c r="B344" t="s">
        <v>43</v>
      </c>
      <c r="C344" t="s">
        <v>20</v>
      </c>
      <c r="D344">
        <v>40.71875</v>
      </c>
      <c r="E344">
        <v>-73.993989999999997</v>
      </c>
      <c r="F344" t="s">
        <v>21</v>
      </c>
      <c r="G344">
        <v>2</v>
      </c>
      <c r="H344">
        <v>1</v>
      </c>
      <c r="I344">
        <v>0</v>
      </c>
      <c r="J344">
        <v>1</v>
      </c>
      <c r="K344">
        <v>15</v>
      </c>
      <c r="L344">
        <v>66</v>
      </c>
      <c r="M344">
        <v>35</v>
      </c>
      <c r="N344">
        <v>0.8</v>
      </c>
      <c r="O344">
        <f t="shared" si="10"/>
        <v>0</v>
      </c>
      <c r="P344">
        <f t="shared" si="11"/>
        <v>4</v>
      </c>
      <c r="Q344" s="2">
        <v>200</v>
      </c>
      <c r="R344" s="1">
        <v>45741</v>
      </c>
      <c r="S344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212.32000000000005</v>
      </c>
    </row>
    <row r="345" spans="1:19" x14ac:dyDescent="0.3">
      <c r="A345" t="s">
        <v>531</v>
      </c>
      <c r="B345" t="s">
        <v>23</v>
      </c>
      <c r="C345" t="s">
        <v>17</v>
      </c>
      <c r="D345">
        <v>40.715269999999997</v>
      </c>
      <c r="E345">
        <v>-73.954909999999998</v>
      </c>
      <c r="F345" t="s">
        <v>18</v>
      </c>
      <c r="G345">
        <v>1</v>
      </c>
      <c r="H345">
        <v>1</v>
      </c>
      <c r="I345">
        <v>1</v>
      </c>
      <c r="J345">
        <v>1</v>
      </c>
      <c r="K345">
        <v>30</v>
      </c>
      <c r="L345">
        <v>88</v>
      </c>
      <c r="M345">
        <v>9</v>
      </c>
      <c r="N345">
        <v>0.16</v>
      </c>
      <c r="O345">
        <f t="shared" si="10"/>
        <v>1</v>
      </c>
      <c r="P345">
        <f t="shared" si="11"/>
        <v>2</v>
      </c>
      <c r="Q345" s="2">
        <v>175</v>
      </c>
      <c r="R345" s="1">
        <v>45726</v>
      </c>
      <c r="S345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68.450000000000017</v>
      </c>
    </row>
    <row r="346" spans="1:19" x14ac:dyDescent="0.3">
      <c r="A346" t="s">
        <v>306</v>
      </c>
      <c r="B346" t="s">
        <v>27</v>
      </c>
      <c r="C346" t="s">
        <v>17</v>
      </c>
      <c r="D346">
        <v>40.684869999999997</v>
      </c>
      <c r="E346">
        <v>-73.954449999999994</v>
      </c>
      <c r="F346" t="s">
        <v>21</v>
      </c>
      <c r="G346">
        <v>2</v>
      </c>
      <c r="H346">
        <v>1</v>
      </c>
      <c r="I346">
        <v>0</v>
      </c>
      <c r="J346">
        <v>1</v>
      </c>
      <c r="K346">
        <v>1</v>
      </c>
      <c r="L346">
        <v>226</v>
      </c>
      <c r="M346">
        <v>160</v>
      </c>
      <c r="N346">
        <v>2.82</v>
      </c>
      <c r="O346">
        <f t="shared" si="10"/>
        <v>0</v>
      </c>
      <c r="P346">
        <f t="shared" si="11"/>
        <v>2</v>
      </c>
      <c r="Q346" s="2">
        <v>206</v>
      </c>
      <c r="R346" s="1">
        <v>45738</v>
      </c>
      <c r="S346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222.36000000000004</v>
      </c>
    </row>
    <row r="347" spans="1:19" x14ac:dyDescent="0.3">
      <c r="A347" t="s">
        <v>532</v>
      </c>
      <c r="B347" t="s">
        <v>36</v>
      </c>
      <c r="C347" t="s">
        <v>20</v>
      </c>
      <c r="D347">
        <v>40.771984100341797</v>
      </c>
      <c r="E347">
        <v>-73.954513549804602</v>
      </c>
      <c r="F347" t="s">
        <v>21</v>
      </c>
      <c r="G347">
        <v>2</v>
      </c>
      <c r="H347">
        <v>1</v>
      </c>
      <c r="I347">
        <v>1</v>
      </c>
      <c r="J347">
        <v>1</v>
      </c>
      <c r="K347">
        <v>30</v>
      </c>
      <c r="L347">
        <v>290</v>
      </c>
      <c r="M347">
        <v>14</v>
      </c>
      <c r="N347">
        <v>0.3</v>
      </c>
      <c r="O347">
        <f t="shared" si="10"/>
        <v>0</v>
      </c>
      <c r="P347">
        <f t="shared" si="11"/>
        <v>4</v>
      </c>
      <c r="Q347" s="2">
        <v>159</v>
      </c>
      <c r="R347" s="1">
        <v>45747</v>
      </c>
      <c r="S347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153.11000000000001</v>
      </c>
    </row>
    <row r="348" spans="1:19" x14ac:dyDescent="0.3">
      <c r="A348" t="s">
        <v>533</v>
      </c>
      <c r="B348" t="s">
        <v>131</v>
      </c>
      <c r="C348" t="s">
        <v>20</v>
      </c>
      <c r="D348" s="3" t="s">
        <v>534</v>
      </c>
      <c r="E348">
        <v>-74.012662324322804</v>
      </c>
      <c r="F348" t="s">
        <v>21</v>
      </c>
      <c r="G348">
        <v>2</v>
      </c>
      <c r="H348">
        <v>1</v>
      </c>
      <c r="I348">
        <v>0</v>
      </c>
      <c r="J348">
        <v>1</v>
      </c>
      <c r="K348">
        <v>30</v>
      </c>
      <c r="L348">
        <v>331</v>
      </c>
      <c r="M348">
        <v>5</v>
      </c>
      <c r="N348">
        <v>0.52</v>
      </c>
      <c r="O348">
        <f t="shared" si="10"/>
        <v>0</v>
      </c>
      <c r="P348">
        <f t="shared" si="11"/>
        <v>4</v>
      </c>
      <c r="Q348" s="2">
        <v>218</v>
      </c>
      <c r="R348" s="1">
        <v>45747</v>
      </c>
      <c r="S348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151.47000000000003</v>
      </c>
    </row>
    <row r="349" spans="1:19" x14ac:dyDescent="0.3">
      <c r="A349" t="s">
        <v>535</v>
      </c>
      <c r="B349" t="s">
        <v>28</v>
      </c>
      <c r="C349" t="s">
        <v>20</v>
      </c>
      <c r="D349">
        <v>40.807899999999997</v>
      </c>
      <c r="E349">
        <v>-73.950119999999998</v>
      </c>
      <c r="F349" t="s">
        <v>18</v>
      </c>
      <c r="G349">
        <v>2</v>
      </c>
      <c r="H349">
        <v>1</v>
      </c>
      <c r="I349">
        <v>1</v>
      </c>
      <c r="J349">
        <v>1</v>
      </c>
      <c r="K349">
        <v>4</v>
      </c>
      <c r="L349">
        <v>33</v>
      </c>
      <c r="M349">
        <v>36</v>
      </c>
      <c r="N349">
        <v>0.66</v>
      </c>
      <c r="O349">
        <f t="shared" si="10"/>
        <v>1</v>
      </c>
      <c r="P349">
        <f t="shared" si="11"/>
        <v>4</v>
      </c>
      <c r="Q349" s="2">
        <v>120</v>
      </c>
      <c r="R349" s="1">
        <v>45747</v>
      </c>
      <c r="S349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207.19000000000005</v>
      </c>
    </row>
    <row r="350" spans="1:19" x14ac:dyDescent="0.3">
      <c r="A350" t="s">
        <v>529</v>
      </c>
      <c r="B350" t="s">
        <v>38</v>
      </c>
      <c r="C350" t="s">
        <v>20</v>
      </c>
      <c r="D350">
        <v>40.76661</v>
      </c>
      <c r="E350">
        <v>-73.990160000000003</v>
      </c>
      <c r="F350" t="s">
        <v>21</v>
      </c>
      <c r="G350">
        <v>2</v>
      </c>
      <c r="H350">
        <v>1</v>
      </c>
      <c r="I350">
        <v>0</v>
      </c>
      <c r="J350">
        <v>1</v>
      </c>
      <c r="K350">
        <v>30</v>
      </c>
      <c r="L350">
        <v>273</v>
      </c>
      <c r="M350">
        <v>11</v>
      </c>
      <c r="N350">
        <v>0.21</v>
      </c>
      <c r="O350">
        <f t="shared" si="10"/>
        <v>0</v>
      </c>
      <c r="P350">
        <f t="shared" si="11"/>
        <v>4</v>
      </c>
      <c r="Q350" s="2">
        <v>125</v>
      </c>
      <c r="R350" s="1">
        <v>45732</v>
      </c>
      <c r="S350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153.79000000000002</v>
      </c>
    </row>
    <row r="351" spans="1:19" x14ac:dyDescent="0.3">
      <c r="A351" t="s">
        <v>536</v>
      </c>
      <c r="B351" t="s">
        <v>131</v>
      </c>
      <c r="C351" t="s">
        <v>20</v>
      </c>
      <c r="D351" s="3" t="s">
        <v>537</v>
      </c>
      <c r="E351">
        <v>-74.010269165039006</v>
      </c>
      <c r="F351" t="s">
        <v>18</v>
      </c>
      <c r="G351">
        <v>4</v>
      </c>
      <c r="H351">
        <v>1</v>
      </c>
      <c r="I351">
        <v>1</v>
      </c>
      <c r="J351">
        <v>2</v>
      </c>
      <c r="K351">
        <v>1</v>
      </c>
      <c r="L351">
        <v>313</v>
      </c>
      <c r="M351">
        <v>10</v>
      </c>
      <c r="N351">
        <v>0.49</v>
      </c>
      <c r="O351">
        <f t="shared" si="10"/>
        <v>1</v>
      </c>
      <c r="P351">
        <f t="shared" si="11"/>
        <v>4</v>
      </c>
      <c r="Q351" s="2">
        <v>332</v>
      </c>
      <c r="R351" s="1">
        <v>45731</v>
      </c>
      <c r="S351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244.00000000000006</v>
      </c>
    </row>
    <row r="352" spans="1:19" x14ac:dyDescent="0.3">
      <c r="A352" t="s">
        <v>513</v>
      </c>
      <c r="B352" t="s">
        <v>43</v>
      </c>
      <c r="C352" t="s">
        <v>20</v>
      </c>
      <c r="D352">
        <v>40.719589999999997</v>
      </c>
      <c r="E352">
        <v>-73.993899999999996</v>
      </c>
      <c r="F352" t="s">
        <v>21</v>
      </c>
      <c r="G352">
        <v>2</v>
      </c>
      <c r="H352">
        <v>1</v>
      </c>
      <c r="I352">
        <v>0</v>
      </c>
      <c r="J352">
        <v>1</v>
      </c>
      <c r="K352">
        <v>15</v>
      </c>
      <c r="L352">
        <v>49</v>
      </c>
      <c r="M352">
        <v>49</v>
      </c>
      <c r="N352">
        <v>1.02</v>
      </c>
      <c r="O352">
        <f t="shared" si="10"/>
        <v>0</v>
      </c>
      <c r="P352">
        <f t="shared" si="11"/>
        <v>4</v>
      </c>
      <c r="Q352" s="2">
        <v>205</v>
      </c>
      <c r="R352" s="1">
        <v>45746</v>
      </c>
      <c r="S352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213</v>
      </c>
    </row>
    <row r="353" spans="1:19" x14ac:dyDescent="0.3">
      <c r="A353" t="s">
        <v>517</v>
      </c>
      <c r="B353" t="s">
        <v>43</v>
      </c>
      <c r="C353" t="s">
        <v>20</v>
      </c>
      <c r="D353">
        <v>40.720179999999999</v>
      </c>
      <c r="E353">
        <v>-73.994029999999995</v>
      </c>
      <c r="F353" t="s">
        <v>21</v>
      </c>
      <c r="G353">
        <v>2</v>
      </c>
      <c r="H353">
        <v>1</v>
      </c>
      <c r="I353">
        <v>1</v>
      </c>
      <c r="J353">
        <v>1</v>
      </c>
      <c r="K353">
        <v>15</v>
      </c>
      <c r="L353">
        <v>71</v>
      </c>
      <c r="M353">
        <v>44</v>
      </c>
      <c r="N353">
        <v>0.81</v>
      </c>
      <c r="O353">
        <f t="shared" si="10"/>
        <v>0</v>
      </c>
      <c r="P353">
        <f t="shared" si="11"/>
        <v>4</v>
      </c>
      <c r="Q353" s="2">
        <v>220</v>
      </c>
      <c r="R353" s="1">
        <v>45725</v>
      </c>
      <c r="S353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212.12</v>
      </c>
    </row>
    <row r="354" spans="1:19" x14ac:dyDescent="0.3">
      <c r="A354" t="s">
        <v>538</v>
      </c>
      <c r="B354" t="s">
        <v>236</v>
      </c>
      <c r="C354" t="s">
        <v>30</v>
      </c>
      <c r="D354">
        <v>40.737169999999999</v>
      </c>
      <c r="E354">
        <v>-73.864949999999993</v>
      </c>
      <c r="F354" t="s">
        <v>21</v>
      </c>
      <c r="G354">
        <v>6</v>
      </c>
      <c r="H354">
        <v>1</v>
      </c>
      <c r="I354">
        <v>2</v>
      </c>
      <c r="J354">
        <v>3</v>
      </c>
      <c r="K354">
        <v>30</v>
      </c>
      <c r="L354">
        <v>233</v>
      </c>
      <c r="M354">
        <v>186</v>
      </c>
      <c r="N354">
        <v>3.35</v>
      </c>
      <c r="O354">
        <f t="shared" si="10"/>
        <v>0</v>
      </c>
      <c r="P354">
        <f t="shared" si="11"/>
        <v>0</v>
      </c>
      <c r="Q354" s="2">
        <v>132</v>
      </c>
      <c r="R354" s="1">
        <v>45723</v>
      </c>
      <c r="S354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170.39000000000004</v>
      </c>
    </row>
    <row r="355" spans="1:19" x14ac:dyDescent="0.3">
      <c r="A355" t="s">
        <v>514</v>
      </c>
      <c r="B355" t="s">
        <v>62</v>
      </c>
      <c r="C355" t="s">
        <v>20</v>
      </c>
      <c r="D355">
        <v>40.718040000000002</v>
      </c>
      <c r="E355">
        <v>-73.995289999999997</v>
      </c>
      <c r="F355" t="s">
        <v>21</v>
      </c>
      <c r="G355">
        <v>2</v>
      </c>
      <c r="H355">
        <v>1</v>
      </c>
      <c r="I355">
        <v>0</v>
      </c>
      <c r="J355">
        <v>1</v>
      </c>
      <c r="K355">
        <v>15</v>
      </c>
      <c r="L355">
        <v>47</v>
      </c>
      <c r="M355">
        <v>60</v>
      </c>
      <c r="N355">
        <v>1.08</v>
      </c>
      <c r="O355">
        <f t="shared" si="10"/>
        <v>0</v>
      </c>
      <c r="P355">
        <f t="shared" si="11"/>
        <v>4</v>
      </c>
      <c r="Q355" s="2">
        <v>200</v>
      </c>
      <c r="R355" s="1">
        <v>45739</v>
      </c>
      <c r="S355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213.08000000000004</v>
      </c>
    </row>
    <row r="356" spans="1:19" x14ac:dyDescent="0.3">
      <c r="A356" t="s">
        <v>539</v>
      </c>
      <c r="B356" t="s">
        <v>49</v>
      </c>
      <c r="C356" t="s">
        <v>20</v>
      </c>
      <c r="D356" s="3" t="s">
        <v>478</v>
      </c>
      <c r="E356">
        <v>-73.9798583984375</v>
      </c>
      <c r="F356" t="s">
        <v>21</v>
      </c>
      <c r="G356">
        <v>2</v>
      </c>
      <c r="H356">
        <v>1</v>
      </c>
      <c r="I356">
        <v>0</v>
      </c>
      <c r="J356">
        <v>1</v>
      </c>
      <c r="K356">
        <v>30</v>
      </c>
      <c r="L356">
        <v>335</v>
      </c>
      <c r="M356">
        <v>18</v>
      </c>
      <c r="N356">
        <v>0.35</v>
      </c>
      <c r="O356">
        <f t="shared" si="10"/>
        <v>0</v>
      </c>
      <c r="P356">
        <f t="shared" si="11"/>
        <v>4</v>
      </c>
      <c r="Q356" s="2">
        <v>120</v>
      </c>
      <c r="R356" s="1">
        <v>45747</v>
      </c>
      <c r="S356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151.31</v>
      </c>
    </row>
    <row r="357" spans="1:19" x14ac:dyDescent="0.3">
      <c r="A357" t="s">
        <v>540</v>
      </c>
      <c r="B357" t="s">
        <v>56</v>
      </c>
      <c r="C357" t="s">
        <v>17</v>
      </c>
      <c r="D357">
        <v>40.676319999999997</v>
      </c>
      <c r="E357">
        <v>-73.937709999999996</v>
      </c>
      <c r="F357" t="s">
        <v>21</v>
      </c>
      <c r="G357">
        <v>2</v>
      </c>
      <c r="H357">
        <v>1</v>
      </c>
      <c r="I357">
        <v>0</v>
      </c>
      <c r="J357">
        <v>1</v>
      </c>
      <c r="K357">
        <v>30</v>
      </c>
      <c r="L357">
        <v>135</v>
      </c>
      <c r="M357">
        <v>111</v>
      </c>
      <c r="N357">
        <v>2.36</v>
      </c>
      <c r="O357">
        <f t="shared" si="10"/>
        <v>0</v>
      </c>
      <c r="P357">
        <f t="shared" si="11"/>
        <v>2</v>
      </c>
      <c r="Q357" s="2">
        <v>77</v>
      </c>
      <c r="R357" s="1">
        <v>45747</v>
      </c>
      <c r="S357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128.85000000000002</v>
      </c>
    </row>
    <row r="358" spans="1:19" x14ac:dyDescent="0.3">
      <c r="A358" t="s">
        <v>511</v>
      </c>
      <c r="B358" t="s">
        <v>43</v>
      </c>
      <c r="C358" t="s">
        <v>20</v>
      </c>
      <c r="D358">
        <v>40.718640000000001</v>
      </c>
      <c r="E358">
        <v>-73.993880000000004</v>
      </c>
      <c r="F358" t="s">
        <v>21</v>
      </c>
      <c r="G358">
        <v>2</v>
      </c>
      <c r="H358">
        <v>1</v>
      </c>
      <c r="I358">
        <v>0</v>
      </c>
      <c r="J358">
        <v>1</v>
      </c>
      <c r="K358">
        <v>15</v>
      </c>
      <c r="L358">
        <v>77</v>
      </c>
      <c r="M358">
        <v>55</v>
      </c>
      <c r="N358">
        <v>1.04</v>
      </c>
      <c r="O358">
        <f t="shared" si="10"/>
        <v>0</v>
      </c>
      <c r="P358">
        <f t="shared" si="11"/>
        <v>4</v>
      </c>
      <c r="Q358" s="2">
        <v>200</v>
      </c>
      <c r="R358" s="1">
        <v>45746</v>
      </c>
      <c r="S358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211.88</v>
      </c>
    </row>
    <row r="359" spans="1:19" x14ac:dyDescent="0.3">
      <c r="A359" t="s">
        <v>541</v>
      </c>
      <c r="B359" t="s">
        <v>24</v>
      </c>
      <c r="C359" t="s">
        <v>20</v>
      </c>
      <c r="D359">
        <v>40.793559999999999</v>
      </c>
      <c r="E359">
        <v>-73.947019999999995</v>
      </c>
      <c r="F359" t="s">
        <v>21</v>
      </c>
      <c r="G359">
        <v>2</v>
      </c>
      <c r="H359">
        <v>1</v>
      </c>
      <c r="I359">
        <v>1</v>
      </c>
      <c r="J359">
        <v>2</v>
      </c>
      <c r="K359">
        <v>30</v>
      </c>
      <c r="L359">
        <v>221</v>
      </c>
      <c r="M359">
        <v>9</v>
      </c>
      <c r="N359">
        <v>0.2</v>
      </c>
      <c r="O359">
        <f t="shared" si="10"/>
        <v>0</v>
      </c>
      <c r="P359">
        <f t="shared" si="11"/>
        <v>4</v>
      </c>
      <c r="Q359" s="2">
        <v>120</v>
      </c>
      <c r="R359" s="1">
        <v>45747</v>
      </c>
      <c r="S359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155.87</v>
      </c>
    </row>
    <row r="360" spans="1:19" x14ac:dyDescent="0.3">
      <c r="A360" t="s">
        <v>542</v>
      </c>
      <c r="B360" t="s">
        <v>50</v>
      </c>
      <c r="C360" t="s">
        <v>20</v>
      </c>
      <c r="D360">
        <v>40.732745999999999</v>
      </c>
      <c r="E360">
        <v>-74.005493000000001</v>
      </c>
      <c r="F360" t="s">
        <v>21</v>
      </c>
      <c r="G360">
        <v>2</v>
      </c>
      <c r="H360">
        <v>1</v>
      </c>
      <c r="I360">
        <v>1</v>
      </c>
      <c r="J360">
        <v>1</v>
      </c>
      <c r="K360">
        <v>30</v>
      </c>
      <c r="L360">
        <v>323</v>
      </c>
      <c r="M360">
        <v>9</v>
      </c>
      <c r="N360">
        <v>0.2</v>
      </c>
      <c r="O360">
        <f t="shared" si="10"/>
        <v>0</v>
      </c>
      <c r="P360">
        <f t="shared" si="11"/>
        <v>4</v>
      </c>
      <c r="Q360" s="2">
        <v>212</v>
      </c>
      <c r="R360" s="1">
        <v>45738</v>
      </c>
      <c r="S360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151.79000000000002</v>
      </c>
    </row>
    <row r="361" spans="1:19" x14ac:dyDescent="0.3">
      <c r="A361" t="s">
        <v>543</v>
      </c>
      <c r="B361" t="s">
        <v>67</v>
      </c>
      <c r="C361" t="s">
        <v>17</v>
      </c>
      <c r="D361">
        <v>40.684849999999997</v>
      </c>
      <c r="E361">
        <v>-73.910390000000007</v>
      </c>
      <c r="F361" t="s">
        <v>21</v>
      </c>
      <c r="G361">
        <v>3</v>
      </c>
      <c r="H361">
        <v>1</v>
      </c>
      <c r="I361">
        <v>2</v>
      </c>
      <c r="J361">
        <v>3</v>
      </c>
      <c r="K361">
        <v>30</v>
      </c>
      <c r="L361">
        <v>87</v>
      </c>
      <c r="M361">
        <v>65</v>
      </c>
      <c r="N361">
        <v>1.21</v>
      </c>
      <c r="O361">
        <f t="shared" si="10"/>
        <v>0</v>
      </c>
      <c r="P361">
        <f t="shared" si="11"/>
        <v>2</v>
      </c>
      <c r="Q361" s="2">
        <v>177</v>
      </c>
      <c r="R361" s="1">
        <v>45723</v>
      </c>
      <c r="S361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149.75</v>
      </c>
    </row>
    <row r="362" spans="1:19" x14ac:dyDescent="0.3">
      <c r="A362" t="s">
        <v>544</v>
      </c>
      <c r="B362" t="s">
        <v>28</v>
      </c>
      <c r="C362" t="s">
        <v>20</v>
      </c>
      <c r="D362">
        <v>40.809159999999999</v>
      </c>
      <c r="E362">
        <v>-73.951480000000004</v>
      </c>
      <c r="F362" t="s">
        <v>18</v>
      </c>
      <c r="G362">
        <v>2</v>
      </c>
      <c r="H362">
        <v>1</v>
      </c>
      <c r="I362">
        <v>1</v>
      </c>
      <c r="J362">
        <v>1</v>
      </c>
      <c r="K362">
        <v>3</v>
      </c>
      <c r="L362">
        <v>33</v>
      </c>
      <c r="M362">
        <v>65</v>
      </c>
      <c r="N362">
        <v>1.19</v>
      </c>
      <c r="O362">
        <f t="shared" si="10"/>
        <v>1</v>
      </c>
      <c r="P362">
        <f t="shared" si="11"/>
        <v>4</v>
      </c>
      <c r="Q362" s="2">
        <v>122</v>
      </c>
      <c r="R362" s="1">
        <v>45746</v>
      </c>
      <c r="S362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210.54000000000002</v>
      </c>
    </row>
    <row r="363" spans="1:19" x14ac:dyDescent="0.3">
      <c r="A363" t="s">
        <v>545</v>
      </c>
      <c r="B363" t="s">
        <v>36</v>
      </c>
      <c r="C363" t="s">
        <v>20</v>
      </c>
      <c r="D363">
        <v>40.782130000000002</v>
      </c>
      <c r="E363">
        <v>-73.952690000000004</v>
      </c>
      <c r="F363" t="s">
        <v>21</v>
      </c>
      <c r="G363">
        <v>3</v>
      </c>
      <c r="H363">
        <v>1</v>
      </c>
      <c r="I363">
        <v>0</v>
      </c>
      <c r="J363">
        <v>1</v>
      </c>
      <c r="K363">
        <v>30</v>
      </c>
      <c r="L363">
        <v>271</v>
      </c>
      <c r="M363">
        <v>7</v>
      </c>
      <c r="N363">
        <v>0.15</v>
      </c>
      <c r="O363">
        <f t="shared" si="10"/>
        <v>0</v>
      </c>
      <c r="P363">
        <f t="shared" si="11"/>
        <v>4</v>
      </c>
      <c r="Q363" s="2">
        <v>137</v>
      </c>
      <c r="R363" s="1">
        <v>45731</v>
      </c>
      <c r="S363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172.85000000000002</v>
      </c>
    </row>
    <row r="364" spans="1:19" x14ac:dyDescent="0.3">
      <c r="A364" t="s">
        <v>546</v>
      </c>
      <c r="B364" t="s">
        <v>94</v>
      </c>
      <c r="C364" t="s">
        <v>17</v>
      </c>
      <c r="D364">
        <v>40.659179999999999</v>
      </c>
      <c r="E364">
        <v>-73.892409999999998</v>
      </c>
      <c r="F364" t="s">
        <v>21</v>
      </c>
      <c r="G364">
        <v>8</v>
      </c>
      <c r="H364">
        <v>1</v>
      </c>
      <c r="I364">
        <v>1</v>
      </c>
      <c r="J364">
        <v>1</v>
      </c>
      <c r="K364">
        <v>30</v>
      </c>
      <c r="L364">
        <v>179</v>
      </c>
      <c r="M364">
        <v>28</v>
      </c>
      <c r="N364">
        <v>0.92</v>
      </c>
      <c r="O364">
        <f t="shared" si="10"/>
        <v>0</v>
      </c>
      <c r="P364">
        <f t="shared" si="11"/>
        <v>2</v>
      </c>
      <c r="Q364" s="2">
        <v>90</v>
      </c>
      <c r="R364" s="1">
        <v>45717</v>
      </c>
      <c r="S364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240.97000000000008</v>
      </c>
    </row>
    <row r="365" spans="1:19" x14ac:dyDescent="0.3">
      <c r="A365" t="s">
        <v>547</v>
      </c>
      <c r="B365" t="s">
        <v>23</v>
      </c>
      <c r="C365" t="s">
        <v>17</v>
      </c>
      <c r="D365">
        <v>40.715539999999997</v>
      </c>
      <c r="E365">
        <v>-73.955029999999994</v>
      </c>
      <c r="F365" t="s">
        <v>18</v>
      </c>
      <c r="G365">
        <v>1</v>
      </c>
      <c r="H365">
        <v>1</v>
      </c>
      <c r="I365">
        <v>1</v>
      </c>
      <c r="J365">
        <v>1</v>
      </c>
      <c r="K365">
        <v>30</v>
      </c>
      <c r="L365">
        <v>73</v>
      </c>
      <c r="M365">
        <v>27</v>
      </c>
      <c r="N365">
        <v>0.5</v>
      </c>
      <c r="O365">
        <f t="shared" si="10"/>
        <v>1</v>
      </c>
      <c r="P365">
        <f t="shared" si="11"/>
        <v>2</v>
      </c>
      <c r="Q365" s="2">
        <v>99</v>
      </c>
      <c r="R365" s="1">
        <v>45747</v>
      </c>
      <c r="S365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69.050000000000011</v>
      </c>
    </row>
    <row r="366" spans="1:19" x14ac:dyDescent="0.3">
      <c r="A366" t="s">
        <v>548</v>
      </c>
      <c r="B366" t="s">
        <v>24</v>
      </c>
      <c r="C366" t="s">
        <v>20</v>
      </c>
      <c r="D366">
        <v>40.787860000000002</v>
      </c>
      <c r="E366">
        <v>-73.949520000000007</v>
      </c>
      <c r="F366" t="s">
        <v>21</v>
      </c>
      <c r="G366">
        <v>4</v>
      </c>
      <c r="H366">
        <v>1</v>
      </c>
      <c r="I366">
        <v>1</v>
      </c>
      <c r="J366">
        <v>3</v>
      </c>
      <c r="K366">
        <v>30</v>
      </c>
      <c r="L366">
        <v>270</v>
      </c>
      <c r="M366">
        <v>15</v>
      </c>
      <c r="N366">
        <v>0.31</v>
      </c>
      <c r="O366">
        <f t="shared" si="10"/>
        <v>0</v>
      </c>
      <c r="P366">
        <f t="shared" si="11"/>
        <v>4</v>
      </c>
      <c r="Q366" s="2">
        <v>107</v>
      </c>
      <c r="R366" s="1">
        <v>45746</v>
      </c>
      <c r="S366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191.87</v>
      </c>
    </row>
    <row r="367" spans="1:19" x14ac:dyDescent="0.3">
      <c r="A367" t="s">
        <v>549</v>
      </c>
      <c r="B367" t="s">
        <v>132</v>
      </c>
      <c r="C367" t="s">
        <v>17</v>
      </c>
      <c r="D367">
        <v>40.645650000000003</v>
      </c>
      <c r="E367">
        <v>-73.893020000000007</v>
      </c>
      <c r="F367" t="s">
        <v>21</v>
      </c>
      <c r="G367">
        <v>6</v>
      </c>
      <c r="H367">
        <v>1</v>
      </c>
      <c r="I367">
        <v>3</v>
      </c>
      <c r="J367">
        <v>3</v>
      </c>
      <c r="K367">
        <v>30</v>
      </c>
      <c r="L367">
        <v>108</v>
      </c>
      <c r="M367">
        <v>87</v>
      </c>
      <c r="N367">
        <v>1.65</v>
      </c>
      <c r="O367">
        <f t="shared" si="10"/>
        <v>0</v>
      </c>
      <c r="P367">
        <f t="shared" si="11"/>
        <v>2</v>
      </c>
      <c r="Q367" s="2">
        <v>129</v>
      </c>
      <c r="R367" s="1">
        <v>45744</v>
      </c>
      <c r="S367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205.85000000000005</v>
      </c>
    </row>
    <row r="368" spans="1:19" x14ac:dyDescent="0.3">
      <c r="A368" t="s">
        <v>550</v>
      </c>
      <c r="B368" t="s">
        <v>62</v>
      </c>
      <c r="C368" t="s">
        <v>20</v>
      </c>
      <c r="D368">
        <v>40.718409999999999</v>
      </c>
      <c r="E368">
        <v>-73.995729999999995</v>
      </c>
      <c r="F368" t="s">
        <v>21</v>
      </c>
      <c r="G368">
        <v>2</v>
      </c>
      <c r="H368">
        <v>1</v>
      </c>
      <c r="I368">
        <v>0</v>
      </c>
      <c r="J368">
        <v>1</v>
      </c>
      <c r="K368">
        <v>15</v>
      </c>
      <c r="L368">
        <v>84</v>
      </c>
      <c r="M368">
        <v>15</v>
      </c>
      <c r="N368">
        <v>0.71</v>
      </c>
      <c r="O368">
        <f t="shared" si="10"/>
        <v>0</v>
      </c>
      <c r="P368">
        <f t="shared" si="11"/>
        <v>4</v>
      </c>
      <c r="Q368" s="2">
        <v>209</v>
      </c>
      <c r="R368" s="1">
        <v>45732</v>
      </c>
      <c r="S368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211.60000000000002</v>
      </c>
    </row>
    <row r="369" spans="1:19" x14ac:dyDescent="0.3">
      <c r="A369" t="s">
        <v>551</v>
      </c>
      <c r="B369" t="s">
        <v>42</v>
      </c>
      <c r="C369" t="s">
        <v>17</v>
      </c>
      <c r="D369">
        <v>40.72833</v>
      </c>
      <c r="E369">
        <v>-73.94811</v>
      </c>
      <c r="F369" t="s">
        <v>21</v>
      </c>
      <c r="G369">
        <v>6</v>
      </c>
      <c r="H369">
        <v>1</v>
      </c>
      <c r="I369">
        <v>3</v>
      </c>
      <c r="J369">
        <v>5</v>
      </c>
      <c r="K369">
        <v>30</v>
      </c>
      <c r="L369">
        <v>349</v>
      </c>
      <c r="M369">
        <v>166</v>
      </c>
      <c r="N369">
        <v>3.22</v>
      </c>
      <c r="O369">
        <f t="shared" si="10"/>
        <v>0</v>
      </c>
      <c r="P369">
        <f t="shared" si="11"/>
        <v>2</v>
      </c>
      <c r="Q369" s="2">
        <v>227</v>
      </c>
      <c r="R369" s="1">
        <v>45733</v>
      </c>
      <c r="S369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196.21000000000004</v>
      </c>
    </row>
    <row r="370" spans="1:19" x14ac:dyDescent="0.3">
      <c r="A370" t="s">
        <v>552</v>
      </c>
      <c r="B370" t="s">
        <v>93</v>
      </c>
      <c r="C370" t="s">
        <v>91</v>
      </c>
      <c r="D370" s="3" t="s">
        <v>553</v>
      </c>
      <c r="E370">
        <v>-74.068795391907997</v>
      </c>
      <c r="F370" t="s">
        <v>21</v>
      </c>
      <c r="G370">
        <v>1</v>
      </c>
      <c r="H370">
        <v>1</v>
      </c>
      <c r="I370">
        <v>0</v>
      </c>
      <c r="J370">
        <v>1</v>
      </c>
      <c r="K370">
        <v>30</v>
      </c>
      <c r="L370">
        <v>196</v>
      </c>
      <c r="M370">
        <v>13</v>
      </c>
      <c r="N370">
        <v>0.26</v>
      </c>
      <c r="O370">
        <f t="shared" si="10"/>
        <v>0</v>
      </c>
      <c r="P370">
        <f t="shared" si="11"/>
        <v>0</v>
      </c>
      <c r="Q370" s="2">
        <v>100</v>
      </c>
      <c r="R370" s="1">
        <v>45739</v>
      </c>
      <c r="S370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76.97</v>
      </c>
    </row>
    <row r="371" spans="1:19" x14ac:dyDescent="0.3">
      <c r="A371" t="s">
        <v>554</v>
      </c>
      <c r="B371" t="s">
        <v>41</v>
      </c>
      <c r="C371" t="s">
        <v>20</v>
      </c>
      <c r="D371">
        <v>40.732120000000002</v>
      </c>
      <c r="E371">
        <v>-73.985320000000002</v>
      </c>
      <c r="F371" t="s">
        <v>21</v>
      </c>
      <c r="G371">
        <v>4</v>
      </c>
      <c r="H371">
        <v>1</v>
      </c>
      <c r="I371">
        <v>2</v>
      </c>
      <c r="J371">
        <v>2</v>
      </c>
      <c r="K371">
        <v>30</v>
      </c>
      <c r="L371">
        <v>314</v>
      </c>
      <c r="M371">
        <v>7</v>
      </c>
      <c r="N371">
        <v>0.15</v>
      </c>
      <c r="O371">
        <f t="shared" si="10"/>
        <v>0</v>
      </c>
      <c r="P371">
        <f t="shared" si="11"/>
        <v>4</v>
      </c>
      <c r="Q371" s="2">
        <v>140</v>
      </c>
      <c r="R371" s="1">
        <v>45746</v>
      </c>
      <c r="S371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190.11</v>
      </c>
    </row>
    <row r="372" spans="1:19" x14ac:dyDescent="0.3">
      <c r="A372" t="s">
        <v>555</v>
      </c>
      <c r="B372" t="s">
        <v>67</v>
      </c>
      <c r="C372" t="s">
        <v>17</v>
      </c>
      <c r="D372">
        <v>40.699849999999998</v>
      </c>
      <c r="E372">
        <v>-73.933580000000006</v>
      </c>
      <c r="F372" t="s">
        <v>21</v>
      </c>
      <c r="G372">
        <v>2</v>
      </c>
      <c r="H372">
        <v>1</v>
      </c>
      <c r="I372">
        <v>1</v>
      </c>
      <c r="J372">
        <v>1</v>
      </c>
      <c r="K372">
        <v>30</v>
      </c>
      <c r="L372">
        <v>149</v>
      </c>
      <c r="M372">
        <v>13</v>
      </c>
      <c r="N372">
        <v>0.25</v>
      </c>
      <c r="O372">
        <f t="shared" si="10"/>
        <v>0</v>
      </c>
      <c r="P372">
        <f t="shared" si="11"/>
        <v>2</v>
      </c>
      <c r="Q372" s="2">
        <v>169</v>
      </c>
      <c r="R372" s="1">
        <v>45729</v>
      </c>
      <c r="S372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128.29000000000002</v>
      </c>
    </row>
    <row r="373" spans="1:19" x14ac:dyDescent="0.3">
      <c r="A373" t="s">
        <v>556</v>
      </c>
      <c r="B373" t="s">
        <v>19</v>
      </c>
      <c r="C373" t="s">
        <v>20</v>
      </c>
      <c r="D373">
        <v>40.747950000000003</v>
      </c>
      <c r="E373">
        <v>-73.986930000000001</v>
      </c>
      <c r="F373" t="s">
        <v>21</v>
      </c>
      <c r="G373">
        <v>4</v>
      </c>
      <c r="H373">
        <v>1</v>
      </c>
      <c r="I373">
        <v>0</v>
      </c>
      <c r="J373">
        <v>2</v>
      </c>
      <c r="K373">
        <v>1</v>
      </c>
      <c r="L373">
        <v>239</v>
      </c>
      <c r="M373">
        <v>38</v>
      </c>
      <c r="N373">
        <v>0.73</v>
      </c>
      <c r="O373">
        <f t="shared" si="10"/>
        <v>0</v>
      </c>
      <c r="P373">
        <f t="shared" si="11"/>
        <v>4</v>
      </c>
      <c r="Q373" s="2">
        <v>209</v>
      </c>
      <c r="R373" s="1">
        <v>45742</v>
      </c>
      <c r="S373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290.26000000000005</v>
      </c>
    </row>
    <row r="374" spans="1:19" x14ac:dyDescent="0.3">
      <c r="A374" t="s">
        <v>557</v>
      </c>
      <c r="B374" t="s">
        <v>72</v>
      </c>
      <c r="C374" t="s">
        <v>20</v>
      </c>
      <c r="D374">
        <v>40.737090000000002</v>
      </c>
      <c r="E374">
        <v>-73.980369999999994</v>
      </c>
      <c r="F374" t="s">
        <v>21</v>
      </c>
      <c r="G374">
        <v>4</v>
      </c>
      <c r="H374">
        <v>1</v>
      </c>
      <c r="I374">
        <v>1</v>
      </c>
      <c r="J374">
        <v>2</v>
      </c>
      <c r="K374">
        <v>30</v>
      </c>
      <c r="L374">
        <v>280</v>
      </c>
      <c r="M374">
        <v>14</v>
      </c>
      <c r="N374">
        <v>0.28000000000000003</v>
      </c>
      <c r="O374">
        <f t="shared" si="10"/>
        <v>0</v>
      </c>
      <c r="P374">
        <f t="shared" si="11"/>
        <v>4</v>
      </c>
      <c r="Q374" s="2">
        <v>170</v>
      </c>
      <c r="R374" s="1">
        <v>45733</v>
      </c>
      <c r="S374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191.47000000000003</v>
      </c>
    </row>
    <row r="375" spans="1:19" x14ac:dyDescent="0.3">
      <c r="A375" t="s">
        <v>558</v>
      </c>
      <c r="B375" t="s">
        <v>19</v>
      </c>
      <c r="C375" t="s">
        <v>20</v>
      </c>
      <c r="D375">
        <v>40.748260000000002</v>
      </c>
      <c r="E375">
        <v>-73.987080000000006</v>
      </c>
      <c r="F375" t="s">
        <v>21</v>
      </c>
      <c r="G375">
        <v>6</v>
      </c>
      <c r="H375">
        <v>1</v>
      </c>
      <c r="I375">
        <v>1</v>
      </c>
      <c r="J375">
        <v>3</v>
      </c>
      <c r="K375">
        <v>1</v>
      </c>
      <c r="L375">
        <v>333</v>
      </c>
      <c r="M375">
        <v>79</v>
      </c>
      <c r="N375">
        <v>1.5</v>
      </c>
      <c r="O375">
        <f t="shared" si="10"/>
        <v>0</v>
      </c>
      <c r="P375">
        <f t="shared" si="11"/>
        <v>4</v>
      </c>
      <c r="Q375" s="2">
        <v>267</v>
      </c>
      <c r="R375" s="1">
        <v>45730</v>
      </c>
      <c r="S375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324.46000000000004</v>
      </c>
    </row>
    <row r="376" spans="1:19" x14ac:dyDescent="0.3">
      <c r="A376" t="s">
        <v>559</v>
      </c>
      <c r="B376" t="s">
        <v>37</v>
      </c>
      <c r="C376" t="s">
        <v>30</v>
      </c>
      <c r="D376">
        <v>40.771810000000002</v>
      </c>
      <c r="E376">
        <v>-73.915440000000004</v>
      </c>
      <c r="F376" t="s">
        <v>18</v>
      </c>
      <c r="G376">
        <v>2</v>
      </c>
      <c r="H376">
        <v>2</v>
      </c>
      <c r="I376">
        <v>1</v>
      </c>
      <c r="J376">
        <v>2</v>
      </c>
      <c r="K376">
        <v>30</v>
      </c>
      <c r="L376">
        <v>117</v>
      </c>
      <c r="M376">
        <v>156</v>
      </c>
      <c r="N376">
        <v>2.96</v>
      </c>
      <c r="O376">
        <f t="shared" si="10"/>
        <v>1</v>
      </c>
      <c r="P376">
        <f t="shared" si="11"/>
        <v>0</v>
      </c>
      <c r="Q376" s="2">
        <v>62</v>
      </c>
      <c r="R376" s="1">
        <v>45717</v>
      </c>
      <c r="S376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67.030000000000015</v>
      </c>
    </row>
    <row r="377" spans="1:19" x14ac:dyDescent="0.3">
      <c r="A377" t="s">
        <v>560</v>
      </c>
      <c r="B377" t="s">
        <v>36</v>
      </c>
      <c r="C377" t="s">
        <v>20</v>
      </c>
      <c r="D377">
        <v>40.75947</v>
      </c>
      <c r="E377">
        <v>-73.961320000000001</v>
      </c>
      <c r="F377" t="s">
        <v>21</v>
      </c>
      <c r="G377">
        <v>4</v>
      </c>
      <c r="H377">
        <v>1</v>
      </c>
      <c r="I377">
        <v>2</v>
      </c>
      <c r="J377">
        <v>2</v>
      </c>
      <c r="K377">
        <v>30</v>
      </c>
      <c r="L377">
        <v>365</v>
      </c>
      <c r="M377">
        <v>11</v>
      </c>
      <c r="N377">
        <v>0.24</v>
      </c>
      <c r="O377">
        <f t="shared" si="10"/>
        <v>0</v>
      </c>
      <c r="P377">
        <f t="shared" si="11"/>
        <v>4</v>
      </c>
      <c r="Q377" s="2">
        <v>209</v>
      </c>
      <c r="R377" s="1">
        <v>45738</v>
      </c>
      <c r="S377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188.07000000000005</v>
      </c>
    </row>
    <row r="378" spans="1:19" x14ac:dyDescent="0.3">
      <c r="A378" t="s">
        <v>561</v>
      </c>
      <c r="B378" t="s">
        <v>36</v>
      </c>
      <c r="C378" t="s">
        <v>20</v>
      </c>
      <c r="D378">
        <v>40.779440000000001</v>
      </c>
      <c r="E378">
        <v>-73.954639999999998</v>
      </c>
      <c r="F378" t="s">
        <v>21</v>
      </c>
      <c r="G378">
        <v>4</v>
      </c>
      <c r="H378">
        <v>1</v>
      </c>
      <c r="I378">
        <v>1</v>
      </c>
      <c r="J378">
        <v>1</v>
      </c>
      <c r="K378">
        <v>30</v>
      </c>
      <c r="L378">
        <v>152</v>
      </c>
      <c r="M378">
        <v>14</v>
      </c>
      <c r="N378">
        <v>0.28000000000000003</v>
      </c>
      <c r="O378">
        <f t="shared" si="10"/>
        <v>0</v>
      </c>
      <c r="P378">
        <f t="shared" si="11"/>
        <v>4</v>
      </c>
      <c r="Q378" s="2">
        <v>248</v>
      </c>
      <c r="R378" s="1">
        <v>45732</v>
      </c>
      <c r="S378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196.59000000000003</v>
      </c>
    </row>
    <row r="379" spans="1:19" x14ac:dyDescent="0.3">
      <c r="A379" t="s">
        <v>562</v>
      </c>
      <c r="B379" t="s">
        <v>102</v>
      </c>
      <c r="C379" t="s">
        <v>91</v>
      </c>
      <c r="D379" s="3" t="s">
        <v>563</v>
      </c>
      <c r="E379">
        <v>-74.092810523349698</v>
      </c>
      <c r="F379" t="s">
        <v>18</v>
      </c>
      <c r="G379">
        <v>1</v>
      </c>
      <c r="H379">
        <v>1</v>
      </c>
      <c r="I379">
        <v>1</v>
      </c>
      <c r="J379">
        <v>1</v>
      </c>
      <c r="K379">
        <v>2</v>
      </c>
      <c r="L379">
        <v>336</v>
      </c>
      <c r="M379">
        <v>27</v>
      </c>
      <c r="N379">
        <v>0.57999999999999996</v>
      </c>
      <c r="O379">
        <f t="shared" si="10"/>
        <v>1</v>
      </c>
      <c r="P379">
        <f t="shared" si="11"/>
        <v>0</v>
      </c>
      <c r="Q379" s="2">
        <v>80</v>
      </c>
      <c r="R379" s="1">
        <v>45727</v>
      </c>
      <c r="S379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121.87000000000002</v>
      </c>
    </row>
    <row r="380" spans="1:19" x14ac:dyDescent="0.3">
      <c r="A380" t="s">
        <v>564</v>
      </c>
      <c r="B380" t="s">
        <v>42</v>
      </c>
      <c r="C380" t="s">
        <v>17</v>
      </c>
      <c r="D380">
        <v>40.735770000000002</v>
      </c>
      <c r="E380">
        <v>-73.955370000000002</v>
      </c>
      <c r="F380" t="s">
        <v>21</v>
      </c>
      <c r="G380">
        <v>2</v>
      </c>
      <c r="H380">
        <v>1</v>
      </c>
      <c r="I380">
        <v>1</v>
      </c>
      <c r="J380">
        <v>1</v>
      </c>
      <c r="K380">
        <v>30</v>
      </c>
      <c r="L380">
        <v>114</v>
      </c>
      <c r="M380">
        <v>54</v>
      </c>
      <c r="N380">
        <v>1.1100000000000001</v>
      </c>
      <c r="O380">
        <f t="shared" si="10"/>
        <v>0</v>
      </c>
      <c r="P380">
        <f t="shared" si="11"/>
        <v>2</v>
      </c>
      <c r="Q380" s="2">
        <v>120</v>
      </c>
      <c r="R380" s="1">
        <v>45747</v>
      </c>
      <c r="S380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129.69000000000003</v>
      </c>
    </row>
    <row r="381" spans="1:19" x14ac:dyDescent="0.3">
      <c r="A381" t="s">
        <v>565</v>
      </c>
      <c r="B381" t="s">
        <v>38</v>
      </c>
      <c r="C381" t="s">
        <v>20</v>
      </c>
      <c r="D381">
        <v>40.763330000000003</v>
      </c>
      <c r="E381">
        <v>-73.987790000000004</v>
      </c>
      <c r="F381" t="s">
        <v>21</v>
      </c>
      <c r="G381">
        <v>2</v>
      </c>
      <c r="H381">
        <v>1</v>
      </c>
      <c r="I381">
        <v>0</v>
      </c>
      <c r="J381">
        <v>1</v>
      </c>
      <c r="K381">
        <v>30</v>
      </c>
      <c r="L381">
        <v>288</v>
      </c>
      <c r="M381">
        <v>12</v>
      </c>
      <c r="N381">
        <v>0.24</v>
      </c>
      <c r="O381">
        <f t="shared" si="10"/>
        <v>0</v>
      </c>
      <c r="P381">
        <f t="shared" si="11"/>
        <v>4</v>
      </c>
      <c r="Q381" s="2">
        <v>120</v>
      </c>
      <c r="R381" s="1">
        <v>45741</v>
      </c>
      <c r="S381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153.19000000000003</v>
      </c>
    </row>
    <row r="382" spans="1:19" x14ac:dyDescent="0.3">
      <c r="A382" t="s">
        <v>566</v>
      </c>
      <c r="B382" t="s">
        <v>60</v>
      </c>
      <c r="C382" t="s">
        <v>17</v>
      </c>
      <c r="D382">
        <v>40.645020000000002</v>
      </c>
      <c r="E382">
        <v>-73.942949999999996</v>
      </c>
      <c r="F382" t="s">
        <v>21</v>
      </c>
      <c r="G382">
        <v>2</v>
      </c>
      <c r="H382">
        <v>1</v>
      </c>
      <c r="I382">
        <v>1</v>
      </c>
      <c r="J382">
        <v>1</v>
      </c>
      <c r="K382">
        <v>30</v>
      </c>
      <c r="L382">
        <v>89</v>
      </c>
      <c r="M382">
        <v>55</v>
      </c>
      <c r="N382">
        <v>1.1000000000000001</v>
      </c>
      <c r="O382">
        <f t="shared" si="10"/>
        <v>0</v>
      </c>
      <c r="P382">
        <f t="shared" si="11"/>
        <v>2</v>
      </c>
      <c r="Q382" s="2">
        <v>96</v>
      </c>
      <c r="R382" s="1">
        <v>45732</v>
      </c>
      <c r="S382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130.69000000000003</v>
      </c>
    </row>
    <row r="383" spans="1:19" x14ac:dyDescent="0.3">
      <c r="A383" t="s">
        <v>567</v>
      </c>
      <c r="B383" t="s">
        <v>19</v>
      </c>
      <c r="C383" t="s">
        <v>20</v>
      </c>
      <c r="D383">
        <v>40.759619999999998</v>
      </c>
      <c r="E383">
        <v>-73.966790000000003</v>
      </c>
      <c r="F383" t="s">
        <v>21</v>
      </c>
      <c r="G383">
        <v>2</v>
      </c>
      <c r="H383">
        <v>1</v>
      </c>
      <c r="I383">
        <v>0</v>
      </c>
      <c r="J383">
        <v>1</v>
      </c>
      <c r="K383">
        <v>30</v>
      </c>
      <c r="L383">
        <v>337</v>
      </c>
      <c r="M383">
        <v>15</v>
      </c>
      <c r="N383">
        <v>0.3</v>
      </c>
      <c r="O383">
        <f t="shared" si="10"/>
        <v>0</v>
      </c>
      <c r="P383">
        <f t="shared" si="11"/>
        <v>4</v>
      </c>
      <c r="Q383" s="2">
        <v>120</v>
      </c>
      <c r="R383" s="1">
        <v>45724</v>
      </c>
      <c r="S383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151.23000000000002</v>
      </c>
    </row>
    <row r="384" spans="1:19" x14ac:dyDescent="0.3">
      <c r="A384" t="s">
        <v>568</v>
      </c>
      <c r="B384" t="s">
        <v>37</v>
      </c>
      <c r="C384" t="s">
        <v>30</v>
      </c>
      <c r="D384">
        <v>40.77467</v>
      </c>
      <c r="E384">
        <v>-73.915809999999993</v>
      </c>
      <c r="F384" t="s">
        <v>21</v>
      </c>
      <c r="G384">
        <v>2</v>
      </c>
      <c r="H384">
        <v>1</v>
      </c>
      <c r="I384">
        <v>0</v>
      </c>
      <c r="J384">
        <v>1</v>
      </c>
      <c r="K384">
        <v>30</v>
      </c>
      <c r="L384">
        <v>189</v>
      </c>
      <c r="M384">
        <v>16</v>
      </c>
      <c r="N384">
        <v>0.33</v>
      </c>
      <c r="O384">
        <f t="shared" si="10"/>
        <v>0</v>
      </c>
      <c r="P384">
        <f t="shared" si="11"/>
        <v>0</v>
      </c>
      <c r="Q384" s="2">
        <v>65</v>
      </c>
      <c r="R384" s="1">
        <v>45747</v>
      </c>
      <c r="S384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96.230000000000018</v>
      </c>
    </row>
    <row r="385" spans="1:19" x14ac:dyDescent="0.3">
      <c r="A385" t="s">
        <v>569</v>
      </c>
      <c r="B385" t="s">
        <v>19</v>
      </c>
      <c r="C385" t="s">
        <v>20</v>
      </c>
      <c r="D385">
        <v>40.744630000000001</v>
      </c>
      <c r="E385">
        <v>-73.99042</v>
      </c>
      <c r="F385" t="s">
        <v>18</v>
      </c>
      <c r="G385">
        <v>2</v>
      </c>
      <c r="H385">
        <v>1</v>
      </c>
      <c r="I385">
        <v>0</v>
      </c>
      <c r="J385">
        <v>1</v>
      </c>
      <c r="K385">
        <v>1</v>
      </c>
      <c r="L385">
        <v>299</v>
      </c>
      <c r="M385">
        <v>18</v>
      </c>
      <c r="N385">
        <v>0.38</v>
      </c>
      <c r="O385">
        <f t="shared" si="10"/>
        <v>1</v>
      </c>
      <c r="P385">
        <f t="shared" si="11"/>
        <v>4</v>
      </c>
      <c r="Q385" s="2">
        <v>356</v>
      </c>
      <c r="R385" s="1">
        <v>45744</v>
      </c>
      <c r="S385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206.60000000000002</v>
      </c>
    </row>
    <row r="386" spans="1:19" x14ac:dyDescent="0.3">
      <c r="A386" t="s">
        <v>570</v>
      </c>
      <c r="B386" t="s">
        <v>179</v>
      </c>
      <c r="C386" t="s">
        <v>20</v>
      </c>
      <c r="D386">
        <v>40.742959999999997</v>
      </c>
      <c r="E386">
        <v>-73.990359999999995</v>
      </c>
      <c r="F386" t="s">
        <v>18</v>
      </c>
      <c r="G386">
        <v>2</v>
      </c>
      <c r="H386">
        <v>1</v>
      </c>
      <c r="I386">
        <v>0</v>
      </c>
      <c r="J386">
        <v>1</v>
      </c>
      <c r="K386">
        <v>1</v>
      </c>
      <c r="L386">
        <v>324</v>
      </c>
      <c r="M386">
        <v>101</v>
      </c>
      <c r="N386">
        <v>2.0299999999999998</v>
      </c>
      <c r="O386">
        <f t="shared" si="10"/>
        <v>1</v>
      </c>
      <c r="P386">
        <f t="shared" si="11"/>
        <v>4</v>
      </c>
      <c r="Q386" s="2">
        <v>381</v>
      </c>
      <c r="R386" s="1">
        <v>45744</v>
      </c>
      <c r="S386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205.60000000000002</v>
      </c>
    </row>
    <row r="387" spans="1:19" x14ac:dyDescent="0.3">
      <c r="A387" t="s">
        <v>571</v>
      </c>
      <c r="B387" t="s">
        <v>28</v>
      </c>
      <c r="C387" t="s">
        <v>20</v>
      </c>
      <c r="D387">
        <v>40.824660000000002</v>
      </c>
      <c r="E387">
        <v>-73.946060000000003</v>
      </c>
      <c r="F387" t="s">
        <v>18</v>
      </c>
      <c r="G387">
        <v>1</v>
      </c>
      <c r="H387">
        <v>1</v>
      </c>
      <c r="I387">
        <v>1</v>
      </c>
      <c r="J387">
        <v>1</v>
      </c>
      <c r="K387">
        <v>30</v>
      </c>
      <c r="L387">
        <v>214</v>
      </c>
      <c r="M387">
        <v>13</v>
      </c>
      <c r="N387">
        <v>0.27</v>
      </c>
      <c r="O387">
        <f t="shared" ref="O387:O450" si="12">IF(F387="Private room",1,0)</f>
        <v>1</v>
      </c>
      <c r="P387">
        <f t="shared" ref="P387:P450" si="13">IF(C387="Manhattan",4,IF(C387="Brooklyn",2,0))</f>
        <v>4</v>
      </c>
      <c r="Q387" s="2">
        <v>56</v>
      </c>
      <c r="R387" s="1">
        <v>45747</v>
      </c>
      <c r="S387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93.87</v>
      </c>
    </row>
    <row r="388" spans="1:19" x14ac:dyDescent="0.3">
      <c r="A388" t="s">
        <v>572</v>
      </c>
      <c r="B388" t="s">
        <v>19</v>
      </c>
      <c r="C388" t="s">
        <v>20</v>
      </c>
      <c r="D388">
        <v>40.763480000000001</v>
      </c>
      <c r="E388">
        <v>-73.974360000000004</v>
      </c>
      <c r="F388" t="s">
        <v>18</v>
      </c>
      <c r="G388">
        <v>2</v>
      </c>
      <c r="H388">
        <v>1</v>
      </c>
      <c r="I388">
        <v>1</v>
      </c>
      <c r="J388">
        <v>1</v>
      </c>
      <c r="K388">
        <v>1</v>
      </c>
      <c r="L388">
        <v>283</v>
      </c>
      <c r="M388">
        <v>53</v>
      </c>
      <c r="N388">
        <v>1.25</v>
      </c>
      <c r="O388">
        <f t="shared" si="12"/>
        <v>1</v>
      </c>
      <c r="P388">
        <f t="shared" si="13"/>
        <v>4</v>
      </c>
      <c r="Q388" s="2">
        <v>421</v>
      </c>
      <c r="R388" s="1">
        <v>45747</v>
      </c>
      <c r="S388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207.24000000000007</v>
      </c>
    </row>
    <row r="389" spans="1:19" x14ac:dyDescent="0.3">
      <c r="A389" t="s">
        <v>573</v>
      </c>
      <c r="B389" t="s">
        <v>33</v>
      </c>
      <c r="C389" t="s">
        <v>17</v>
      </c>
      <c r="D389">
        <v>40.67718</v>
      </c>
      <c r="E389">
        <v>-73.97533</v>
      </c>
      <c r="F389" t="s">
        <v>21</v>
      </c>
      <c r="G389">
        <v>4</v>
      </c>
      <c r="H389">
        <v>1</v>
      </c>
      <c r="I389">
        <v>1</v>
      </c>
      <c r="J389">
        <v>2</v>
      </c>
      <c r="K389">
        <v>30</v>
      </c>
      <c r="L389">
        <v>324</v>
      </c>
      <c r="M389">
        <v>72</v>
      </c>
      <c r="N389">
        <v>1.44</v>
      </c>
      <c r="O389">
        <f t="shared" si="12"/>
        <v>0</v>
      </c>
      <c r="P389">
        <f t="shared" si="13"/>
        <v>2</v>
      </c>
      <c r="Q389" s="2">
        <v>230</v>
      </c>
      <c r="R389" s="1">
        <v>45747</v>
      </c>
      <c r="S389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159.25000000000003</v>
      </c>
    </row>
    <row r="390" spans="1:19" x14ac:dyDescent="0.3">
      <c r="A390" t="s">
        <v>574</v>
      </c>
      <c r="B390" t="s">
        <v>128</v>
      </c>
      <c r="C390" t="s">
        <v>30</v>
      </c>
      <c r="D390">
        <v>40.70438</v>
      </c>
      <c r="E390">
        <v>-73.873069999999998</v>
      </c>
      <c r="F390" t="s">
        <v>21</v>
      </c>
      <c r="G390">
        <v>3</v>
      </c>
      <c r="H390">
        <v>1</v>
      </c>
      <c r="I390">
        <v>1</v>
      </c>
      <c r="J390">
        <v>2</v>
      </c>
      <c r="K390">
        <v>30</v>
      </c>
      <c r="L390">
        <v>276</v>
      </c>
      <c r="M390">
        <v>73</v>
      </c>
      <c r="N390">
        <v>1.47</v>
      </c>
      <c r="O390">
        <f t="shared" si="12"/>
        <v>0</v>
      </c>
      <c r="P390">
        <f t="shared" si="13"/>
        <v>0</v>
      </c>
      <c r="Q390" s="2">
        <v>236</v>
      </c>
      <c r="R390" s="1">
        <v>45717</v>
      </c>
      <c r="S390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111.73</v>
      </c>
    </row>
    <row r="391" spans="1:19" x14ac:dyDescent="0.3">
      <c r="A391" t="s">
        <v>575</v>
      </c>
      <c r="B391" t="s">
        <v>27</v>
      </c>
      <c r="C391" t="s">
        <v>17</v>
      </c>
      <c r="D391">
        <v>40.69229</v>
      </c>
      <c r="E391">
        <v>-73.956339999999997</v>
      </c>
      <c r="F391" t="s">
        <v>21</v>
      </c>
      <c r="G391">
        <v>2</v>
      </c>
      <c r="H391">
        <v>1</v>
      </c>
      <c r="I391">
        <v>1</v>
      </c>
      <c r="J391">
        <v>1</v>
      </c>
      <c r="K391">
        <v>30</v>
      </c>
      <c r="L391">
        <v>124</v>
      </c>
      <c r="M391">
        <v>84</v>
      </c>
      <c r="N391">
        <v>1.73</v>
      </c>
      <c r="O391">
        <f t="shared" si="12"/>
        <v>0</v>
      </c>
      <c r="P391">
        <f t="shared" si="13"/>
        <v>2</v>
      </c>
      <c r="Q391" s="2">
        <v>140</v>
      </c>
      <c r="R391" s="1">
        <v>45717</v>
      </c>
      <c r="S391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129.29000000000002</v>
      </c>
    </row>
    <row r="392" spans="1:19" x14ac:dyDescent="0.3">
      <c r="A392" t="s">
        <v>576</v>
      </c>
      <c r="B392" t="s">
        <v>36</v>
      </c>
      <c r="C392" t="s">
        <v>20</v>
      </c>
      <c r="D392">
        <v>40.770451000000001</v>
      </c>
      <c r="E392">
        <v>-73.955894000000001</v>
      </c>
      <c r="F392" t="s">
        <v>21</v>
      </c>
      <c r="G392">
        <v>3</v>
      </c>
      <c r="H392">
        <v>1</v>
      </c>
      <c r="I392">
        <v>0</v>
      </c>
      <c r="J392">
        <v>1</v>
      </c>
      <c r="K392">
        <v>30</v>
      </c>
      <c r="L392">
        <v>362</v>
      </c>
      <c r="M392">
        <v>23</v>
      </c>
      <c r="N392">
        <v>0.51</v>
      </c>
      <c r="O392">
        <f t="shared" si="12"/>
        <v>0</v>
      </c>
      <c r="P392">
        <f t="shared" si="13"/>
        <v>4</v>
      </c>
      <c r="Q392" s="2">
        <v>119</v>
      </c>
      <c r="R392" s="1">
        <v>45745</v>
      </c>
      <c r="S392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169.21</v>
      </c>
    </row>
    <row r="393" spans="1:19" x14ac:dyDescent="0.3">
      <c r="A393" t="s">
        <v>577</v>
      </c>
      <c r="B393" t="s">
        <v>27</v>
      </c>
      <c r="C393" t="s">
        <v>17</v>
      </c>
      <c r="D393">
        <v>40.678460000000001</v>
      </c>
      <c r="E393">
        <v>-73.912220000000005</v>
      </c>
      <c r="F393" t="s">
        <v>21</v>
      </c>
      <c r="G393">
        <v>6</v>
      </c>
      <c r="H393">
        <v>1</v>
      </c>
      <c r="I393">
        <v>2</v>
      </c>
      <c r="J393">
        <v>3</v>
      </c>
      <c r="K393">
        <v>30</v>
      </c>
      <c r="L393">
        <v>365</v>
      </c>
      <c r="M393">
        <v>22</v>
      </c>
      <c r="N393">
        <v>0.45</v>
      </c>
      <c r="O393">
        <f t="shared" si="12"/>
        <v>0</v>
      </c>
      <c r="P393">
        <f t="shared" si="13"/>
        <v>2</v>
      </c>
      <c r="Q393" s="2">
        <v>210</v>
      </c>
      <c r="R393" s="1">
        <v>45726</v>
      </c>
      <c r="S393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195.57000000000005</v>
      </c>
    </row>
    <row r="394" spans="1:19" x14ac:dyDescent="0.3">
      <c r="A394" t="s">
        <v>578</v>
      </c>
      <c r="B394" t="s">
        <v>56</v>
      </c>
      <c r="C394" t="s">
        <v>17</v>
      </c>
      <c r="D394">
        <v>40.67689</v>
      </c>
      <c r="E394">
        <v>-73.945750000000004</v>
      </c>
      <c r="F394" t="s">
        <v>18</v>
      </c>
      <c r="G394">
        <v>1</v>
      </c>
      <c r="H394">
        <v>1</v>
      </c>
      <c r="I394">
        <v>1</v>
      </c>
      <c r="J394">
        <v>1</v>
      </c>
      <c r="K394">
        <v>30</v>
      </c>
      <c r="L394">
        <v>332</v>
      </c>
      <c r="M394">
        <v>6</v>
      </c>
      <c r="N394">
        <v>0.15</v>
      </c>
      <c r="O394">
        <f t="shared" si="12"/>
        <v>1</v>
      </c>
      <c r="P394">
        <f t="shared" si="13"/>
        <v>2</v>
      </c>
      <c r="Q394" s="2">
        <v>78</v>
      </c>
      <c r="R394" s="1">
        <v>45717</v>
      </c>
      <c r="S394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58.690000000000005</v>
      </c>
    </row>
    <row r="395" spans="1:19" x14ac:dyDescent="0.3">
      <c r="A395" t="s">
        <v>579</v>
      </c>
      <c r="B395" t="s">
        <v>45</v>
      </c>
      <c r="C395" t="s">
        <v>20</v>
      </c>
      <c r="D395">
        <v>40.752789999999997</v>
      </c>
      <c r="E395">
        <v>-73.995080000000002</v>
      </c>
      <c r="F395" t="s">
        <v>18</v>
      </c>
      <c r="G395">
        <v>2</v>
      </c>
      <c r="H395">
        <v>1</v>
      </c>
      <c r="I395">
        <v>0</v>
      </c>
      <c r="J395">
        <v>1</v>
      </c>
      <c r="K395">
        <v>1</v>
      </c>
      <c r="L395">
        <v>39</v>
      </c>
      <c r="M395">
        <v>21</v>
      </c>
      <c r="N395">
        <v>0.48</v>
      </c>
      <c r="O395">
        <f t="shared" si="12"/>
        <v>1</v>
      </c>
      <c r="P395">
        <f t="shared" si="13"/>
        <v>4</v>
      </c>
      <c r="Q395" s="2">
        <v>289</v>
      </c>
      <c r="R395" s="1">
        <v>45742</v>
      </c>
      <c r="S395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217.00000000000006</v>
      </c>
    </row>
    <row r="396" spans="1:19" x14ac:dyDescent="0.3">
      <c r="A396" t="s">
        <v>580</v>
      </c>
      <c r="B396" t="s">
        <v>45</v>
      </c>
      <c r="C396" t="s">
        <v>20</v>
      </c>
      <c r="D396">
        <v>40.750639999999997</v>
      </c>
      <c r="E396">
        <v>-73.996780000000001</v>
      </c>
      <c r="F396" t="s">
        <v>18</v>
      </c>
      <c r="G396">
        <v>1</v>
      </c>
      <c r="H396">
        <v>0</v>
      </c>
      <c r="I396">
        <v>1</v>
      </c>
      <c r="J396">
        <v>1</v>
      </c>
      <c r="K396">
        <v>1</v>
      </c>
      <c r="L396">
        <v>304</v>
      </c>
      <c r="M396">
        <v>2</v>
      </c>
      <c r="N396">
        <v>0.71</v>
      </c>
      <c r="O396">
        <f t="shared" si="12"/>
        <v>1</v>
      </c>
      <c r="P396">
        <f t="shared" si="13"/>
        <v>4</v>
      </c>
      <c r="Q396" s="2">
        <v>207</v>
      </c>
      <c r="R396" s="1">
        <v>45745</v>
      </c>
      <c r="S396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176.20000000000002</v>
      </c>
    </row>
    <row r="397" spans="1:19" x14ac:dyDescent="0.3">
      <c r="A397" t="s">
        <v>581</v>
      </c>
      <c r="B397" t="s">
        <v>27</v>
      </c>
      <c r="C397" t="s">
        <v>17</v>
      </c>
      <c r="D397">
        <v>40.684130000000003</v>
      </c>
      <c r="E397">
        <v>-73.932239999999993</v>
      </c>
      <c r="F397" t="s">
        <v>21</v>
      </c>
      <c r="G397">
        <v>4</v>
      </c>
      <c r="H397">
        <v>1</v>
      </c>
      <c r="I397">
        <v>1</v>
      </c>
      <c r="J397">
        <v>2</v>
      </c>
      <c r="K397">
        <v>30</v>
      </c>
      <c r="L397">
        <v>264</v>
      </c>
      <c r="M397">
        <v>85</v>
      </c>
      <c r="N397">
        <v>1.79</v>
      </c>
      <c r="O397">
        <f t="shared" si="12"/>
        <v>0</v>
      </c>
      <c r="P397">
        <f t="shared" si="13"/>
        <v>2</v>
      </c>
      <c r="Q397" s="2">
        <v>178</v>
      </c>
      <c r="R397" s="1">
        <v>45717</v>
      </c>
      <c r="S397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161.65000000000003</v>
      </c>
    </row>
    <row r="398" spans="1:19" x14ac:dyDescent="0.3">
      <c r="A398" t="s">
        <v>582</v>
      </c>
      <c r="B398" t="s">
        <v>37</v>
      </c>
      <c r="C398" t="s">
        <v>30</v>
      </c>
      <c r="D398">
        <v>40.77346</v>
      </c>
      <c r="E398">
        <v>-73.908770000000004</v>
      </c>
      <c r="F398" t="s">
        <v>21</v>
      </c>
      <c r="G398">
        <v>4</v>
      </c>
      <c r="H398">
        <v>1</v>
      </c>
      <c r="I398">
        <v>1</v>
      </c>
      <c r="J398">
        <v>2</v>
      </c>
      <c r="K398">
        <v>30</v>
      </c>
      <c r="L398">
        <v>290</v>
      </c>
      <c r="M398">
        <v>10</v>
      </c>
      <c r="N398">
        <v>0.22</v>
      </c>
      <c r="O398">
        <f t="shared" si="12"/>
        <v>0</v>
      </c>
      <c r="P398">
        <f t="shared" si="13"/>
        <v>0</v>
      </c>
      <c r="Q398" s="2">
        <v>135</v>
      </c>
      <c r="R398" s="1">
        <v>45718</v>
      </c>
      <c r="S398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130.15000000000003</v>
      </c>
    </row>
    <row r="399" spans="1:19" x14ac:dyDescent="0.3">
      <c r="A399" t="s">
        <v>583</v>
      </c>
      <c r="B399" t="s">
        <v>72</v>
      </c>
      <c r="C399" t="s">
        <v>20</v>
      </c>
      <c r="D399">
        <v>40.735329999999998</v>
      </c>
      <c r="E399">
        <v>-73.986660000000001</v>
      </c>
      <c r="F399" t="s">
        <v>21</v>
      </c>
      <c r="G399">
        <v>2</v>
      </c>
      <c r="H399">
        <v>1.5</v>
      </c>
      <c r="I399">
        <v>1</v>
      </c>
      <c r="J399">
        <v>1</v>
      </c>
      <c r="K399">
        <v>30</v>
      </c>
      <c r="L399">
        <v>115</v>
      </c>
      <c r="M399">
        <v>86</v>
      </c>
      <c r="N399">
        <v>1.76</v>
      </c>
      <c r="O399">
        <f t="shared" si="12"/>
        <v>0</v>
      </c>
      <c r="P399">
        <f t="shared" si="13"/>
        <v>4</v>
      </c>
      <c r="Q399" s="2">
        <v>365</v>
      </c>
      <c r="R399" s="1">
        <v>45717</v>
      </c>
      <c r="S399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165.72000000000003</v>
      </c>
    </row>
    <row r="400" spans="1:19" x14ac:dyDescent="0.3">
      <c r="A400" t="s">
        <v>406</v>
      </c>
      <c r="B400" t="s">
        <v>60</v>
      </c>
      <c r="C400" t="s">
        <v>17</v>
      </c>
      <c r="D400">
        <v>40.652509999999999</v>
      </c>
      <c r="E400">
        <v>-73.951139999999995</v>
      </c>
      <c r="F400" t="s">
        <v>21</v>
      </c>
      <c r="G400">
        <v>6</v>
      </c>
      <c r="H400">
        <v>1</v>
      </c>
      <c r="I400">
        <v>2</v>
      </c>
      <c r="J400">
        <v>3</v>
      </c>
      <c r="K400">
        <v>30</v>
      </c>
      <c r="L400">
        <v>86</v>
      </c>
      <c r="M400">
        <v>104</v>
      </c>
      <c r="N400">
        <v>2.21</v>
      </c>
      <c r="O400">
        <f t="shared" si="12"/>
        <v>0</v>
      </c>
      <c r="P400">
        <f t="shared" si="13"/>
        <v>2</v>
      </c>
      <c r="Q400" s="2">
        <v>249</v>
      </c>
      <c r="R400" s="1">
        <v>45724</v>
      </c>
      <c r="S400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206.73000000000005</v>
      </c>
    </row>
    <row r="401" spans="1:19" x14ac:dyDescent="0.3">
      <c r="A401" t="s">
        <v>584</v>
      </c>
      <c r="B401" t="s">
        <v>102</v>
      </c>
      <c r="C401" t="s">
        <v>91</v>
      </c>
      <c r="D401">
        <v>40.62988</v>
      </c>
      <c r="E401">
        <v>-74.086389999999994</v>
      </c>
      <c r="F401" t="s">
        <v>21</v>
      </c>
      <c r="G401">
        <v>3</v>
      </c>
      <c r="H401">
        <v>1</v>
      </c>
      <c r="I401">
        <v>1</v>
      </c>
      <c r="J401">
        <v>1</v>
      </c>
      <c r="K401">
        <v>30</v>
      </c>
      <c r="L401">
        <v>149</v>
      </c>
      <c r="M401">
        <v>87</v>
      </c>
      <c r="N401">
        <v>1.8</v>
      </c>
      <c r="O401">
        <f t="shared" si="12"/>
        <v>0</v>
      </c>
      <c r="P401">
        <f t="shared" si="13"/>
        <v>0</v>
      </c>
      <c r="Q401" s="2">
        <v>90</v>
      </c>
      <c r="R401" s="1">
        <v>45719</v>
      </c>
      <c r="S401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116.81000000000002</v>
      </c>
    </row>
    <row r="402" spans="1:19" x14ac:dyDescent="0.3">
      <c r="A402" t="s">
        <v>585</v>
      </c>
      <c r="B402" t="s">
        <v>19</v>
      </c>
      <c r="C402" t="s">
        <v>20</v>
      </c>
      <c r="D402">
        <v>40.763869999999997</v>
      </c>
      <c r="E402">
        <v>-73.983099999999993</v>
      </c>
      <c r="F402" t="s">
        <v>21</v>
      </c>
      <c r="G402">
        <v>3</v>
      </c>
      <c r="H402">
        <v>1</v>
      </c>
      <c r="I402">
        <v>1</v>
      </c>
      <c r="J402">
        <v>1</v>
      </c>
      <c r="K402">
        <v>30</v>
      </c>
      <c r="L402">
        <v>359</v>
      </c>
      <c r="M402">
        <v>3</v>
      </c>
      <c r="N402">
        <v>0.08</v>
      </c>
      <c r="O402">
        <f t="shared" si="12"/>
        <v>0</v>
      </c>
      <c r="P402">
        <f t="shared" si="13"/>
        <v>4</v>
      </c>
      <c r="Q402" s="2">
        <v>194</v>
      </c>
      <c r="R402" s="1">
        <v>45744</v>
      </c>
      <c r="S402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169.33</v>
      </c>
    </row>
    <row r="403" spans="1:19" x14ac:dyDescent="0.3">
      <c r="A403" t="s">
        <v>586</v>
      </c>
      <c r="B403" t="s">
        <v>29</v>
      </c>
      <c r="C403" t="s">
        <v>30</v>
      </c>
      <c r="D403">
        <v>40.711150000000004</v>
      </c>
      <c r="E403">
        <v>-73.916960000000003</v>
      </c>
      <c r="F403" t="s">
        <v>21</v>
      </c>
      <c r="G403">
        <v>4</v>
      </c>
      <c r="H403">
        <v>1</v>
      </c>
      <c r="I403">
        <v>1</v>
      </c>
      <c r="J403">
        <v>2</v>
      </c>
      <c r="K403">
        <v>30</v>
      </c>
      <c r="L403">
        <v>303</v>
      </c>
      <c r="M403">
        <v>11</v>
      </c>
      <c r="N403">
        <v>0.25</v>
      </c>
      <c r="O403">
        <f t="shared" si="12"/>
        <v>0</v>
      </c>
      <c r="P403">
        <f t="shared" si="13"/>
        <v>0</v>
      </c>
      <c r="Q403" s="2">
        <v>179</v>
      </c>
      <c r="R403" s="1">
        <v>45745</v>
      </c>
      <c r="S403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129.63000000000002</v>
      </c>
    </row>
    <row r="404" spans="1:19" x14ac:dyDescent="0.3">
      <c r="A404" t="s">
        <v>587</v>
      </c>
      <c r="B404" t="s">
        <v>26</v>
      </c>
      <c r="C404" t="s">
        <v>17</v>
      </c>
      <c r="D404">
        <v>40.687350100000003</v>
      </c>
      <c r="E404">
        <v>-73.975106799999907</v>
      </c>
      <c r="F404" t="s">
        <v>21</v>
      </c>
      <c r="G404">
        <v>2</v>
      </c>
      <c r="H404">
        <v>1</v>
      </c>
      <c r="I404">
        <v>0</v>
      </c>
      <c r="J404">
        <v>1</v>
      </c>
      <c r="K404">
        <v>30</v>
      </c>
      <c r="L404">
        <v>84</v>
      </c>
      <c r="M404">
        <v>94</v>
      </c>
      <c r="N404">
        <v>2.02</v>
      </c>
      <c r="O404">
        <f t="shared" si="12"/>
        <v>0</v>
      </c>
      <c r="P404">
        <f t="shared" si="13"/>
        <v>2</v>
      </c>
      <c r="Q404" s="2">
        <v>105</v>
      </c>
      <c r="R404" s="1">
        <v>45722</v>
      </c>
      <c r="S404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130.89000000000001</v>
      </c>
    </row>
    <row r="405" spans="1:19" x14ac:dyDescent="0.3">
      <c r="A405" t="s">
        <v>588</v>
      </c>
      <c r="B405" t="s">
        <v>28</v>
      </c>
      <c r="C405" t="s">
        <v>20</v>
      </c>
      <c r="D405">
        <v>40.824069999999999</v>
      </c>
      <c r="E405">
        <v>-73.946719999999999</v>
      </c>
      <c r="F405" t="s">
        <v>18</v>
      </c>
      <c r="G405">
        <v>1</v>
      </c>
      <c r="H405">
        <v>1.5</v>
      </c>
      <c r="I405">
        <v>1</v>
      </c>
      <c r="J405">
        <v>1</v>
      </c>
      <c r="K405">
        <v>30</v>
      </c>
      <c r="L405">
        <v>305</v>
      </c>
      <c r="M405">
        <v>14</v>
      </c>
      <c r="N405">
        <v>0.3</v>
      </c>
      <c r="O405">
        <f t="shared" si="12"/>
        <v>1</v>
      </c>
      <c r="P405">
        <f t="shared" si="13"/>
        <v>4</v>
      </c>
      <c r="Q405" s="2">
        <v>57</v>
      </c>
      <c r="R405" s="1">
        <v>45747</v>
      </c>
      <c r="S405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95.840000000000018</v>
      </c>
    </row>
    <row r="406" spans="1:19" x14ac:dyDescent="0.3">
      <c r="A406" t="s">
        <v>589</v>
      </c>
      <c r="B406" t="s">
        <v>68</v>
      </c>
      <c r="C406" t="s">
        <v>20</v>
      </c>
      <c r="D406">
        <v>40.83699</v>
      </c>
      <c r="E406">
        <v>-73.944100000000006</v>
      </c>
      <c r="F406" t="s">
        <v>18</v>
      </c>
      <c r="G406">
        <v>2</v>
      </c>
      <c r="H406">
        <v>1</v>
      </c>
      <c r="I406">
        <v>1</v>
      </c>
      <c r="J406">
        <v>1</v>
      </c>
      <c r="K406">
        <v>30</v>
      </c>
      <c r="L406">
        <v>159</v>
      </c>
      <c r="M406">
        <v>24</v>
      </c>
      <c r="N406">
        <v>0.84</v>
      </c>
      <c r="O406">
        <f t="shared" si="12"/>
        <v>1</v>
      </c>
      <c r="P406">
        <f t="shared" si="13"/>
        <v>4</v>
      </c>
      <c r="Q406" s="2">
        <v>51</v>
      </c>
      <c r="R406" s="1">
        <v>45747</v>
      </c>
      <c r="S406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115.05000000000003</v>
      </c>
    </row>
    <row r="407" spans="1:19" x14ac:dyDescent="0.3">
      <c r="A407" t="s">
        <v>590</v>
      </c>
      <c r="B407" t="s">
        <v>32</v>
      </c>
      <c r="C407" t="s">
        <v>20</v>
      </c>
      <c r="D407">
        <v>40.814278000000002</v>
      </c>
      <c r="E407">
        <v>-73.960257999999996</v>
      </c>
      <c r="F407" t="s">
        <v>21</v>
      </c>
      <c r="G407">
        <v>8</v>
      </c>
      <c r="H407">
        <v>2</v>
      </c>
      <c r="I407">
        <v>4</v>
      </c>
      <c r="J407">
        <v>4</v>
      </c>
      <c r="K407">
        <v>30</v>
      </c>
      <c r="L407">
        <v>365</v>
      </c>
      <c r="M407">
        <v>4</v>
      </c>
      <c r="N407">
        <v>0.09</v>
      </c>
      <c r="O407">
        <f t="shared" si="12"/>
        <v>0</v>
      </c>
      <c r="P407">
        <f t="shared" si="13"/>
        <v>4</v>
      </c>
      <c r="Q407" s="2">
        <v>245</v>
      </c>
      <c r="R407" s="1">
        <v>45718</v>
      </c>
      <c r="S407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275.21000000000004</v>
      </c>
    </row>
    <row r="408" spans="1:19" x14ac:dyDescent="0.3">
      <c r="A408" t="s">
        <v>591</v>
      </c>
      <c r="B408" t="s">
        <v>67</v>
      </c>
      <c r="C408" t="s">
        <v>17</v>
      </c>
      <c r="D408">
        <v>40.704120000000003</v>
      </c>
      <c r="E408">
        <v>-73.925309999999996</v>
      </c>
      <c r="F408" t="s">
        <v>18</v>
      </c>
      <c r="G408">
        <v>2</v>
      </c>
      <c r="H408">
        <v>1</v>
      </c>
      <c r="I408">
        <v>1</v>
      </c>
      <c r="J408">
        <v>1</v>
      </c>
      <c r="K408">
        <v>30</v>
      </c>
      <c r="L408">
        <v>156</v>
      </c>
      <c r="M408">
        <v>41</v>
      </c>
      <c r="N408">
        <v>0.92</v>
      </c>
      <c r="O408">
        <f t="shared" si="12"/>
        <v>1</v>
      </c>
      <c r="P408">
        <f t="shared" si="13"/>
        <v>2</v>
      </c>
      <c r="Q408" s="2">
        <v>80</v>
      </c>
      <c r="R408" s="1">
        <v>45729</v>
      </c>
      <c r="S408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84.710000000000036</v>
      </c>
    </row>
    <row r="409" spans="1:19" x14ac:dyDescent="0.3">
      <c r="A409" t="s">
        <v>592</v>
      </c>
      <c r="B409" t="s">
        <v>95</v>
      </c>
      <c r="C409" t="s">
        <v>20</v>
      </c>
      <c r="D409" s="3" t="s">
        <v>593</v>
      </c>
      <c r="E409">
        <v>-73.974967956542898</v>
      </c>
      <c r="F409" t="s">
        <v>21</v>
      </c>
      <c r="G409">
        <v>2</v>
      </c>
      <c r="H409">
        <v>1</v>
      </c>
      <c r="I409">
        <v>0</v>
      </c>
      <c r="J409">
        <v>1</v>
      </c>
      <c r="K409">
        <v>30</v>
      </c>
      <c r="L409">
        <v>274</v>
      </c>
      <c r="M409">
        <v>7</v>
      </c>
      <c r="N409">
        <v>0.15</v>
      </c>
      <c r="O409">
        <f t="shared" si="12"/>
        <v>0</v>
      </c>
      <c r="P409">
        <f t="shared" si="13"/>
        <v>4</v>
      </c>
      <c r="Q409" s="2">
        <v>132</v>
      </c>
      <c r="R409" s="1">
        <v>45747</v>
      </c>
      <c r="S409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153.75</v>
      </c>
    </row>
    <row r="410" spans="1:19" x14ac:dyDescent="0.3">
      <c r="A410" t="s">
        <v>595</v>
      </c>
      <c r="B410" t="s">
        <v>19</v>
      </c>
      <c r="C410" t="s">
        <v>20</v>
      </c>
      <c r="D410" s="3" t="s">
        <v>594</v>
      </c>
      <c r="E410">
        <v>-73.968910217285099</v>
      </c>
      <c r="F410" t="s">
        <v>21</v>
      </c>
      <c r="G410">
        <v>2</v>
      </c>
      <c r="H410">
        <v>1</v>
      </c>
      <c r="I410">
        <v>0</v>
      </c>
      <c r="J410">
        <v>1</v>
      </c>
      <c r="K410">
        <v>30</v>
      </c>
      <c r="L410">
        <v>327</v>
      </c>
      <c r="M410">
        <v>7</v>
      </c>
      <c r="N410">
        <v>0.25</v>
      </c>
      <c r="O410">
        <f t="shared" si="12"/>
        <v>0</v>
      </c>
      <c r="P410">
        <f t="shared" si="13"/>
        <v>4</v>
      </c>
      <c r="Q410" s="2">
        <v>132</v>
      </c>
      <c r="R410" s="1">
        <v>45747</v>
      </c>
      <c r="S410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151.63000000000002</v>
      </c>
    </row>
    <row r="411" spans="1:19" x14ac:dyDescent="0.3">
      <c r="A411" t="s">
        <v>596</v>
      </c>
      <c r="B411" t="s">
        <v>80</v>
      </c>
      <c r="C411" t="s">
        <v>30</v>
      </c>
      <c r="D411">
        <v>40.734079999999999</v>
      </c>
      <c r="E411">
        <v>-73.857330000000005</v>
      </c>
      <c r="F411" t="s">
        <v>18</v>
      </c>
      <c r="G411">
        <v>1</v>
      </c>
      <c r="H411">
        <v>1</v>
      </c>
      <c r="I411">
        <v>1</v>
      </c>
      <c r="J411">
        <v>1</v>
      </c>
      <c r="K411">
        <v>30</v>
      </c>
      <c r="L411">
        <v>90</v>
      </c>
      <c r="M411">
        <v>24</v>
      </c>
      <c r="N411">
        <v>0.52</v>
      </c>
      <c r="O411">
        <f t="shared" si="12"/>
        <v>1</v>
      </c>
      <c r="P411">
        <f t="shared" si="13"/>
        <v>0</v>
      </c>
      <c r="Q411" s="2">
        <v>79</v>
      </c>
      <c r="R411" s="1">
        <v>45737</v>
      </c>
      <c r="S411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37.910000000000011</v>
      </c>
    </row>
    <row r="412" spans="1:19" x14ac:dyDescent="0.3">
      <c r="A412" t="s">
        <v>597</v>
      </c>
      <c r="B412" t="s">
        <v>84</v>
      </c>
      <c r="C412" t="s">
        <v>17</v>
      </c>
      <c r="D412">
        <v>40.660040000000002</v>
      </c>
      <c r="E412">
        <v>-73.958340000000007</v>
      </c>
      <c r="F412" t="s">
        <v>18</v>
      </c>
      <c r="G412">
        <v>2</v>
      </c>
      <c r="H412">
        <v>1</v>
      </c>
      <c r="I412">
        <v>1</v>
      </c>
      <c r="J412">
        <v>2</v>
      </c>
      <c r="K412">
        <v>4</v>
      </c>
      <c r="L412">
        <v>190</v>
      </c>
      <c r="M412">
        <v>127</v>
      </c>
      <c r="N412">
        <v>2.7</v>
      </c>
      <c r="O412">
        <f t="shared" si="12"/>
        <v>1</v>
      </c>
      <c r="P412">
        <f t="shared" si="13"/>
        <v>2</v>
      </c>
      <c r="Q412" s="2">
        <v>143</v>
      </c>
      <c r="R412" s="1">
        <v>45744</v>
      </c>
      <c r="S412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170.45000000000002</v>
      </c>
    </row>
    <row r="413" spans="1:19" x14ac:dyDescent="0.3">
      <c r="A413" t="s">
        <v>598</v>
      </c>
      <c r="B413" t="s">
        <v>23</v>
      </c>
      <c r="C413" t="s">
        <v>17</v>
      </c>
      <c r="D413">
        <v>40.718589999999999</v>
      </c>
      <c r="E413">
        <v>-73.950890000000001</v>
      </c>
      <c r="F413" t="s">
        <v>18</v>
      </c>
      <c r="G413">
        <v>1</v>
      </c>
      <c r="H413">
        <v>1</v>
      </c>
      <c r="I413">
        <v>1</v>
      </c>
      <c r="J413">
        <v>1</v>
      </c>
      <c r="K413">
        <v>30</v>
      </c>
      <c r="L413">
        <v>257</v>
      </c>
      <c r="M413">
        <v>5</v>
      </c>
      <c r="N413">
        <v>0.11</v>
      </c>
      <c r="O413">
        <f t="shared" si="12"/>
        <v>1</v>
      </c>
      <c r="P413">
        <f t="shared" si="13"/>
        <v>2</v>
      </c>
      <c r="Q413" s="2">
        <v>76</v>
      </c>
      <c r="R413" s="1">
        <v>45746</v>
      </c>
      <c r="S413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61.690000000000005</v>
      </c>
    </row>
    <row r="414" spans="1:19" x14ac:dyDescent="0.3">
      <c r="A414" t="s">
        <v>599</v>
      </c>
      <c r="B414" t="s">
        <v>51</v>
      </c>
      <c r="C414" t="s">
        <v>17</v>
      </c>
      <c r="D414">
        <v>40.679139999999997</v>
      </c>
      <c r="E414">
        <v>-73.998890000000003</v>
      </c>
      <c r="F414" t="s">
        <v>21</v>
      </c>
      <c r="G414">
        <v>3</v>
      </c>
      <c r="H414">
        <v>1</v>
      </c>
      <c r="I414">
        <v>1</v>
      </c>
      <c r="J414">
        <v>1</v>
      </c>
      <c r="K414">
        <v>30</v>
      </c>
      <c r="L414">
        <v>58</v>
      </c>
      <c r="M414">
        <v>23</v>
      </c>
      <c r="N414">
        <v>0.51</v>
      </c>
      <c r="O414">
        <f t="shared" si="12"/>
        <v>0</v>
      </c>
      <c r="P414">
        <f t="shared" si="13"/>
        <v>2</v>
      </c>
      <c r="Q414" s="2">
        <v>185</v>
      </c>
      <c r="R414" s="1">
        <v>45724</v>
      </c>
      <c r="S414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150.91000000000003</v>
      </c>
    </row>
    <row r="415" spans="1:19" x14ac:dyDescent="0.3">
      <c r="A415" t="s">
        <v>600</v>
      </c>
      <c r="B415" t="s">
        <v>38</v>
      </c>
      <c r="C415" t="s">
        <v>20</v>
      </c>
      <c r="D415">
        <v>40.754739999999998</v>
      </c>
      <c r="E415">
        <v>-73.99436</v>
      </c>
      <c r="F415" t="s">
        <v>18</v>
      </c>
      <c r="G415">
        <v>4</v>
      </c>
      <c r="H415">
        <v>1</v>
      </c>
      <c r="I415">
        <v>0</v>
      </c>
      <c r="J415">
        <v>2</v>
      </c>
      <c r="K415">
        <v>1</v>
      </c>
      <c r="L415">
        <v>39</v>
      </c>
      <c r="M415">
        <v>43</v>
      </c>
      <c r="N415">
        <v>0.91</v>
      </c>
      <c r="O415">
        <f t="shared" si="12"/>
        <v>1</v>
      </c>
      <c r="P415">
        <f t="shared" si="13"/>
        <v>4</v>
      </c>
      <c r="Q415" s="2">
        <v>332</v>
      </c>
      <c r="R415" s="1">
        <v>45736</v>
      </c>
      <c r="S415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254.96000000000004</v>
      </c>
    </row>
    <row r="416" spans="1:19" x14ac:dyDescent="0.3">
      <c r="A416" t="s">
        <v>601</v>
      </c>
      <c r="B416" t="s">
        <v>36</v>
      </c>
      <c r="C416" t="s">
        <v>20</v>
      </c>
      <c r="D416" s="3" t="s">
        <v>602</v>
      </c>
      <c r="E416">
        <v>-73.949295043945298</v>
      </c>
      <c r="F416" t="s">
        <v>21</v>
      </c>
      <c r="G416">
        <v>2</v>
      </c>
      <c r="H416">
        <v>1</v>
      </c>
      <c r="I416">
        <v>1</v>
      </c>
      <c r="J416">
        <v>1</v>
      </c>
      <c r="K416">
        <v>30</v>
      </c>
      <c r="L416">
        <v>320</v>
      </c>
      <c r="M416">
        <v>11</v>
      </c>
      <c r="N416">
        <v>0.27</v>
      </c>
      <c r="O416">
        <f t="shared" si="12"/>
        <v>0</v>
      </c>
      <c r="P416">
        <f t="shared" si="13"/>
        <v>4</v>
      </c>
      <c r="Q416" s="2">
        <v>106</v>
      </c>
      <c r="R416" s="1">
        <v>45730</v>
      </c>
      <c r="S416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151.91000000000003</v>
      </c>
    </row>
    <row r="417" spans="1:19" x14ac:dyDescent="0.3">
      <c r="A417" t="s">
        <v>603</v>
      </c>
      <c r="B417" t="s">
        <v>42</v>
      </c>
      <c r="C417" t="s">
        <v>17</v>
      </c>
      <c r="D417">
        <v>40.734090000000002</v>
      </c>
      <c r="E417">
        <v>-73.957909999999998</v>
      </c>
      <c r="F417" t="s">
        <v>21</v>
      </c>
      <c r="G417">
        <v>2</v>
      </c>
      <c r="H417">
        <v>1</v>
      </c>
      <c r="I417">
        <v>1</v>
      </c>
      <c r="J417">
        <v>1</v>
      </c>
      <c r="K417">
        <v>30</v>
      </c>
      <c r="L417">
        <v>166</v>
      </c>
      <c r="M417">
        <v>11</v>
      </c>
      <c r="N417">
        <v>0.24</v>
      </c>
      <c r="O417">
        <f t="shared" si="12"/>
        <v>0</v>
      </c>
      <c r="P417">
        <f t="shared" si="13"/>
        <v>2</v>
      </c>
      <c r="Q417" s="2">
        <v>198</v>
      </c>
      <c r="R417" s="1">
        <v>45719</v>
      </c>
      <c r="S417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127.61000000000001</v>
      </c>
    </row>
    <row r="418" spans="1:19" x14ac:dyDescent="0.3">
      <c r="A418" t="s">
        <v>604</v>
      </c>
      <c r="B418" t="s">
        <v>84</v>
      </c>
      <c r="C418" t="s">
        <v>17</v>
      </c>
      <c r="D418">
        <v>40.656869999999998</v>
      </c>
      <c r="E418">
        <v>-73.95626</v>
      </c>
      <c r="F418" t="s">
        <v>18</v>
      </c>
      <c r="G418">
        <v>1</v>
      </c>
      <c r="H418">
        <v>1</v>
      </c>
      <c r="I418">
        <v>1</v>
      </c>
      <c r="J418">
        <v>1</v>
      </c>
      <c r="K418">
        <v>30</v>
      </c>
      <c r="L418">
        <v>58</v>
      </c>
      <c r="M418">
        <v>56</v>
      </c>
      <c r="N418">
        <v>1.23</v>
      </c>
      <c r="O418">
        <f t="shared" si="12"/>
        <v>1</v>
      </c>
      <c r="P418">
        <f t="shared" si="13"/>
        <v>2</v>
      </c>
      <c r="Q418" s="2">
        <v>81</v>
      </c>
      <c r="R418" s="1">
        <v>45725</v>
      </c>
      <c r="S418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69.650000000000006</v>
      </c>
    </row>
    <row r="419" spans="1:19" x14ac:dyDescent="0.3">
      <c r="A419" t="s">
        <v>605</v>
      </c>
      <c r="B419" t="s">
        <v>27</v>
      </c>
      <c r="C419" t="s">
        <v>17</v>
      </c>
      <c r="D419">
        <v>40.687559999999998</v>
      </c>
      <c r="E419">
        <v>-73.923379999999995</v>
      </c>
      <c r="F419" t="s">
        <v>18</v>
      </c>
      <c r="G419">
        <v>2</v>
      </c>
      <c r="H419">
        <v>1</v>
      </c>
      <c r="I419">
        <v>1</v>
      </c>
      <c r="J419">
        <v>1</v>
      </c>
      <c r="K419">
        <v>2</v>
      </c>
      <c r="L419">
        <v>158</v>
      </c>
      <c r="M419">
        <v>118</v>
      </c>
      <c r="N419">
        <v>2.5299999999999998</v>
      </c>
      <c r="O419">
        <f t="shared" si="12"/>
        <v>1</v>
      </c>
      <c r="P419">
        <f t="shared" si="13"/>
        <v>2</v>
      </c>
      <c r="Q419" s="2">
        <v>87</v>
      </c>
      <c r="R419" s="1">
        <v>45730</v>
      </c>
      <c r="S419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178.43000000000004</v>
      </c>
    </row>
    <row r="420" spans="1:19" x14ac:dyDescent="0.3">
      <c r="A420" t="s">
        <v>606</v>
      </c>
      <c r="B420" t="s">
        <v>60</v>
      </c>
      <c r="C420" t="s">
        <v>17</v>
      </c>
      <c r="D420">
        <v>40.65222</v>
      </c>
      <c r="E420">
        <v>-73.946420000000003</v>
      </c>
      <c r="F420" t="s">
        <v>18</v>
      </c>
      <c r="G420">
        <v>2</v>
      </c>
      <c r="H420">
        <v>1</v>
      </c>
      <c r="I420">
        <v>2</v>
      </c>
      <c r="J420">
        <v>3</v>
      </c>
      <c r="K420">
        <v>3</v>
      </c>
      <c r="L420">
        <v>318</v>
      </c>
      <c r="M420">
        <v>116</v>
      </c>
      <c r="N420">
        <v>2.66</v>
      </c>
      <c r="O420">
        <f t="shared" si="12"/>
        <v>1</v>
      </c>
      <c r="P420">
        <f t="shared" si="13"/>
        <v>2</v>
      </c>
      <c r="Q420" s="2">
        <v>146</v>
      </c>
      <c r="R420" s="1">
        <v>45739</v>
      </c>
      <c r="S420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168.68000000000004</v>
      </c>
    </row>
    <row r="421" spans="1:19" x14ac:dyDescent="0.3">
      <c r="A421" t="s">
        <v>607</v>
      </c>
      <c r="B421" t="s">
        <v>57</v>
      </c>
      <c r="C421" t="s">
        <v>20</v>
      </c>
      <c r="D421">
        <v>40.722999999999999</v>
      </c>
      <c r="E421">
        <v>-73.993579999999994</v>
      </c>
      <c r="F421" t="s">
        <v>21</v>
      </c>
      <c r="G421">
        <v>2</v>
      </c>
      <c r="H421">
        <v>1</v>
      </c>
      <c r="I421">
        <v>1</v>
      </c>
      <c r="J421">
        <v>1</v>
      </c>
      <c r="K421">
        <v>1</v>
      </c>
      <c r="L421">
        <v>262</v>
      </c>
      <c r="M421">
        <v>135</v>
      </c>
      <c r="N421">
        <v>2.94</v>
      </c>
      <c r="O421">
        <f t="shared" si="12"/>
        <v>0</v>
      </c>
      <c r="P421">
        <f t="shared" si="13"/>
        <v>4</v>
      </c>
      <c r="Q421" s="2">
        <v>417</v>
      </c>
      <c r="R421" s="1">
        <v>45739</v>
      </c>
      <c r="S421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251.38000000000005</v>
      </c>
    </row>
    <row r="422" spans="1:19" x14ac:dyDescent="0.3">
      <c r="A422" t="s">
        <v>608</v>
      </c>
      <c r="B422" t="s">
        <v>28</v>
      </c>
      <c r="C422" t="s">
        <v>20</v>
      </c>
      <c r="D422">
        <v>40.824170000000002</v>
      </c>
      <c r="E422">
        <v>-73.947860000000006</v>
      </c>
      <c r="F422" t="s">
        <v>18</v>
      </c>
      <c r="G422">
        <v>2</v>
      </c>
      <c r="H422">
        <v>1</v>
      </c>
      <c r="I422">
        <v>1</v>
      </c>
      <c r="J422">
        <v>1</v>
      </c>
      <c r="K422">
        <v>30</v>
      </c>
      <c r="L422">
        <v>107</v>
      </c>
      <c r="M422">
        <v>46</v>
      </c>
      <c r="N422">
        <v>1.01</v>
      </c>
      <c r="O422">
        <f t="shared" si="12"/>
        <v>1</v>
      </c>
      <c r="P422">
        <f t="shared" si="13"/>
        <v>4</v>
      </c>
      <c r="Q422" s="2">
        <v>97</v>
      </c>
      <c r="R422" s="1">
        <v>45719</v>
      </c>
      <c r="S422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117.13000000000002</v>
      </c>
    </row>
    <row r="423" spans="1:19" x14ac:dyDescent="0.3">
      <c r="A423" t="s">
        <v>609</v>
      </c>
      <c r="B423" t="s">
        <v>43</v>
      </c>
      <c r="C423" t="s">
        <v>20</v>
      </c>
      <c r="D423">
        <v>40.720930000000003</v>
      </c>
      <c r="E423">
        <v>-73.990939999999995</v>
      </c>
      <c r="F423" t="s">
        <v>21</v>
      </c>
      <c r="G423">
        <v>2</v>
      </c>
      <c r="H423">
        <v>1</v>
      </c>
      <c r="I423">
        <v>1</v>
      </c>
      <c r="J423">
        <v>1</v>
      </c>
      <c r="K423">
        <v>30</v>
      </c>
      <c r="L423">
        <v>250</v>
      </c>
      <c r="M423">
        <v>15</v>
      </c>
      <c r="N423">
        <v>0.33</v>
      </c>
      <c r="O423">
        <f t="shared" si="12"/>
        <v>0</v>
      </c>
      <c r="P423">
        <f t="shared" si="13"/>
        <v>4</v>
      </c>
      <c r="Q423" s="2">
        <v>133</v>
      </c>
      <c r="R423" s="1">
        <v>45731</v>
      </c>
      <c r="S423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154.71000000000004</v>
      </c>
    </row>
    <row r="424" spans="1:19" x14ac:dyDescent="0.3">
      <c r="A424" t="s">
        <v>610</v>
      </c>
      <c r="B424" t="s">
        <v>45</v>
      </c>
      <c r="C424" t="s">
        <v>20</v>
      </c>
      <c r="D424">
        <v>40.749870000000001</v>
      </c>
      <c r="E424">
        <v>-73.997159999999994</v>
      </c>
      <c r="F424" t="s">
        <v>21</v>
      </c>
      <c r="G424">
        <v>2</v>
      </c>
      <c r="H424">
        <v>1</v>
      </c>
      <c r="I424">
        <v>1</v>
      </c>
      <c r="J424">
        <v>2</v>
      </c>
      <c r="K424">
        <v>1</v>
      </c>
      <c r="L424">
        <v>64</v>
      </c>
      <c r="M424">
        <v>158</v>
      </c>
      <c r="N424">
        <v>3.44</v>
      </c>
      <c r="O424">
        <f t="shared" si="12"/>
        <v>0</v>
      </c>
      <c r="P424">
        <f t="shared" si="13"/>
        <v>4</v>
      </c>
      <c r="Q424" s="2">
        <v>125</v>
      </c>
      <c r="R424" s="1">
        <v>45744</v>
      </c>
      <c r="S424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259.3</v>
      </c>
    </row>
    <row r="425" spans="1:19" x14ac:dyDescent="0.3">
      <c r="A425" t="s">
        <v>611</v>
      </c>
      <c r="B425" t="s">
        <v>28</v>
      </c>
      <c r="C425" t="s">
        <v>20</v>
      </c>
      <c r="D425">
        <v>40.807879999999997</v>
      </c>
      <c r="E425">
        <v>-73.951480000000004</v>
      </c>
      <c r="F425" t="s">
        <v>21</v>
      </c>
      <c r="G425">
        <v>2</v>
      </c>
      <c r="H425">
        <v>1</v>
      </c>
      <c r="I425">
        <v>1</v>
      </c>
      <c r="J425">
        <v>1</v>
      </c>
      <c r="K425">
        <v>4</v>
      </c>
      <c r="L425">
        <v>33</v>
      </c>
      <c r="M425">
        <v>24</v>
      </c>
      <c r="N425">
        <v>0.69</v>
      </c>
      <c r="O425">
        <f t="shared" si="12"/>
        <v>0</v>
      </c>
      <c r="P425">
        <f t="shared" si="13"/>
        <v>4</v>
      </c>
      <c r="Q425" s="2">
        <v>179</v>
      </c>
      <c r="R425" s="1">
        <v>45744</v>
      </c>
      <c r="S425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250.49</v>
      </c>
    </row>
    <row r="426" spans="1:19" x14ac:dyDescent="0.3">
      <c r="A426" t="s">
        <v>612</v>
      </c>
      <c r="B426" t="s">
        <v>28</v>
      </c>
      <c r="C426" t="s">
        <v>20</v>
      </c>
      <c r="D426">
        <v>40.807540000000003</v>
      </c>
      <c r="E426">
        <v>-73.951099999999997</v>
      </c>
      <c r="F426" t="s">
        <v>18</v>
      </c>
      <c r="G426">
        <v>2</v>
      </c>
      <c r="H426">
        <v>1</v>
      </c>
      <c r="I426">
        <v>1</v>
      </c>
      <c r="J426">
        <v>1</v>
      </c>
      <c r="K426">
        <v>3</v>
      </c>
      <c r="L426">
        <v>33</v>
      </c>
      <c r="M426">
        <v>23</v>
      </c>
      <c r="N426">
        <v>0.5</v>
      </c>
      <c r="O426">
        <f t="shared" si="12"/>
        <v>1</v>
      </c>
      <c r="P426">
        <f t="shared" si="13"/>
        <v>4</v>
      </c>
      <c r="Q426" s="2">
        <v>118</v>
      </c>
      <c r="R426" s="1">
        <v>45718</v>
      </c>
      <c r="S426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210.54000000000002</v>
      </c>
    </row>
    <row r="427" spans="1:19" x14ac:dyDescent="0.3">
      <c r="A427" t="s">
        <v>613</v>
      </c>
      <c r="B427" t="s">
        <v>71</v>
      </c>
      <c r="C427" t="s">
        <v>31</v>
      </c>
      <c r="D427">
        <v>40.882040000000003</v>
      </c>
      <c r="E427">
        <v>-73.904790000000006</v>
      </c>
      <c r="F427" t="s">
        <v>21</v>
      </c>
      <c r="G427">
        <v>4</v>
      </c>
      <c r="H427">
        <v>1</v>
      </c>
      <c r="I427">
        <v>1</v>
      </c>
      <c r="J427">
        <v>5</v>
      </c>
      <c r="K427">
        <v>30</v>
      </c>
      <c r="L427">
        <v>164</v>
      </c>
      <c r="M427">
        <v>50</v>
      </c>
      <c r="N427">
        <v>1.1200000000000001</v>
      </c>
      <c r="O427">
        <f t="shared" si="12"/>
        <v>0</v>
      </c>
      <c r="P427">
        <f t="shared" si="13"/>
        <v>0</v>
      </c>
      <c r="Q427" s="2">
        <v>81</v>
      </c>
      <c r="R427" s="1">
        <v>45730</v>
      </c>
      <c r="S427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135.19000000000003</v>
      </c>
    </row>
    <row r="428" spans="1:19" x14ac:dyDescent="0.3">
      <c r="A428" t="s">
        <v>614</v>
      </c>
      <c r="B428" t="s">
        <v>62</v>
      </c>
      <c r="C428" t="s">
        <v>20</v>
      </c>
      <c r="D428">
        <v>40.71575</v>
      </c>
      <c r="E428">
        <v>-73.990650000000002</v>
      </c>
      <c r="F428" t="s">
        <v>21</v>
      </c>
      <c r="G428">
        <v>4</v>
      </c>
      <c r="H428">
        <v>1</v>
      </c>
      <c r="I428">
        <v>1</v>
      </c>
      <c r="J428">
        <v>1</v>
      </c>
      <c r="K428">
        <v>30</v>
      </c>
      <c r="L428">
        <v>218</v>
      </c>
      <c r="M428">
        <v>157</v>
      </c>
      <c r="N428">
        <v>3.45</v>
      </c>
      <c r="O428">
        <f t="shared" si="12"/>
        <v>0</v>
      </c>
      <c r="P428">
        <f t="shared" si="13"/>
        <v>4</v>
      </c>
      <c r="Q428" s="2">
        <v>161</v>
      </c>
      <c r="R428" s="1">
        <v>45744</v>
      </c>
      <c r="S428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193.95000000000005</v>
      </c>
    </row>
    <row r="429" spans="1:19" x14ac:dyDescent="0.3">
      <c r="A429" t="s">
        <v>615</v>
      </c>
      <c r="B429" t="s">
        <v>36</v>
      </c>
      <c r="C429" t="s">
        <v>20</v>
      </c>
      <c r="D429">
        <v>40.771984100341797</v>
      </c>
      <c r="E429">
        <v>-73.954513549804602</v>
      </c>
      <c r="F429" t="s">
        <v>21</v>
      </c>
      <c r="G429">
        <v>2</v>
      </c>
      <c r="H429">
        <v>1</v>
      </c>
      <c r="I429">
        <v>1</v>
      </c>
      <c r="J429">
        <v>1</v>
      </c>
      <c r="K429">
        <v>30</v>
      </c>
      <c r="L429">
        <v>336</v>
      </c>
      <c r="M429">
        <v>10</v>
      </c>
      <c r="N429">
        <v>0.22</v>
      </c>
      <c r="O429">
        <f t="shared" si="12"/>
        <v>0</v>
      </c>
      <c r="P429">
        <f t="shared" si="13"/>
        <v>4</v>
      </c>
      <c r="Q429" s="2">
        <v>118</v>
      </c>
      <c r="R429" s="1">
        <v>45747</v>
      </c>
      <c r="S429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151.27000000000004</v>
      </c>
    </row>
    <row r="430" spans="1:19" x14ac:dyDescent="0.3">
      <c r="A430" t="s">
        <v>616</v>
      </c>
      <c r="B430" t="s">
        <v>57</v>
      </c>
      <c r="C430" t="s">
        <v>20</v>
      </c>
      <c r="D430">
        <v>40.720109999999998</v>
      </c>
      <c r="E430">
        <v>-73.994399999999999</v>
      </c>
      <c r="F430" t="s">
        <v>21</v>
      </c>
      <c r="G430">
        <v>2</v>
      </c>
      <c r="H430">
        <v>1</v>
      </c>
      <c r="I430">
        <v>0</v>
      </c>
      <c r="J430">
        <v>1</v>
      </c>
      <c r="K430">
        <v>30</v>
      </c>
      <c r="L430">
        <v>303</v>
      </c>
      <c r="M430">
        <v>7</v>
      </c>
      <c r="N430">
        <v>0.17</v>
      </c>
      <c r="O430">
        <f t="shared" si="12"/>
        <v>0</v>
      </c>
      <c r="P430">
        <f t="shared" si="13"/>
        <v>4</v>
      </c>
      <c r="Q430" s="2">
        <v>183</v>
      </c>
      <c r="R430" s="1">
        <v>45724</v>
      </c>
      <c r="S430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152.59000000000003</v>
      </c>
    </row>
    <row r="431" spans="1:19" x14ac:dyDescent="0.3">
      <c r="A431" t="s">
        <v>617</v>
      </c>
      <c r="B431" t="s">
        <v>122</v>
      </c>
      <c r="C431" t="s">
        <v>17</v>
      </c>
      <c r="D431">
        <v>40.636769999999999</v>
      </c>
      <c r="E431">
        <v>-74.023790000000005</v>
      </c>
      <c r="F431" t="s">
        <v>18</v>
      </c>
      <c r="G431">
        <v>2</v>
      </c>
      <c r="H431">
        <v>1</v>
      </c>
      <c r="I431">
        <v>1</v>
      </c>
      <c r="J431">
        <v>1</v>
      </c>
      <c r="K431">
        <v>30</v>
      </c>
      <c r="L431">
        <v>365</v>
      </c>
      <c r="M431">
        <v>11</v>
      </c>
      <c r="N431">
        <v>0.25</v>
      </c>
      <c r="O431">
        <f t="shared" si="12"/>
        <v>1</v>
      </c>
      <c r="P431">
        <f t="shared" si="13"/>
        <v>2</v>
      </c>
      <c r="Q431" s="2">
        <v>65</v>
      </c>
      <c r="R431" s="1">
        <v>45733</v>
      </c>
      <c r="S431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76.350000000000023</v>
      </c>
    </row>
    <row r="432" spans="1:19" x14ac:dyDescent="0.3">
      <c r="A432" t="s">
        <v>618</v>
      </c>
      <c r="B432" t="s">
        <v>38</v>
      </c>
      <c r="C432" t="s">
        <v>20</v>
      </c>
      <c r="D432">
        <v>40.765300000000003</v>
      </c>
      <c r="E432">
        <v>-73.988529999999997</v>
      </c>
      <c r="F432" t="s">
        <v>21</v>
      </c>
      <c r="G432">
        <v>4</v>
      </c>
      <c r="H432">
        <v>1</v>
      </c>
      <c r="I432">
        <v>2</v>
      </c>
      <c r="J432">
        <v>2</v>
      </c>
      <c r="K432">
        <v>30</v>
      </c>
      <c r="L432">
        <v>265</v>
      </c>
      <c r="M432">
        <v>6</v>
      </c>
      <c r="N432">
        <v>0.22</v>
      </c>
      <c r="O432">
        <f t="shared" si="12"/>
        <v>0</v>
      </c>
      <c r="P432">
        <f t="shared" si="13"/>
        <v>4</v>
      </c>
      <c r="Q432" s="2">
        <v>200</v>
      </c>
      <c r="R432" s="1">
        <v>45732</v>
      </c>
      <c r="S432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192.07000000000005</v>
      </c>
    </row>
    <row r="433" spans="1:19" x14ac:dyDescent="0.3">
      <c r="A433" t="s">
        <v>619</v>
      </c>
      <c r="B433" t="s">
        <v>56</v>
      </c>
      <c r="C433" t="s">
        <v>17</v>
      </c>
      <c r="D433">
        <v>40.671619999999997</v>
      </c>
      <c r="E433">
        <v>-73.945279999999997</v>
      </c>
      <c r="F433" t="s">
        <v>21</v>
      </c>
      <c r="G433">
        <v>2</v>
      </c>
      <c r="H433">
        <v>1</v>
      </c>
      <c r="I433">
        <v>2</v>
      </c>
      <c r="J433">
        <v>1</v>
      </c>
      <c r="K433">
        <v>30</v>
      </c>
      <c r="L433">
        <v>293</v>
      </c>
      <c r="M433">
        <v>84</v>
      </c>
      <c r="N433">
        <v>1.86</v>
      </c>
      <c r="O433">
        <f t="shared" si="12"/>
        <v>0</v>
      </c>
      <c r="P433">
        <f t="shared" si="13"/>
        <v>2</v>
      </c>
      <c r="Q433" s="2">
        <v>90</v>
      </c>
      <c r="R433" s="1">
        <v>45739</v>
      </c>
      <c r="S433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122.53000000000003</v>
      </c>
    </row>
    <row r="434" spans="1:19" x14ac:dyDescent="0.3">
      <c r="A434" t="s">
        <v>620</v>
      </c>
      <c r="B434" t="s">
        <v>67</v>
      </c>
      <c r="C434" t="s">
        <v>17</v>
      </c>
      <c r="D434">
        <v>40.699089999999998</v>
      </c>
      <c r="E434">
        <v>-73.93535</v>
      </c>
      <c r="F434" t="s">
        <v>21</v>
      </c>
      <c r="G434">
        <v>3</v>
      </c>
      <c r="H434">
        <v>1</v>
      </c>
      <c r="I434">
        <v>0</v>
      </c>
      <c r="J434">
        <v>2</v>
      </c>
      <c r="K434">
        <v>30</v>
      </c>
      <c r="L434">
        <v>250</v>
      </c>
      <c r="M434">
        <v>15</v>
      </c>
      <c r="N434">
        <v>0.34</v>
      </c>
      <c r="O434">
        <f t="shared" si="12"/>
        <v>0</v>
      </c>
      <c r="P434">
        <f t="shared" si="13"/>
        <v>2</v>
      </c>
      <c r="Q434" s="2">
        <v>120</v>
      </c>
      <c r="R434" s="1">
        <v>45732</v>
      </c>
      <c r="S434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143.23000000000002</v>
      </c>
    </row>
    <row r="435" spans="1:19" x14ac:dyDescent="0.3">
      <c r="A435" t="s">
        <v>621</v>
      </c>
      <c r="B435" t="s">
        <v>28</v>
      </c>
      <c r="C435" t="s">
        <v>20</v>
      </c>
      <c r="D435">
        <v>40.814570000000003</v>
      </c>
      <c r="E435">
        <v>-73.940920000000006</v>
      </c>
      <c r="F435" t="s">
        <v>21</v>
      </c>
      <c r="G435">
        <v>3</v>
      </c>
      <c r="H435">
        <v>1</v>
      </c>
      <c r="I435">
        <v>0</v>
      </c>
      <c r="J435">
        <v>2</v>
      </c>
      <c r="K435">
        <v>4</v>
      </c>
      <c r="L435">
        <v>283</v>
      </c>
      <c r="M435">
        <v>48</v>
      </c>
      <c r="N435">
        <v>1.38</v>
      </c>
      <c r="O435">
        <f t="shared" si="12"/>
        <v>0</v>
      </c>
      <c r="P435">
        <f t="shared" si="13"/>
        <v>4</v>
      </c>
      <c r="Q435" s="2">
        <v>149</v>
      </c>
      <c r="R435" s="1">
        <v>45732</v>
      </c>
      <c r="S435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259.47000000000003</v>
      </c>
    </row>
    <row r="436" spans="1:19" x14ac:dyDescent="0.3">
      <c r="A436" t="s">
        <v>622</v>
      </c>
      <c r="B436" t="s">
        <v>24</v>
      </c>
      <c r="C436" t="s">
        <v>20</v>
      </c>
      <c r="D436">
        <v>40.797550000000001</v>
      </c>
      <c r="E436">
        <v>-73.933530000000005</v>
      </c>
      <c r="F436" t="s">
        <v>21</v>
      </c>
      <c r="G436">
        <v>3</v>
      </c>
      <c r="H436">
        <v>1</v>
      </c>
      <c r="I436">
        <v>1</v>
      </c>
      <c r="J436">
        <v>1</v>
      </c>
      <c r="K436">
        <v>30</v>
      </c>
      <c r="L436">
        <v>279</v>
      </c>
      <c r="M436">
        <v>10</v>
      </c>
      <c r="N436">
        <v>0.23</v>
      </c>
      <c r="O436">
        <f t="shared" si="12"/>
        <v>0</v>
      </c>
      <c r="P436">
        <f t="shared" si="13"/>
        <v>4</v>
      </c>
      <c r="Q436" s="2">
        <v>108</v>
      </c>
      <c r="R436" s="1">
        <v>45734</v>
      </c>
      <c r="S436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172.53000000000003</v>
      </c>
    </row>
    <row r="437" spans="1:19" x14ac:dyDescent="0.3">
      <c r="A437" t="s">
        <v>623</v>
      </c>
      <c r="B437" t="s">
        <v>379</v>
      </c>
      <c r="C437" t="s">
        <v>17</v>
      </c>
      <c r="D437">
        <v>40.609969999999997</v>
      </c>
      <c r="E437">
        <v>-73.922479999999993</v>
      </c>
      <c r="F437" t="s">
        <v>21</v>
      </c>
      <c r="G437">
        <v>4</v>
      </c>
      <c r="H437">
        <v>1</v>
      </c>
      <c r="I437">
        <v>2</v>
      </c>
      <c r="J437">
        <v>3</v>
      </c>
      <c r="K437">
        <v>30</v>
      </c>
      <c r="L437">
        <v>347</v>
      </c>
      <c r="M437">
        <v>41</v>
      </c>
      <c r="N437">
        <v>0.93</v>
      </c>
      <c r="O437">
        <f t="shared" si="12"/>
        <v>0</v>
      </c>
      <c r="P437">
        <f t="shared" si="13"/>
        <v>2</v>
      </c>
      <c r="Q437" s="2">
        <v>118</v>
      </c>
      <c r="R437" s="1">
        <v>45724</v>
      </c>
      <c r="S437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158.33000000000004</v>
      </c>
    </row>
    <row r="438" spans="1:19" x14ac:dyDescent="0.3">
      <c r="A438" t="s">
        <v>624</v>
      </c>
      <c r="B438" t="s">
        <v>113</v>
      </c>
      <c r="C438" t="s">
        <v>30</v>
      </c>
      <c r="D438">
        <v>40.76155</v>
      </c>
      <c r="E438">
        <v>-73.819649999999996</v>
      </c>
      <c r="F438" t="s">
        <v>21</v>
      </c>
      <c r="G438">
        <v>4</v>
      </c>
      <c r="H438">
        <v>2</v>
      </c>
      <c r="I438">
        <v>2</v>
      </c>
      <c r="J438">
        <v>3</v>
      </c>
      <c r="K438">
        <v>30</v>
      </c>
      <c r="L438">
        <v>124</v>
      </c>
      <c r="M438">
        <v>63</v>
      </c>
      <c r="N438">
        <v>1.42</v>
      </c>
      <c r="O438">
        <f t="shared" si="12"/>
        <v>0</v>
      </c>
      <c r="P438">
        <f t="shared" si="13"/>
        <v>0</v>
      </c>
      <c r="Q438" s="2">
        <v>124</v>
      </c>
      <c r="R438" s="1">
        <v>45723</v>
      </c>
      <c r="S438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148.01000000000002</v>
      </c>
    </row>
    <row r="439" spans="1:19" x14ac:dyDescent="0.3">
      <c r="A439" t="s">
        <v>625</v>
      </c>
      <c r="B439" t="s">
        <v>43</v>
      </c>
      <c r="C439" t="s">
        <v>20</v>
      </c>
      <c r="D439">
        <v>40.720759999999999</v>
      </c>
      <c r="E439">
        <v>-73.991320000000002</v>
      </c>
      <c r="F439" t="s">
        <v>21</v>
      </c>
      <c r="G439">
        <v>2</v>
      </c>
      <c r="H439">
        <v>1</v>
      </c>
      <c r="I439">
        <v>1</v>
      </c>
      <c r="J439">
        <v>1</v>
      </c>
      <c r="K439">
        <v>1</v>
      </c>
      <c r="L439">
        <v>336</v>
      </c>
      <c r="M439">
        <v>121</v>
      </c>
      <c r="N439">
        <v>2.79</v>
      </c>
      <c r="O439">
        <f t="shared" si="12"/>
        <v>0</v>
      </c>
      <c r="P439">
        <f t="shared" si="13"/>
        <v>4</v>
      </c>
      <c r="Q439" s="2">
        <v>310</v>
      </c>
      <c r="R439" s="1">
        <v>45740</v>
      </c>
      <c r="S439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248.42000000000002</v>
      </c>
    </row>
    <row r="440" spans="1:19" x14ac:dyDescent="0.3">
      <c r="A440" t="s">
        <v>626</v>
      </c>
      <c r="B440" t="s">
        <v>19</v>
      </c>
      <c r="C440" t="s">
        <v>20</v>
      </c>
      <c r="D440">
        <v>40.74832</v>
      </c>
      <c r="E440">
        <v>-73.987170000000006</v>
      </c>
      <c r="F440" t="s">
        <v>18</v>
      </c>
      <c r="G440">
        <v>5</v>
      </c>
      <c r="H440">
        <v>1</v>
      </c>
      <c r="I440">
        <v>1</v>
      </c>
      <c r="J440">
        <v>3</v>
      </c>
      <c r="K440">
        <v>1</v>
      </c>
      <c r="L440">
        <v>284</v>
      </c>
      <c r="M440">
        <v>70</v>
      </c>
      <c r="N440">
        <v>1.61</v>
      </c>
      <c r="O440">
        <f t="shared" si="12"/>
        <v>1</v>
      </c>
      <c r="P440">
        <f t="shared" si="13"/>
        <v>4</v>
      </c>
      <c r="Q440" s="2">
        <v>231</v>
      </c>
      <c r="R440" s="1">
        <v>45734</v>
      </c>
      <c r="S440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264.14</v>
      </c>
    </row>
    <row r="441" spans="1:19" x14ac:dyDescent="0.3">
      <c r="A441" t="s">
        <v>627</v>
      </c>
      <c r="B441" t="s">
        <v>74</v>
      </c>
      <c r="C441" t="s">
        <v>20</v>
      </c>
      <c r="D441">
        <v>40.716700000000003</v>
      </c>
      <c r="E441">
        <v>-74.006979999999999</v>
      </c>
      <c r="F441" t="s">
        <v>18</v>
      </c>
      <c r="G441">
        <v>4</v>
      </c>
      <c r="H441">
        <v>1</v>
      </c>
      <c r="I441">
        <v>0</v>
      </c>
      <c r="J441">
        <v>2</v>
      </c>
      <c r="K441">
        <v>1</v>
      </c>
      <c r="L441">
        <v>306</v>
      </c>
      <c r="M441">
        <v>60</v>
      </c>
      <c r="N441">
        <v>1.43</v>
      </c>
      <c r="O441">
        <f t="shared" si="12"/>
        <v>1</v>
      </c>
      <c r="P441">
        <f t="shared" si="13"/>
        <v>4</v>
      </c>
      <c r="Q441" s="2">
        <v>405</v>
      </c>
      <c r="R441" s="1">
        <v>45745</v>
      </c>
      <c r="S441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244.28000000000003</v>
      </c>
    </row>
    <row r="442" spans="1:19" x14ac:dyDescent="0.3">
      <c r="A442" t="s">
        <v>628</v>
      </c>
      <c r="B442" t="s">
        <v>74</v>
      </c>
      <c r="C442" t="s">
        <v>20</v>
      </c>
      <c r="D442">
        <v>40.715110000000003</v>
      </c>
      <c r="E442">
        <v>-74.006510000000006</v>
      </c>
      <c r="F442" t="s">
        <v>18</v>
      </c>
      <c r="G442">
        <v>4</v>
      </c>
      <c r="H442">
        <v>1</v>
      </c>
      <c r="I442">
        <v>1</v>
      </c>
      <c r="J442">
        <v>2</v>
      </c>
      <c r="K442">
        <v>1</v>
      </c>
      <c r="L442">
        <v>139</v>
      </c>
      <c r="M442">
        <v>28</v>
      </c>
      <c r="N442">
        <v>0.7</v>
      </c>
      <c r="O442">
        <f t="shared" si="12"/>
        <v>1</v>
      </c>
      <c r="P442">
        <f t="shared" si="13"/>
        <v>4</v>
      </c>
      <c r="Q442" s="2">
        <v>334</v>
      </c>
      <c r="R442" s="1">
        <v>45746</v>
      </c>
      <c r="S442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250.96000000000004</v>
      </c>
    </row>
    <row r="443" spans="1:19" x14ac:dyDescent="0.3">
      <c r="A443" t="s">
        <v>629</v>
      </c>
      <c r="B443" t="s">
        <v>45</v>
      </c>
      <c r="C443" t="s">
        <v>20</v>
      </c>
      <c r="D443">
        <v>40.741379999999999</v>
      </c>
      <c r="E443">
        <v>-73.999409999999997</v>
      </c>
      <c r="F443" t="s">
        <v>21</v>
      </c>
      <c r="G443">
        <v>2</v>
      </c>
      <c r="H443">
        <v>1</v>
      </c>
      <c r="I443">
        <v>0</v>
      </c>
      <c r="J443">
        <v>1</v>
      </c>
      <c r="K443">
        <v>30</v>
      </c>
      <c r="L443">
        <v>364</v>
      </c>
      <c r="M443">
        <v>12</v>
      </c>
      <c r="N443">
        <v>0.3</v>
      </c>
      <c r="O443">
        <f t="shared" si="12"/>
        <v>0</v>
      </c>
      <c r="P443">
        <f t="shared" si="13"/>
        <v>4</v>
      </c>
      <c r="Q443" s="2">
        <v>170</v>
      </c>
      <c r="R443" s="1">
        <v>45734</v>
      </c>
      <c r="S443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150.15000000000003</v>
      </c>
    </row>
    <row r="444" spans="1:19" x14ac:dyDescent="0.3">
      <c r="A444" t="s">
        <v>630</v>
      </c>
      <c r="B444" t="s">
        <v>27</v>
      </c>
      <c r="C444" t="s">
        <v>17</v>
      </c>
      <c r="D444">
        <v>40.68271</v>
      </c>
      <c r="E444">
        <v>-73.953779999999995</v>
      </c>
      <c r="F444" t="s">
        <v>21</v>
      </c>
      <c r="G444">
        <v>2</v>
      </c>
      <c r="H444">
        <v>2</v>
      </c>
      <c r="I444">
        <v>1</v>
      </c>
      <c r="J444">
        <v>1</v>
      </c>
      <c r="K444">
        <v>30</v>
      </c>
      <c r="L444">
        <v>69</v>
      </c>
      <c r="M444">
        <v>14</v>
      </c>
      <c r="N444">
        <v>0.34</v>
      </c>
      <c r="O444">
        <f t="shared" si="12"/>
        <v>0</v>
      </c>
      <c r="P444">
        <f t="shared" si="13"/>
        <v>2</v>
      </c>
      <c r="Q444" s="2">
        <v>350</v>
      </c>
      <c r="R444" s="1">
        <v>45719</v>
      </c>
      <c r="S444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142.71</v>
      </c>
    </row>
    <row r="445" spans="1:19" x14ac:dyDescent="0.3">
      <c r="A445" t="s">
        <v>631</v>
      </c>
      <c r="B445" t="s">
        <v>22</v>
      </c>
      <c r="C445" t="s">
        <v>17</v>
      </c>
      <c r="D445">
        <v>40.663339999999998</v>
      </c>
      <c r="E445">
        <v>-73.990970000000004</v>
      </c>
      <c r="F445" t="s">
        <v>21</v>
      </c>
      <c r="G445">
        <v>4</v>
      </c>
      <c r="H445">
        <v>1</v>
      </c>
      <c r="I445">
        <v>1</v>
      </c>
      <c r="J445">
        <v>2</v>
      </c>
      <c r="K445">
        <v>30</v>
      </c>
      <c r="L445">
        <v>128</v>
      </c>
      <c r="M445">
        <v>48</v>
      </c>
      <c r="N445">
        <v>1.28</v>
      </c>
      <c r="O445">
        <f t="shared" si="12"/>
        <v>0</v>
      </c>
      <c r="P445">
        <f t="shared" si="13"/>
        <v>2</v>
      </c>
      <c r="Q445" s="2">
        <v>149</v>
      </c>
      <c r="R445" s="1">
        <v>45727</v>
      </c>
      <c r="S445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167.09000000000003</v>
      </c>
    </row>
    <row r="446" spans="1:19" x14ac:dyDescent="0.3">
      <c r="A446" t="s">
        <v>632</v>
      </c>
      <c r="B446" t="s">
        <v>57</v>
      </c>
      <c r="C446" t="s">
        <v>20</v>
      </c>
      <c r="D446">
        <v>40.722389999999997</v>
      </c>
      <c r="E446">
        <v>-73.993610000000004</v>
      </c>
      <c r="F446" t="s">
        <v>21</v>
      </c>
      <c r="G446">
        <v>2</v>
      </c>
      <c r="H446">
        <v>1</v>
      </c>
      <c r="I446">
        <v>1</v>
      </c>
      <c r="J446">
        <v>1</v>
      </c>
      <c r="K446">
        <v>1</v>
      </c>
      <c r="L446">
        <v>355</v>
      </c>
      <c r="M446">
        <v>169</v>
      </c>
      <c r="N446">
        <v>3.87</v>
      </c>
      <c r="O446">
        <f t="shared" si="12"/>
        <v>0</v>
      </c>
      <c r="P446">
        <f t="shared" si="13"/>
        <v>4</v>
      </c>
      <c r="Q446" s="2">
        <v>261</v>
      </c>
      <c r="R446" s="1">
        <v>45725</v>
      </c>
      <c r="S446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247.66000000000003</v>
      </c>
    </row>
    <row r="447" spans="1:19" x14ac:dyDescent="0.3">
      <c r="A447" t="s">
        <v>633</v>
      </c>
      <c r="B447" t="s">
        <v>164</v>
      </c>
      <c r="C447" t="s">
        <v>91</v>
      </c>
      <c r="D447">
        <v>40.644579999999998</v>
      </c>
      <c r="E447">
        <v>-74.08005</v>
      </c>
      <c r="F447" t="s">
        <v>21</v>
      </c>
      <c r="G447">
        <v>4</v>
      </c>
      <c r="H447">
        <v>1</v>
      </c>
      <c r="I447">
        <v>1</v>
      </c>
      <c r="J447">
        <v>2</v>
      </c>
      <c r="K447">
        <v>30</v>
      </c>
      <c r="L447">
        <v>276</v>
      </c>
      <c r="M447">
        <v>88</v>
      </c>
      <c r="N447">
        <v>2.0299999999999998</v>
      </c>
      <c r="O447">
        <f t="shared" si="12"/>
        <v>0</v>
      </c>
      <c r="P447">
        <f t="shared" si="13"/>
        <v>0</v>
      </c>
      <c r="Q447" s="2">
        <v>145</v>
      </c>
      <c r="R447" s="1">
        <v>45726</v>
      </c>
      <c r="S447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130.71000000000004</v>
      </c>
    </row>
    <row r="448" spans="1:19" x14ac:dyDescent="0.3">
      <c r="A448" t="s">
        <v>634</v>
      </c>
      <c r="B448" t="s">
        <v>75</v>
      </c>
      <c r="C448" t="s">
        <v>17</v>
      </c>
      <c r="D448">
        <v>40.655549999999998</v>
      </c>
      <c r="E448">
        <v>-73.977630000000005</v>
      </c>
      <c r="F448" t="s">
        <v>21</v>
      </c>
      <c r="G448">
        <v>4</v>
      </c>
      <c r="H448">
        <v>1</v>
      </c>
      <c r="I448">
        <v>1</v>
      </c>
      <c r="J448">
        <v>1</v>
      </c>
      <c r="K448">
        <v>30</v>
      </c>
      <c r="L448">
        <v>278</v>
      </c>
      <c r="M448">
        <v>96</v>
      </c>
      <c r="N448">
        <v>2.2000000000000002</v>
      </c>
      <c r="O448">
        <f t="shared" si="12"/>
        <v>0</v>
      </c>
      <c r="P448">
        <f t="shared" si="13"/>
        <v>2</v>
      </c>
      <c r="Q448" s="2">
        <v>179</v>
      </c>
      <c r="R448" s="1">
        <v>45737</v>
      </c>
      <c r="S448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161.09000000000003</v>
      </c>
    </row>
    <row r="449" spans="1:19" x14ac:dyDescent="0.3">
      <c r="A449" t="s">
        <v>635</v>
      </c>
      <c r="B449" t="s">
        <v>36</v>
      </c>
      <c r="C449" t="s">
        <v>20</v>
      </c>
      <c r="D449" s="3" t="s">
        <v>636</v>
      </c>
      <c r="E449">
        <v>-73.966262817382798</v>
      </c>
      <c r="F449" t="s">
        <v>21</v>
      </c>
      <c r="G449">
        <v>3</v>
      </c>
      <c r="H449">
        <v>1</v>
      </c>
      <c r="I449">
        <v>0</v>
      </c>
      <c r="J449">
        <v>1</v>
      </c>
      <c r="K449">
        <v>30</v>
      </c>
      <c r="L449">
        <v>286</v>
      </c>
      <c r="M449">
        <v>13</v>
      </c>
      <c r="N449">
        <v>0.31</v>
      </c>
      <c r="O449">
        <f t="shared" si="12"/>
        <v>0</v>
      </c>
      <c r="P449">
        <f t="shared" si="13"/>
        <v>4</v>
      </c>
      <c r="Q449" s="2">
        <v>224</v>
      </c>
      <c r="R449" s="1">
        <v>45742</v>
      </c>
      <c r="S449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172.25</v>
      </c>
    </row>
    <row r="450" spans="1:19" x14ac:dyDescent="0.3">
      <c r="A450" t="s">
        <v>637</v>
      </c>
      <c r="B450" t="s">
        <v>94</v>
      </c>
      <c r="C450" t="s">
        <v>17</v>
      </c>
      <c r="D450" s="3" t="s">
        <v>638</v>
      </c>
      <c r="E450">
        <v>-73.884446848988304</v>
      </c>
      <c r="F450" t="s">
        <v>18</v>
      </c>
      <c r="G450">
        <v>1</v>
      </c>
      <c r="H450">
        <v>1</v>
      </c>
      <c r="I450">
        <v>1</v>
      </c>
      <c r="J450">
        <v>1</v>
      </c>
      <c r="K450">
        <v>2</v>
      </c>
      <c r="L450">
        <v>273</v>
      </c>
      <c r="M450">
        <v>54</v>
      </c>
      <c r="N450">
        <v>1.23</v>
      </c>
      <c r="O450">
        <f t="shared" si="12"/>
        <v>1</v>
      </c>
      <c r="P450">
        <f t="shared" si="13"/>
        <v>2</v>
      </c>
      <c r="Q450" s="2">
        <v>70</v>
      </c>
      <c r="R450" s="1">
        <v>45739</v>
      </c>
      <c r="S450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154.85000000000002</v>
      </c>
    </row>
    <row r="451" spans="1:19" x14ac:dyDescent="0.3">
      <c r="A451" t="s">
        <v>639</v>
      </c>
      <c r="B451" t="s">
        <v>43</v>
      </c>
      <c r="C451" t="s">
        <v>20</v>
      </c>
      <c r="D451">
        <v>40.721249999999998</v>
      </c>
      <c r="E451">
        <v>-73.993189999999998</v>
      </c>
      <c r="F451" t="s">
        <v>21</v>
      </c>
      <c r="G451">
        <v>4</v>
      </c>
      <c r="H451">
        <v>1</v>
      </c>
      <c r="I451">
        <v>1</v>
      </c>
      <c r="J451">
        <v>2</v>
      </c>
      <c r="K451">
        <v>30</v>
      </c>
      <c r="L451">
        <v>258</v>
      </c>
      <c r="M451">
        <v>14</v>
      </c>
      <c r="N451">
        <v>0.44</v>
      </c>
      <c r="O451">
        <f t="shared" ref="O451:O514" si="14">IF(F451="Private room",1,0)</f>
        <v>0</v>
      </c>
      <c r="P451">
        <f t="shared" ref="P451:P514" si="15">IF(C451="Manhattan",4,IF(C451="Brooklyn",2,0))</f>
        <v>4</v>
      </c>
      <c r="Q451" s="2">
        <v>137</v>
      </c>
      <c r="R451" s="1">
        <v>45725</v>
      </c>
      <c r="S451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192.35000000000002</v>
      </c>
    </row>
    <row r="452" spans="1:19" x14ac:dyDescent="0.3">
      <c r="A452" t="s">
        <v>640</v>
      </c>
      <c r="B452" t="s">
        <v>43</v>
      </c>
      <c r="C452" t="s">
        <v>20</v>
      </c>
      <c r="D452">
        <v>40.722729999999999</v>
      </c>
      <c r="E452">
        <v>-73.991079999999997</v>
      </c>
      <c r="F452" t="s">
        <v>21</v>
      </c>
      <c r="G452">
        <v>2</v>
      </c>
      <c r="H452">
        <v>1</v>
      </c>
      <c r="I452">
        <v>1</v>
      </c>
      <c r="J452">
        <v>1</v>
      </c>
      <c r="K452">
        <v>30</v>
      </c>
      <c r="L452">
        <v>268</v>
      </c>
      <c r="M452">
        <v>5</v>
      </c>
      <c r="N452">
        <v>0.16</v>
      </c>
      <c r="O452">
        <f t="shared" si="14"/>
        <v>0</v>
      </c>
      <c r="P452">
        <f t="shared" si="15"/>
        <v>4</v>
      </c>
      <c r="Q452" s="2">
        <v>151</v>
      </c>
      <c r="R452" s="1">
        <v>45747</v>
      </c>
      <c r="S452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153.99</v>
      </c>
    </row>
    <row r="453" spans="1:19" x14ac:dyDescent="0.3">
      <c r="A453" t="s">
        <v>641</v>
      </c>
      <c r="B453" t="s">
        <v>129</v>
      </c>
      <c r="C453" t="s">
        <v>31</v>
      </c>
      <c r="D453">
        <v>40.814630000000001</v>
      </c>
      <c r="E453">
        <v>-73.902289999999994</v>
      </c>
      <c r="F453" t="s">
        <v>18</v>
      </c>
      <c r="G453">
        <v>1</v>
      </c>
      <c r="H453">
        <v>1</v>
      </c>
      <c r="I453">
        <v>1</v>
      </c>
      <c r="J453">
        <v>1</v>
      </c>
      <c r="K453">
        <v>30</v>
      </c>
      <c r="L453">
        <v>137</v>
      </c>
      <c r="M453">
        <v>30</v>
      </c>
      <c r="N453">
        <v>0.7</v>
      </c>
      <c r="O453">
        <f t="shared" si="14"/>
        <v>1</v>
      </c>
      <c r="P453">
        <f t="shared" si="15"/>
        <v>0</v>
      </c>
      <c r="Q453" s="2">
        <v>57</v>
      </c>
      <c r="R453" s="1">
        <v>45734</v>
      </c>
      <c r="S453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36.03</v>
      </c>
    </row>
    <row r="454" spans="1:19" x14ac:dyDescent="0.3">
      <c r="A454" t="s">
        <v>642</v>
      </c>
      <c r="B454" t="s">
        <v>101</v>
      </c>
      <c r="C454" t="s">
        <v>30</v>
      </c>
      <c r="D454">
        <v>40.769109999999998</v>
      </c>
      <c r="E454">
        <v>-73.870530000000002</v>
      </c>
      <c r="F454" t="s">
        <v>21</v>
      </c>
      <c r="G454">
        <v>4</v>
      </c>
      <c r="H454">
        <v>1</v>
      </c>
      <c r="I454">
        <v>1</v>
      </c>
      <c r="J454">
        <v>2</v>
      </c>
      <c r="K454">
        <v>30</v>
      </c>
      <c r="L454">
        <v>184</v>
      </c>
      <c r="M454">
        <v>200</v>
      </c>
      <c r="N454">
        <v>4.74</v>
      </c>
      <c r="O454">
        <f t="shared" si="14"/>
        <v>0</v>
      </c>
      <c r="P454">
        <f t="shared" si="15"/>
        <v>0</v>
      </c>
      <c r="Q454" s="2">
        <v>106</v>
      </c>
      <c r="R454" s="1">
        <v>45717</v>
      </c>
      <c r="S454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134.39000000000001</v>
      </c>
    </row>
    <row r="455" spans="1:19" x14ac:dyDescent="0.3">
      <c r="A455" t="s">
        <v>643</v>
      </c>
      <c r="B455" t="s">
        <v>33</v>
      </c>
      <c r="C455" t="s">
        <v>17</v>
      </c>
      <c r="D455">
        <v>40.670177000000002</v>
      </c>
      <c r="E455">
        <v>-73.977271999999999</v>
      </c>
      <c r="F455" t="s">
        <v>21</v>
      </c>
      <c r="G455">
        <v>5</v>
      </c>
      <c r="H455">
        <v>1</v>
      </c>
      <c r="I455">
        <v>1</v>
      </c>
      <c r="J455">
        <v>2</v>
      </c>
      <c r="K455">
        <v>30</v>
      </c>
      <c r="L455">
        <v>185</v>
      </c>
      <c r="M455">
        <v>179</v>
      </c>
      <c r="N455">
        <v>4.2</v>
      </c>
      <c r="O455">
        <f t="shared" si="14"/>
        <v>0</v>
      </c>
      <c r="P455">
        <f t="shared" si="15"/>
        <v>2</v>
      </c>
      <c r="Q455" s="2">
        <v>193</v>
      </c>
      <c r="R455" s="1">
        <v>45731</v>
      </c>
      <c r="S455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183.79000000000002</v>
      </c>
    </row>
    <row r="456" spans="1:19" x14ac:dyDescent="0.3">
      <c r="A456" t="s">
        <v>644</v>
      </c>
      <c r="B456" t="s">
        <v>24</v>
      </c>
      <c r="C456" t="s">
        <v>20</v>
      </c>
      <c r="D456" s="3" t="s">
        <v>645</v>
      </c>
      <c r="E456">
        <v>-73.938697711639406</v>
      </c>
      <c r="F456" t="s">
        <v>21</v>
      </c>
      <c r="G456">
        <v>4</v>
      </c>
      <c r="H456">
        <v>1</v>
      </c>
      <c r="I456">
        <v>1</v>
      </c>
      <c r="J456">
        <v>1</v>
      </c>
      <c r="K456">
        <v>30</v>
      </c>
      <c r="L456">
        <v>238</v>
      </c>
      <c r="M456">
        <v>5</v>
      </c>
      <c r="N456">
        <v>0.26</v>
      </c>
      <c r="O456">
        <f t="shared" si="14"/>
        <v>0</v>
      </c>
      <c r="P456">
        <f t="shared" si="15"/>
        <v>4</v>
      </c>
      <c r="Q456" s="2">
        <v>120</v>
      </c>
      <c r="R456" s="1">
        <v>45717</v>
      </c>
      <c r="S456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193.15000000000003</v>
      </c>
    </row>
    <row r="457" spans="1:19" x14ac:dyDescent="0.3">
      <c r="A457" t="s">
        <v>646</v>
      </c>
      <c r="B457" t="s">
        <v>61</v>
      </c>
      <c r="C457" t="s">
        <v>30</v>
      </c>
      <c r="D457">
        <v>40.757959999999997</v>
      </c>
      <c r="E457">
        <v>-73.916290000000004</v>
      </c>
      <c r="F457" t="s">
        <v>21</v>
      </c>
      <c r="G457">
        <v>3</v>
      </c>
      <c r="H457">
        <v>1</v>
      </c>
      <c r="I457">
        <v>1</v>
      </c>
      <c r="J457">
        <v>2</v>
      </c>
      <c r="K457">
        <v>30</v>
      </c>
      <c r="L457">
        <v>278</v>
      </c>
      <c r="M457">
        <v>145</v>
      </c>
      <c r="N457">
        <v>3.43</v>
      </c>
      <c r="O457">
        <f t="shared" si="14"/>
        <v>0</v>
      </c>
      <c r="P457">
        <f t="shared" si="15"/>
        <v>0</v>
      </c>
      <c r="Q457" s="2">
        <v>101</v>
      </c>
      <c r="R457" s="1">
        <v>45738</v>
      </c>
      <c r="S457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111.65</v>
      </c>
    </row>
    <row r="458" spans="1:19" x14ac:dyDescent="0.3">
      <c r="A458" t="s">
        <v>647</v>
      </c>
      <c r="B458" t="s">
        <v>140</v>
      </c>
      <c r="C458" t="s">
        <v>17</v>
      </c>
      <c r="D458">
        <v>40.578879999999998</v>
      </c>
      <c r="E458">
        <v>-74.010499999999993</v>
      </c>
      <c r="F458" t="s">
        <v>21</v>
      </c>
      <c r="G458">
        <v>4</v>
      </c>
      <c r="H458">
        <v>1</v>
      </c>
      <c r="I458">
        <v>2</v>
      </c>
      <c r="J458">
        <v>1</v>
      </c>
      <c r="K458">
        <v>30</v>
      </c>
      <c r="L458">
        <v>148</v>
      </c>
      <c r="M458">
        <v>12</v>
      </c>
      <c r="N458">
        <v>0.28999999999999998</v>
      </c>
      <c r="O458">
        <f t="shared" si="14"/>
        <v>0</v>
      </c>
      <c r="P458">
        <f t="shared" si="15"/>
        <v>2</v>
      </c>
      <c r="Q458" s="2">
        <v>116</v>
      </c>
      <c r="R458" s="1">
        <v>45719</v>
      </c>
      <c r="S458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166.29000000000005</v>
      </c>
    </row>
    <row r="459" spans="1:19" x14ac:dyDescent="0.3">
      <c r="A459" t="s">
        <v>648</v>
      </c>
      <c r="B459" t="s">
        <v>43</v>
      </c>
      <c r="C459" t="s">
        <v>20</v>
      </c>
      <c r="D459">
        <v>40.722729999999999</v>
      </c>
      <c r="E459">
        <v>-73.991709999999998</v>
      </c>
      <c r="F459" t="s">
        <v>21</v>
      </c>
      <c r="G459">
        <v>4</v>
      </c>
      <c r="H459">
        <v>1</v>
      </c>
      <c r="I459">
        <v>2</v>
      </c>
      <c r="J459">
        <v>2</v>
      </c>
      <c r="K459">
        <v>30</v>
      </c>
      <c r="L459">
        <v>273</v>
      </c>
      <c r="M459">
        <v>5</v>
      </c>
      <c r="N459">
        <v>0.17</v>
      </c>
      <c r="O459">
        <f t="shared" si="14"/>
        <v>0</v>
      </c>
      <c r="P459">
        <f t="shared" si="15"/>
        <v>4</v>
      </c>
      <c r="Q459" s="2">
        <v>208</v>
      </c>
      <c r="R459" s="1">
        <v>45718</v>
      </c>
      <c r="S459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191.75000000000006</v>
      </c>
    </row>
    <row r="460" spans="1:19" x14ac:dyDescent="0.3">
      <c r="A460" t="s">
        <v>649</v>
      </c>
      <c r="B460" t="s">
        <v>23</v>
      </c>
      <c r="C460" t="s">
        <v>17</v>
      </c>
      <c r="D460" s="3" t="s">
        <v>650</v>
      </c>
      <c r="E460">
        <v>-73.965797424316406</v>
      </c>
      <c r="F460" t="s">
        <v>21</v>
      </c>
      <c r="G460">
        <v>2</v>
      </c>
      <c r="H460">
        <v>1</v>
      </c>
      <c r="I460">
        <v>1</v>
      </c>
      <c r="J460">
        <v>1</v>
      </c>
      <c r="K460">
        <v>30</v>
      </c>
      <c r="L460">
        <v>238</v>
      </c>
      <c r="M460">
        <v>48</v>
      </c>
      <c r="N460">
        <v>1.1399999999999999</v>
      </c>
      <c r="O460">
        <f t="shared" si="14"/>
        <v>0</v>
      </c>
      <c r="P460">
        <f t="shared" si="15"/>
        <v>2</v>
      </c>
      <c r="Q460" s="2">
        <v>115</v>
      </c>
      <c r="R460" s="1">
        <v>45747</v>
      </c>
      <c r="S460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124.73000000000002</v>
      </c>
    </row>
    <row r="461" spans="1:19" x14ac:dyDescent="0.3">
      <c r="A461" t="s">
        <v>651</v>
      </c>
      <c r="B461" t="s">
        <v>131</v>
      </c>
      <c r="C461" t="s">
        <v>20</v>
      </c>
      <c r="D461">
        <v>40.704903000000002</v>
      </c>
      <c r="E461">
        <v>-74.006416000000002</v>
      </c>
      <c r="F461" t="s">
        <v>21</v>
      </c>
      <c r="G461">
        <v>2</v>
      </c>
      <c r="H461">
        <v>1</v>
      </c>
      <c r="I461">
        <v>1</v>
      </c>
      <c r="J461">
        <v>1</v>
      </c>
      <c r="K461">
        <v>1</v>
      </c>
      <c r="L461">
        <v>362</v>
      </c>
      <c r="M461">
        <v>86</v>
      </c>
      <c r="N461">
        <v>2.0299999999999998</v>
      </c>
      <c r="O461">
        <f t="shared" si="14"/>
        <v>0</v>
      </c>
      <c r="P461">
        <f t="shared" si="15"/>
        <v>4</v>
      </c>
      <c r="Q461" s="2">
        <v>331</v>
      </c>
      <c r="R461" s="1">
        <v>45746</v>
      </c>
      <c r="S461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247.38000000000005</v>
      </c>
    </row>
    <row r="462" spans="1:19" x14ac:dyDescent="0.3">
      <c r="A462" t="s">
        <v>652</v>
      </c>
      <c r="B462" t="s">
        <v>53</v>
      </c>
      <c r="C462" t="s">
        <v>20</v>
      </c>
      <c r="D462">
        <v>40.799779999999998</v>
      </c>
      <c r="E462">
        <v>-73.962940000000003</v>
      </c>
      <c r="F462" t="s">
        <v>18</v>
      </c>
      <c r="G462">
        <v>2</v>
      </c>
      <c r="H462">
        <v>2</v>
      </c>
      <c r="I462">
        <v>1</v>
      </c>
      <c r="J462">
        <v>1</v>
      </c>
      <c r="K462">
        <v>30</v>
      </c>
      <c r="L462">
        <v>351</v>
      </c>
      <c r="M462">
        <v>105</v>
      </c>
      <c r="N462">
        <v>2.4700000000000002</v>
      </c>
      <c r="O462">
        <f t="shared" si="14"/>
        <v>1</v>
      </c>
      <c r="P462">
        <f t="shared" si="15"/>
        <v>4</v>
      </c>
      <c r="Q462" s="2">
        <v>82</v>
      </c>
      <c r="R462" s="1">
        <v>45717</v>
      </c>
      <c r="S462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118.59000000000002</v>
      </c>
    </row>
    <row r="463" spans="1:19" x14ac:dyDescent="0.3">
      <c r="A463" t="s">
        <v>653</v>
      </c>
      <c r="B463" t="s">
        <v>60</v>
      </c>
      <c r="C463" t="s">
        <v>17</v>
      </c>
      <c r="D463">
        <v>40.64873</v>
      </c>
      <c r="E463">
        <v>-73.937650000000005</v>
      </c>
      <c r="F463" t="s">
        <v>21</v>
      </c>
      <c r="G463">
        <v>2</v>
      </c>
      <c r="H463">
        <v>1</v>
      </c>
      <c r="I463">
        <v>1</v>
      </c>
      <c r="J463">
        <v>1</v>
      </c>
      <c r="K463">
        <v>30</v>
      </c>
      <c r="L463">
        <v>169</v>
      </c>
      <c r="M463">
        <v>108</v>
      </c>
      <c r="N463">
        <v>2.5299999999999998</v>
      </c>
      <c r="O463">
        <f t="shared" si="14"/>
        <v>0</v>
      </c>
      <c r="P463">
        <f t="shared" si="15"/>
        <v>2</v>
      </c>
      <c r="Q463" s="2">
        <v>85</v>
      </c>
      <c r="R463" s="1">
        <v>45747</v>
      </c>
      <c r="S463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127.49000000000001</v>
      </c>
    </row>
    <row r="464" spans="1:19" x14ac:dyDescent="0.3">
      <c r="A464" t="s">
        <v>654</v>
      </c>
      <c r="B464" t="s">
        <v>193</v>
      </c>
      <c r="C464" t="s">
        <v>30</v>
      </c>
      <c r="D464">
        <v>40.71405</v>
      </c>
      <c r="E464">
        <v>-73.786739999999995</v>
      </c>
      <c r="F464" t="s">
        <v>21</v>
      </c>
      <c r="G464">
        <v>12</v>
      </c>
      <c r="H464">
        <v>2</v>
      </c>
      <c r="I464">
        <v>3</v>
      </c>
      <c r="J464">
        <v>6</v>
      </c>
      <c r="K464">
        <v>30</v>
      </c>
      <c r="L464">
        <v>142</v>
      </c>
      <c r="M464">
        <v>14</v>
      </c>
      <c r="N464">
        <v>0.34</v>
      </c>
      <c r="O464">
        <f t="shared" si="14"/>
        <v>0</v>
      </c>
      <c r="P464">
        <f t="shared" si="15"/>
        <v>0</v>
      </c>
      <c r="Q464" s="2">
        <v>137</v>
      </c>
      <c r="R464" s="1">
        <v>45726</v>
      </c>
      <c r="S464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299.13</v>
      </c>
    </row>
    <row r="465" spans="1:19" x14ac:dyDescent="0.3">
      <c r="A465" t="s">
        <v>655</v>
      </c>
      <c r="B465" t="s">
        <v>60</v>
      </c>
      <c r="C465" t="s">
        <v>17</v>
      </c>
      <c r="D465" s="3" t="s">
        <v>656</v>
      </c>
      <c r="E465">
        <v>-73.935841886600798</v>
      </c>
      <c r="F465" t="s">
        <v>21</v>
      </c>
      <c r="G465">
        <v>2</v>
      </c>
      <c r="H465">
        <v>1</v>
      </c>
      <c r="I465">
        <v>1</v>
      </c>
      <c r="J465">
        <v>2</v>
      </c>
      <c r="K465">
        <v>2</v>
      </c>
      <c r="L465">
        <v>200</v>
      </c>
      <c r="M465">
        <v>139</v>
      </c>
      <c r="N465">
        <v>3.31</v>
      </c>
      <c r="O465">
        <f t="shared" si="14"/>
        <v>0</v>
      </c>
      <c r="P465">
        <f t="shared" si="15"/>
        <v>2</v>
      </c>
      <c r="Q465" s="2">
        <v>185</v>
      </c>
      <c r="R465" s="1">
        <v>45742</v>
      </c>
      <c r="S465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220.05000000000004</v>
      </c>
    </row>
    <row r="466" spans="1:19" x14ac:dyDescent="0.3">
      <c r="A466" t="s">
        <v>657</v>
      </c>
      <c r="B466" t="s">
        <v>36</v>
      </c>
      <c r="C466" t="s">
        <v>20</v>
      </c>
      <c r="D466">
        <v>40.766379999999998</v>
      </c>
      <c r="E466">
        <v>-73.965639999999993</v>
      </c>
      <c r="F466" t="s">
        <v>21</v>
      </c>
      <c r="G466">
        <v>4</v>
      </c>
      <c r="H466">
        <v>1</v>
      </c>
      <c r="I466">
        <v>2</v>
      </c>
      <c r="J466">
        <v>2</v>
      </c>
      <c r="K466">
        <v>30</v>
      </c>
      <c r="L466">
        <v>111</v>
      </c>
      <c r="M466">
        <v>72</v>
      </c>
      <c r="N466">
        <v>1.74</v>
      </c>
      <c r="O466">
        <f t="shared" si="14"/>
        <v>0</v>
      </c>
      <c r="P466">
        <f t="shared" si="15"/>
        <v>4</v>
      </c>
      <c r="Q466" s="2">
        <v>330</v>
      </c>
      <c r="R466" s="1">
        <v>45721</v>
      </c>
      <c r="S466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198.23000000000002</v>
      </c>
    </row>
    <row r="467" spans="1:19" x14ac:dyDescent="0.3">
      <c r="A467" t="s">
        <v>658</v>
      </c>
      <c r="B467" t="s">
        <v>113</v>
      </c>
      <c r="C467" t="s">
        <v>30</v>
      </c>
      <c r="D467" s="3" t="s">
        <v>659</v>
      </c>
      <c r="E467">
        <v>-73.833724264032597</v>
      </c>
      <c r="F467" t="s">
        <v>21</v>
      </c>
      <c r="G467">
        <v>4</v>
      </c>
      <c r="H467">
        <v>1</v>
      </c>
      <c r="I467">
        <v>1</v>
      </c>
      <c r="J467">
        <v>1</v>
      </c>
      <c r="K467">
        <v>30</v>
      </c>
      <c r="L467">
        <v>148</v>
      </c>
      <c r="M467">
        <v>76</v>
      </c>
      <c r="N467">
        <v>1.84</v>
      </c>
      <c r="O467">
        <f t="shared" si="14"/>
        <v>0</v>
      </c>
      <c r="P467">
        <f t="shared" si="15"/>
        <v>0</v>
      </c>
      <c r="Q467" s="2">
        <v>175</v>
      </c>
      <c r="R467" s="1">
        <v>45718</v>
      </c>
      <c r="S467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135.83000000000004</v>
      </c>
    </row>
    <row r="468" spans="1:19" x14ac:dyDescent="0.3">
      <c r="A468" t="s">
        <v>660</v>
      </c>
      <c r="B468" t="s">
        <v>185</v>
      </c>
      <c r="C468" t="s">
        <v>31</v>
      </c>
      <c r="D468">
        <v>40.85286</v>
      </c>
      <c r="E468">
        <v>-73.847200000000001</v>
      </c>
      <c r="F468" t="s">
        <v>18</v>
      </c>
      <c r="G468">
        <v>2</v>
      </c>
      <c r="H468">
        <v>1</v>
      </c>
      <c r="I468">
        <v>1</v>
      </c>
      <c r="J468">
        <v>1</v>
      </c>
      <c r="K468">
        <v>2</v>
      </c>
      <c r="L468">
        <v>347</v>
      </c>
      <c r="M468">
        <v>93</v>
      </c>
      <c r="N468">
        <v>2.4500000000000002</v>
      </c>
      <c r="O468">
        <f t="shared" si="14"/>
        <v>1</v>
      </c>
      <c r="P468">
        <f t="shared" si="15"/>
        <v>0</v>
      </c>
      <c r="Q468" s="2">
        <v>165</v>
      </c>
      <c r="R468" s="1">
        <v>45739</v>
      </c>
      <c r="S468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140.41000000000003</v>
      </c>
    </row>
    <row r="469" spans="1:19" x14ac:dyDescent="0.3">
      <c r="A469" t="s">
        <v>661</v>
      </c>
      <c r="B469" t="s">
        <v>169</v>
      </c>
      <c r="C469" t="s">
        <v>31</v>
      </c>
      <c r="D469">
        <v>40.833210000000001</v>
      </c>
      <c r="E469">
        <v>-73.854560000000006</v>
      </c>
      <c r="F469" t="s">
        <v>21</v>
      </c>
      <c r="G469">
        <v>2</v>
      </c>
      <c r="H469">
        <v>1</v>
      </c>
      <c r="I469">
        <v>1</v>
      </c>
      <c r="J469">
        <v>1</v>
      </c>
      <c r="K469">
        <v>30</v>
      </c>
      <c r="L469">
        <v>239</v>
      </c>
      <c r="M469">
        <v>46</v>
      </c>
      <c r="N469">
        <v>1.29</v>
      </c>
      <c r="O469">
        <f t="shared" si="14"/>
        <v>0</v>
      </c>
      <c r="P469">
        <f t="shared" si="15"/>
        <v>0</v>
      </c>
      <c r="Q469" s="2">
        <v>86</v>
      </c>
      <c r="R469" s="1">
        <v>45742</v>
      </c>
      <c r="S469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94.230000000000018</v>
      </c>
    </row>
    <row r="470" spans="1:19" x14ac:dyDescent="0.3">
      <c r="A470" t="s">
        <v>662</v>
      </c>
      <c r="B470" t="s">
        <v>19</v>
      </c>
      <c r="C470" t="s">
        <v>20</v>
      </c>
      <c r="D470">
        <v>40.754759999999997</v>
      </c>
      <c r="E470">
        <v>-73.96611</v>
      </c>
      <c r="F470" t="s">
        <v>21</v>
      </c>
      <c r="G470">
        <v>2</v>
      </c>
      <c r="H470">
        <v>1</v>
      </c>
      <c r="I470">
        <v>1</v>
      </c>
      <c r="J470">
        <v>1</v>
      </c>
      <c r="K470">
        <v>30</v>
      </c>
      <c r="L470">
        <v>277</v>
      </c>
      <c r="M470">
        <v>54</v>
      </c>
      <c r="N470">
        <v>1.46</v>
      </c>
      <c r="O470">
        <f t="shared" si="14"/>
        <v>0</v>
      </c>
      <c r="P470">
        <f t="shared" si="15"/>
        <v>4</v>
      </c>
      <c r="Q470" s="2">
        <v>214</v>
      </c>
      <c r="R470" s="1">
        <v>45725</v>
      </c>
      <c r="S470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153.63000000000002</v>
      </c>
    </row>
    <row r="471" spans="1:19" x14ac:dyDescent="0.3">
      <c r="A471" t="s">
        <v>663</v>
      </c>
      <c r="B471" t="s">
        <v>236</v>
      </c>
      <c r="C471" t="s">
        <v>30</v>
      </c>
      <c r="D471">
        <v>40.75009</v>
      </c>
      <c r="E471">
        <v>-73.852339999999998</v>
      </c>
      <c r="F471" t="s">
        <v>21</v>
      </c>
      <c r="G471">
        <v>4</v>
      </c>
      <c r="H471">
        <v>1</v>
      </c>
      <c r="I471">
        <v>2</v>
      </c>
      <c r="J471">
        <v>3</v>
      </c>
      <c r="K471">
        <v>30</v>
      </c>
      <c r="L471">
        <v>173</v>
      </c>
      <c r="M471">
        <v>38</v>
      </c>
      <c r="N471">
        <v>1.04</v>
      </c>
      <c r="O471">
        <f t="shared" si="14"/>
        <v>0</v>
      </c>
      <c r="P471">
        <f t="shared" si="15"/>
        <v>0</v>
      </c>
      <c r="Q471" s="2">
        <v>90</v>
      </c>
      <c r="R471" s="1">
        <v>45742</v>
      </c>
      <c r="S471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134.83000000000004</v>
      </c>
    </row>
    <row r="472" spans="1:19" x14ac:dyDescent="0.3">
      <c r="A472" t="s">
        <v>664</v>
      </c>
      <c r="B472" t="s">
        <v>19</v>
      </c>
      <c r="C472" t="s">
        <v>20</v>
      </c>
      <c r="D472">
        <v>40.746740000000003</v>
      </c>
      <c r="E472">
        <v>-73.988630000000001</v>
      </c>
      <c r="F472" t="s">
        <v>18</v>
      </c>
      <c r="G472">
        <v>4</v>
      </c>
      <c r="H472">
        <v>0</v>
      </c>
      <c r="I472">
        <v>1</v>
      </c>
      <c r="J472">
        <v>2</v>
      </c>
      <c r="K472">
        <v>1</v>
      </c>
      <c r="L472">
        <v>286</v>
      </c>
      <c r="M472">
        <v>42</v>
      </c>
      <c r="N472">
        <v>1.08</v>
      </c>
      <c r="O472">
        <f t="shared" si="14"/>
        <v>1</v>
      </c>
      <c r="P472">
        <f t="shared" si="15"/>
        <v>4</v>
      </c>
      <c r="Q472" s="2">
        <v>134</v>
      </c>
      <c r="R472" s="1">
        <v>45718</v>
      </c>
      <c r="S472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233.86000000000007</v>
      </c>
    </row>
    <row r="473" spans="1:19" x14ac:dyDescent="0.3">
      <c r="A473" t="s">
        <v>665</v>
      </c>
      <c r="B473" t="s">
        <v>19</v>
      </c>
      <c r="C473" t="s">
        <v>20</v>
      </c>
      <c r="D473">
        <v>40.746099999999998</v>
      </c>
      <c r="E473">
        <v>-73.988500000000002</v>
      </c>
      <c r="F473" t="s">
        <v>18</v>
      </c>
      <c r="G473">
        <v>4</v>
      </c>
      <c r="H473">
        <v>0</v>
      </c>
      <c r="I473">
        <v>1</v>
      </c>
      <c r="J473">
        <v>2</v>
      </c>
      <c r="K473">
        <v>1</v>
      </c>
      <c r="L473">
        <v>295</v>
      </c>
      <c r="M473">
        <v>52</v>
      </c>
      <c r="N473">
        <v>1.32</v>
      </c>
      <c r="O473">
        <f t="shared" si="14"/>
        <v>1</v>
      </c>
      <c r="P473">
        <f t="shared" si="15"/>
        <v>4</v>
      </c>
      <c r="Q473" s="2">
        <v>134</v>
      </c>
      <c r="R473" s="1">
        <v>45733</v>
      </c>
      <c r="S473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233.50000000000006</v>
      </c>
    </row>
    <row r="474" spans="1:19" x14ac:dyDescent="0.3">
      <c r="A474" t="s">
        <v>666</v>
      </c>
      <c r="B474" t="s">
        <v>23</v>
      </c>
      <c r="C474" t="s">
        <v>17</v>
      </c>
      <c r="D474">
        <v>40.718069999999997</v>
      </c>
      <c r="E474">
        <v>-73.95908</v>
      </c>
      <c r="F474" t="s">
        <v>21</v>
      </c>
      <c r="G474">
        <v>2</v>
      </c>
      <c r="H474">
        <v>1</v>
      </c>
      <c r="I474">
        <v>1</v>
      </c>
      <c r="J474">
        <v>1</v>
      </c>
      <c r="K474">
        <v>30</v>
      </c>
      <c r="L474">
        <v>265</v>
      </c>
      <c r="M474">
        <v>58</v>
      </c>
      <c r="N474">
        <v>1.4</v>
      </c>
      <c r="O474">
        <f t="shared" si="14"/>
        <v>0</v>
      </c>
      <c r="P474">
        <f t="shared" si="15"/>
        <v>2</v>
      </c>
      <c r="Q474" s="2">
        <v>145</v>
      </c>
      <c r="R474" s="1">
        <v>45747</v>
      </c>
      <c r="S474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123.65000000000003</v>
      </c>
    </row>
    <row r="475" spans="1:19" x14ac:dyDescent="0.3">
      <c r="A475" t="s">
        <v>667</v>
      </c>
      <c r="B475" t="s">
        <v>45</v>
      </c>
      <c r="C475" t="s">
        <v>20</v>
      </c>
      <c r="D475">
        <v>40.742603000000003</v>
      </c>
      <c r="E475">
        <v>-73.997589000000005</v>
      </c>
      <c r="F475" t="s">
        <v>21</v>
      </c>
      <c r="G475">
        <v>3</v>
      </c>
      <c r="H475">
        <v>1</v>
      </c>
      <c r="I475">
        <v>1</v>
      </c>
      <c r="J475">
        <v>1</v>
      </c>
      <c r="K475">
        <v>30</v>
      </c>
      <c r="L475">
        <v>263</v>
      </c>
      <c r="M475">
        <v>12</v>
      </c>
      <c r="N475">
        <v>0.28999999999999998</v>
      </c>
      <c r="O475">
        <f t="shared" si="14"/>
        <v>0</v>
      </c>
      <c r="P475">
        <f t="shared" si="15"/>
        <v>4</v>
      </c>
      <c r="Q475" s="2">
        <v>205</v>
      </c>
      <c r="R475" s="1">
        <v>45747</v>
      </c>
      <c r="S475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173.17000000000002</v>
      </c>
    </row>
    <row r="476" spans="1:19" x14ac:dyDescent="0.3">
      <c r="A476" t="s">
        <v>668</v>
      </c>
      <c r="B476" t="s">
        <v>23</v>
      </c>
      <c r="C476" t="s">
        <v>17</v>
      </c>
      <c r="D476">
        <v>40.709940000000003</v>
      </c>
      <c r="E476">
        <v>-73.958789999999993</v>
      </c>
      <c r="F476" t="s">
        <v>21</v>
      </c>
      <c r="G476">
        <v>2</v>
      </c>
      <c r="H476">
        <v>1</v>
      </c>
      <c r="I476">
        <v>1</v>
      </c>
      <c r="J476">
        <v>1</v>
      </c>
      <c r="K476">
        <v>30</v>
      </c>
      <c r="L476">
        <v>75</v>
      </c>
      <c r="M476">
        <v>36</v>
      </c>
      <c r="N476">
        <v>0.89</v>
      </c>
      <c r="O476">
        <f t="shared" si="14"/>
        <v>0</v>
      </c>
      <c r="P476">
        <f t="shared" si="15"/>
        <v>2</v>
      </c>
      <c r="Q476" s="2">
        <v>220</v>
      </c>
      <c r="R476" s="1">
        <v>45719</v>
      </c>
      <c r="S476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131.25000000000003</v>
      </c>
    </row>
    <row r="477" spans="1:19" x14ac:dyDescent="0.3">
      <c r="A477" t="s">
        <v>669</v>
      </c>
      <c r="B477" t="s">
        <v>36</v>
      </c>
      <c r="C477" t="s">
        <v>20</v>
      </c>
      <c r="D477">
        <v>40.768239999999999</v>
      </c>
      <c r="E477">
        <v>-73.967389999999995</v>
      </c>
      <c r="F477" t="s">
        <v>21</v>
      </c>
      <c r="G477">
        <v>1</v>
      </c>
      <c r="H477">
        <v>1</v>
      </c>
      <c r="I477">
        <v>0</v>
      </c>
      <c r="J477">
        <v>1</v>
      </c>
      <c r="K477">
        <v>30</v>
      </c>
      <c r="L477">
        <v>50</v>
      </c>
      <c r="M477">
        <v>28</v>
      </c>
      <c r="N477">
        <v>0.68</v>
      </c>
      <c r="O477">
        <f t="shared" si="14"/>
        <v>0</v>
      </c>
      <c r="P477">
        <f t="shared" si="15"/>
        <v>4</v>
      </c>
      <c r="Q477" s="2">
        <v>203</v>
      </c>
      <c r="R477" s="1">
        <v>45719</v>
      </c>
      <c r="S477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143.73000000000002</v>
      </c>
    </row>
    <row r="478" spans="1:19" x14ac:dyDescent="0.3">
      <c r="A478" t="s">
        <v>670</v>
      </c>
      <c r="B478" t="s">
        <v>197</v>
      </c>
      <c r="C478" t="s">
        <v>91</v>
      </c>
      <c r="D478">
        <v>40.634619999999998</v>
      </c>
      <c r="E478">
        <v>-74.113590000000002</v>
      </c>
      <c r="F478" t="s">
        <v>21</v>
      </c>
      <c r="G478">
        <v>1</v>
      </c>
      <c r="H478">
        <v>1</v>
      </c>
      <c r="I478">
        <v>1</v>
      </c>
      <c r="J478">
        <v>1</v>
      </c>
      <c r="K478">
        <v>30</v>
      </c>
      <c r="L478">
        <v>179</v>
      </c>
      <c r="M478">
        <v>8</v>
      </c>
      <c r="N478">
        <v>0.24</v>
      </c>
      <c r="O478">
        <f t="shared" si="14"/>
        <v>0</v>
      </c>
      <c r="P478">
        <f t="shared" si="15"/>
        <v>0</v>
      </c>
      <c r="Q478" s="2">
        <v>65</v>
      </c>
      <c r="R478" s="1">
        <v>45727</v>
      </c>
      <c r="S478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77.650000000000006</v>
      </c>
    </row>
    <row r="479" spans="1:19" x14ac:dyDescent="0.3">
      <c r="A479" t="s">
        <v>671</v>
      </c>
      <c r="B479" t="s">
        <v>45</v>
      </c>
      <c r="C479" t="s">
        <v>20</v>
      </c>
      <c r="D479">
        <v>40.740180000000002</v>
      </c>
      <c r="E479">
        <v>-73.99991</v>
      </c>
      <c r="F479" t="s">
        <v>21</v>
      </c>
      <c r="G479">
        <v>2</v>
      </c>
      <c r="H479">
        <v>1</v>
      </c>
      <c r="I479">
        <v>0</v>
      </c>
      <c r="J479">
        <v>1</v>
      </c>
      <c r="K479">
        <v>30</v>
      </c>
      <c r="L479">
        <v>243</v>
      </c>
      <c r="M479">
        <v>8</v>
      </c>
      <c r="N479">
        <v>0.34</v>
      </c>
      <c r="O479">
        <f t="shared" si="14"/>
        <v>0</v>
      </c>
      <c r="P479">
        <f t="shared" si="15"/>
        <v>4</v>
      </c>
      <c r="Q479" s="2">
        <v>170</v>
      </c>
      <c r="R479" s="1">
        <v>45745</v>
      </c>
      <c r="S479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154.99</v>
      </c>
    </row>
    <row r="480" spans="1:19" x14ac:dyDescent="0.3">
      <c r="A480" t="s">
        <v>672</v>
      </c>
      <c r="B480" t="s">
        <v>60</v>
      </c>
      <c r="C480" t="s">
        <v>17</v>
      </c>
      <c r="D480">
        <v>40.650860000000002</v>
      </c>
      <c r="E480">
        <v>-73.930909999999997</v>
      </c>
      <c r="F480" t="s">
        <v>21</v>
      </c>
      <c r="G480">
        <v>4</v>
      </c>
      <c r="H480">
        <v>1</v>
      </c>
      <c r="I480">
        <v>0</v>
      </c>
      <c r="J480">
        <v>1</v>
      </c>
      <c r="K480">
        <v>30</v>
      </c>
      <c r="L480">
        <v>180</v>
      </c>
      <c r="M480">
        <v>41</v>
      </c>
      <c r="N480">
        <v>1.05</v>
      </c>
      <c r="O480">
        <f t="shared" si="14"/>
        <v>0</v>
      </c>
      <c r="P480">
        <f t="shared" si="15"/>
        <v>2</v>
      </c>
      <c r="Q480" s="2">
        <v>120</v>
      </c>
      <c r="R480" s="1">
        <v>45741</v>
      </c>
      <c r="S480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165.01000000000005</v>
      </c>
    </row>
    <row r="481" spans="1:19" x14ac:dyDescent="0.3">
      <c r="A481" t="s">
        <v>673</v>
      </c>
      <c r="B481" t="s">
        <v>24</v>
      </c>
      <c r="C481" t="s">
        <v>20</v>
      </c>
      <c r="D481">
        <v>40.788870827036597</v>
      </c>
      <c r="E481">
        <v>-73.941472617429199</v>
      </c>
      <c r="F481" t="s">
        <v>18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228</v>
      </c>
      <c r="M481">
        <v>66</v>
      </c>
      <c r="N481">
        <v>1.61</v>
      </c>
      <c r="O481">
        <f t="shared" si="14"/>
        <v>1</v>
      </c>
      <c r="P481">
        <f t="shared" si="15"/>
        <v>4</v>
      </c>
      <c r="Q481" s="2">
        <v>185</v>
      </c>
      <c r="R481" s="1">
        <v>45740</v>
      </c>
      <c r="S481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190.46000000000004</v>
      </c>
    </row>
    <row r="482" spans="1:19" x14ac:dyDescent="0.3">
      <c r="A482" t="s">
        <v>674</v>
      </c>
      <c r="B482" t="s">
        <v>23</v>
      </c>
      <c r="C482" t="s">
        <v>17</v>
      </c>
      <c r="D482">
        <v>40.710120000000003</v>
      </c>
      <c r="E482">
        <v>-73.942279999999997</v>
      </c>
      <c r="F482" t="s">
        <v>21</v>
      </c>
      <c r="G482">
        <v>2</v>
      </c>
      <c r="H482">
        <v>1</v>
      </c>
      <c r="I482">
        <v>1</v>
      </c>
      <c r="J482">
        <v>1</v>
      </c>
      <c r="K482">
        <v>30</v>
      </c>
      <c r="L482">
        <v>63</v>
      </c>
      <c r="M482">
        <v>7</v>
      </c>
      <c r="N482">
        <v>0.2</v>
      </c>
      <c r="O482">
        <f t="shared" si="14"/>
        <v>0</v>
      </c>
      <c r="P482">
        <f t="shared" si="15"/>
        <v>2</v>
      </c>
      <c r="Q482" s="2">
        <v>179</v>
      </c>
      <c r="R482" s="1">
        <v>45729</v>
      </c>
      <c r="S482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131.73000000000002</v>
      </c>
    </row>
    <row r="483" spans="1:19" x14ac:dyDescent="0.3">
      <c r="A483" t="s">
        <v>675</v>
      </c>
      <c r="B483" t="s">
        <v>43</v>
      </c>
      <c r="C483" t="s">
        <v>20</v>
      </c>
      <c r="D483">
        <v>40.721220000000002</v>
      </c>
      <c r="E483">
        <v>-73.993200000000002</v>
      </c>
      <c r="F483" t="s">
        <v>21</v>
      </c>
      <c r="G483">
        <v>2</v>
      </c>
      <c r="H483">
        <v>1</v>
      </c>
      <c r="I483">
        <v>0</v>
      </c>
      <c r="J483">
        <v>1</v>
      </c>
      <c r="K483">
        <v>30</v>
      </c>
      <c r="L483">
        <v>185</v>
      </c>
      <c r="M483">
        <v>12</v>
      </c>
      <c r="N483">
        <v>0.45</v>
      </c>
      <c r="O483">
        <f t="shared" si="14"/>
        <v>0</v>
      </c>
      <c r="P483">
        <f t="shared" si="15"/>
        <v>4</v>
      </c>
      <c r="Q483" s="2">
        <v>126</v>
      </c>
      <c r="R483" s="1">
        <v>45746</v>
      </c>
      <c r="S483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157.31</v>
      </c>
    </row>
    <row r="484" spans="1:19" x14ac:dyDescent="0.3">
      <c r="A484" t="s">
        <v>676</v>
      </c>
      <c r="B484" t="s">
        <v>56</v>
      </c>
      <c r="C484" t="s">
        <v>17</v>
      </c>
      <c r="D484">
        <v>40.673549999999999</v>
      </c>
      <c r="E484">
        <v>-73.928309999999996</v>
      </c>
      <c r="F484" t="s">
        <v>18</v>
      </c>
      <c r="G484">
        <v>1</v>
      </c>
      <c r="H484">
        <v>1</v>
      </c>
      <c r="I484">
        <v>1</v>
      </c>
      <c r="J484">
        <v>1</v>
      </c>
      <c r="K484">
        <v>3</v>
      </c>
      <c r="L484">
        <v>211</v>
      </c>
      <c r="M484">
        <v>45</v>
      </c>
      <c r="N484">
        <v>1.1599999999999999</v>
      </c>
      <c r="O484">
        <f t="shared" si="14"/>
        <v>1</v>
      </c>
      <c r="P484">
        <f t="shared" si="15"/>
        <v>2</v>
      </c>
      <c r="Q484" s="2">
        <v>120</v>
      </c>
      <c r="R484" s="1">
        <v>45726</v>
      </c>
      <c r="S484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153.97999999999999</v>
      </c>
    </row>
    <row r="485" spans="1:19" x14ac:dyDescent="0.3">
      <c r="A485" t="s">
        <v>678</v>
      </c>
      <c r="B485" t="s">
        <v>42</v>
      </c>
      <c r="C485" t="s">
        <v>17</v>
      </c>
      <c r="D485">
        <v>40.73028</v>
      </c>
      <c r="E485">
        <v>-73.955780000000004</v>
      </c>
      <c r="F485" t="s">
        <v>18</v>
      </c>
      <c r="G485">
        <v>2</v>
      </c>
      <c r="H485">
        <v>1</v>
      </c>
      <c r="I485">
        <v>1</v>
      </c>
      <c r="J485">
        <v>1</v>
      </c>
      <c r="K485">
        <v>30</v>
      </c>
      <c r="L485">
        <v>278</v>
      </c>
      <c r="M485">
        <v>1</v>
      </c>
      <c r="N485">
        <v>0.48</v>
      </c>
      <c r="O485">
        <f t="shared" si="14"/>
        <v>1</v>
      </c>
      <c r="P485">
        <f t="shared" si="15"/>
        <v>2</v>
      </c>
      <c r="Q485" s="2">
        <v>75</v>
      </c>
      <c r="R485" s="1">
        <v>45717</v>
      </c>
      <c r="S485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79.830000000000013</v>
      </c>
    </row>
    <row r="486" spans="1:19" x14ac:dyDescent="0.3">
      <c r="A486" t="s">
        <v>679</v>
      </c>
      <c r="B486" t="s">
        <v>42</v>
      </c>
      <c r="C486" t="s">
        <v>17</v>
      </c>
      <c r="D486" s="3" t="s">
        <v>677</v>
      </c>
      <c r="E486">
        <v>-73.955780029296804</v>
      </c>
      <c r="F486" t="s">
        <v>18</v>
      </c>
      <c r="G486">
        <v>2</v>
      </c>
      <c r="H486">
        <v>1</v>
      </c>
      <c r="I486">
        <v>1</v>
      </c>
      <c r="J486">
        <v>1</v>
      </c>
      <c r="K486">
        <v>30</v>
      </c>
      <c r="L486">
        <v>322</v>
      </c>
      <c r="M486">
        <v>4</v>
      </c>
      <c r="N486">
        <v>0.11</v>
      </c>
      <c r="O486">
        <f t="shared" si="14"/>
        <v>1</v>
      </c>
      <c r="P486">
        <f t="shared" si="15"/>
        <v>2</v>
      </c>
      <c r="Q486" s="2">
        <v>77</v>
      </c>
      <c r="R486" s="1">
        <v>45723</v>
      </c>
      <c r="S486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78.070000000000022</v>
      </c>
    </row>
    <row r="487" spans="1:19" x14ac:dyDescent="0.3">
      <c r="A487" t="s">
        <v>680</v>
      </c>
      <c r="B487" t="s">
        <v>36</v>
      </c>
      <c r="C487" t="s">
        <v>20</v>
      </c>
      <c r="D487" s="3" t="s">
        <v>636</v>
      </c>
      <c r="E487">
        <v>-73.966262817382798</v>
      </c>
      <c r="F487" t="s">
        <v>21</v>
      </c>
      <c r="G487">
        <v>3</v>
      </c>
      <c r="H487">
        <v>1</v>
      </c>
      <c r="I487">
        <v>0</v>
      </c>
      <c r="J487">
        <v>1</v>
      </c>
      <c r="K487">
        <v>30</v>
      </c>
      <c r="L487">
        <v>278</v>
      </c>
      <c r="M487">
        <v>6</v>
      </c>
      <c r="N487">
        <v>0.16</v>
      </c>
      <c r="O487">
        <f t="shared" si="14"/>
        <v>0</v>
      </c>
      <c r="P487">
        <f t="shared" si="15"/>
        <v>4</v>
      </c>
      <c r="Q487" s="2">
        <v>242</v>
      </c>
      <c r="R487" s="1">
        <v>45717</v>
      </c>
      <c r="S487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172.57</v>
      </c>
    </row>
    <row r="488" spans="1:19" x14ac:dyDescent="0.3">
      <c r="A488" t="s">
        <v>681</v>
      </c>
      <c r="B488" t="s">
        <v>36</v>
      </c>
      <c r="C488" t="s">
        <v>20</v>
      </c>
      <c r="D488">
        <v>40.762419999999999</v>
      </c>
      <c r="E488">
        <v>-73.961420000000004</v>
      </c>
      <c r="F488" t="s">
        <v>21</v>
      </c>
      <c r="G488">
        <v>2</v>
      </c>
      <c r="H488">
        <v>1</v>
      </c>
      <c r="I488">
        <v>1</v>
      </c>
      <c r="J488">
        <v>1</v>
      </c>
      <c r="K488">
        <v>30</v>
      </c>
      <c r="L488">
        <v>230</v>
      </c>
      <c r="M488">
        <v>10</v>
      </c>
      <c r="N488">
        <v>0.28000000000000003</v>
      </c>
      <c r="O488">
        <f t="shared" si="14"/>
        <v>0</v>
      </c>
      <c r="P488">
        <f t="shared" si="15"/>
        <v>4</v>
      </c>
      <c r="Q488" s="2">
        <v>115</v>
      </c>
      <c r="R488" s="1">
        <v>45725</v>
      </c>
      <c r="S488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155.51000000000002</v>
      </c>
    </row>
    <row r="489" spans="1:19" x14ac:dyDescent="0.3">
      <c r="A489" t="s">
        <v>682</v>
      </c>
      <c r="B489" t="s">
        <v>23</v>
      </c>
      <c r="C489" t="s">
        <v>17</v>
      </c>
      <c r="D489">
        <v>40.718890000000002</v>
      </c>
      <c r="E489">
        <v>-73.940550000000002</v>
      </c>
      <c r="F489" t="s">
        <v>21</v>
      </c>
      <c r="G489">
        <v>3</v>
      </c>
      <c r="H489">
        <v>1</v>
      </c>
      <c r="I489">
        <v>1</v>
      </c>
      <c r="J489">
        <v>1</v>
      </c>
      <c r="K489">
        <v>30</v>
      </c>
      <c r="L489">
        <v>275</v>
      </c>
      <c r="M489">
        <v>12</v>
      </c>
      <c r="N489">
        <v>0.32</v>
      </c>
      <c r="O489">
        <f t="shared" si="14"/>
        <v>0</v>
      </c>
      <c r="P489">
        <f t="shared" si="15"/>
        <v>2</v>
      </c>
      <c r="Q489" s="2">
        <v>100</v>
      </c>
      <c r="R489" s="1">
        <v>45747</v>
      </c>
      <c r="S489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142.23000000000002</v>
      </c>
    </row>
    <row r="490" spans="1:19" x14ac:dyDescent="0.3">
      <c r="A490" t="s">
        <v>683</v>
      </c>
      <c r="B490" t="s">
        <v>53</v>
      </c>
      <c r="C490" t="s">
        <v>20</v>
      </c>
      <c r="D490">
        <v>40.782879999999999</v>
      </c>
      <c r="E490">
        <v>-73.983540000000005</v>
      </c>
      <c r="F490" t="s">
        <v>21</v>
      </c>
      <c r="G490">
        <v>4</v>
      </c>
      <c r="H490">
        <v>2</v>
      </c>
      <c r="I490">
        <v>2</v>
      </c>
      <c r="J490">
        <v>2</v>
      </c>
      <c r="K490">
        <v>30</v>
      </c>
      <c r="L490">
        <v>176</v>
      </c>
      <c r="M490">
        <v>8</v>
      </c>
      <c r="N490">
        <v>0.22</v>
      </c>
      <c r="O490">
        <f t="shared" si="14"/>
        <v>0</v>
      </c>
      <c r="P490">
        <f t="shared" si="15"/>
        <v>4</v>
      </c>
      <c r="Q490" s="2">
        <v>150</v>
      </c>
      <c r="R490" s="1">
        <v>45747</v>
      </c>
      <c r="S490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206.85000000000002</v>
      </c>
    </row>
    <row r="491" spans="1:19" x14ac:dyDescent="0.3">
      <c r="A491" t="s">
        <v>684</v>
      </c>
      <c r="B491" t="s">
        <v>60</v>
      </c>
      <c r="C491" t="s">
        <v>17</v>
      </c>
      <c r="D491">
        <v>40.644869999999997</v>
      </c>
      <c r="E491">
        <v>-73.950159999999997</v>
      </c>
      <c r="F491" t="s">
        <v>21</v>
      </c>
      <c r="G491">
        <v>2</v>
      </c>
      <c r="H491">
        <v>1</v>
      </c>
      <c r="I491">
        <v>1</v>
      </c>
      <c r="J491">
        <v>2</v>
      </c>
      <c r="K491">
        <v>30</v>
      </c>
      <c r="L491">
        <v>55</v>
      </c>
      <c r="M491">
        <v>12</v>
      </c>
      <c r="N491">
        <v>0.39</v>
      </c>
      <c r="O491">
        <f t="shared" si="14"/>
        <v>0</v>
      </c>
      <c r="P491">
        <f t="shared" si="15"/>
        <v>2</v>
      </c>
      <c r="Q491" s="2">
        <v>98</v>
      </c>
      <c r="R491" s="1">
        <v>45747</v>
      </c>
      <c r="S491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132.05000000000001</v>
      </c>
    </row>
    <row r="492" spans="1:19" x14ac:dyDescent="0.3">
      <c r="A492" t="s">
        <v>685</v>
      </c>
      <c r="B492" t="s">
        <v>53</v>
      </c>
      <c r="C492" t="s">
        <v>20</v>
      </c>
      <c r="D492">
        <v>40.783079999999998</v>
      </c>
      <c r="E492">
        <v>-73.984200000000001</v>
      </c>
      <c r="F492" t="s">
        <v>21</v>
      </c>
      <c r="G492">
        <v>2</v>
      </c>
      <c r="H492">
        <v>1</v>
      </c>
      <c r="I492">
        <v>1</v>
      </c>
      <c r="J492">
        <v>1</v>
      </c>
      <c r="K492">
        <v>30</v>
      </c>
      <c r="L492">
        <v>305</v>
      </c>
      <c r="M492">
        <v>19</v>
      </c>
      <c r="N492">
        <v>0.5</v>
      </c>
      <c r="O492">
        <f t="shared" si="14"/>
        <v>0</v>
      </c>
      <c r="P492">
        <f t="shared" si="15"/>
        <v>4</v>
      </c>
      <c r="Q492" s="2">
        <v>155</v>
      </c>
      <c r="R492" s="1">
        <v>45747</v>
      </c>
      <c r="S492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152.51000000000002</v>
      </c>
    </row>
    <row r="493" spans="1:19" x14ac:dyDescent="0.3">
      <c r="A493" t="s">
        <v>686</v>
      </c>
      <c r="B493" t="s">
        <v>53</v>
      </c>
      <c r="C493" t="s">
        <v>20</v>
      </c>
      <c r="D493">
        <v>40.782519999999998</v>
      </c>
      <c r="E493">
        <v>-73.983680000000007</v>
      </c>
      <c r="F493" t="s">
        <v>21</v>
      </c>
      <c r="G493">
        <v>2</v>
      </c>
      <c r="H493">
        <v>1</v>
      </c>
      <c r="I493">
        <v>1</v>
      </c>
      <c r="J493">
        <v>1</v>
      </c>
      <c r="K493">
        <v>30</v>
      </c>
      <c r="L493">
        <v>112</v>
      </c>
      <c r="M493">
        <v>12</v>
      </c>
      <c r="N493">
        <v>0.33</v>
      </c>
      <c r="O493">
        <f t="shared" si="14"/>
        <v>0</v>
      </c>
      <c r="P493">
        <f t="shared" si="15"/>
        <v>4</v>
      </c>
      <c r="Q493" s="2">
        <v>135</v>
      </c>
      <c r="R493" s="1">
        <v>45742</v>
      </c>
      <c r="S493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160.23000000000002</v>
      </c>
    </row>
    <row r="494" spans="1:19" x14ac:dyDescent="0.3">
      <c r="A494" t="s">
        <v>687</v>
      </c>
      <c r="B494" t="s">
        <v>56</v>
      </c>
      <c r="C494" t="s">
        <v>17</v>
      </c>
      <c r="D494">
        <v>40.670819999999999</v>
      </c>
      <c r="E494">
        <v>-73.957840000000004</v>
      </c>
      <c r="F494" t="s">
        <v>18</v>
      </c>
      <c r="G494">
        <v>1</v>
      </c>
      <c r="H494">
        <v>2</v>
      </c>
      <c r="I494">
        <v>1</v>
      </c>
      <c r="J494">
        <v>1</v>
      </c>
      <c r="K494">
        <v>30</v>
      </c>
      <c r="L494">
        <v>357</v>
      </c>
      <c r="M494">
        <v>12</v>
      </c>
      <c r="N494">
        <v>0.36</v>
      </c>
      <c r="O494">
        <f t="shared" si="14"/>
        <v>1</v>
      </c>
      <c r="P494">
        <f t="shared" si="15"/>
        <v>2</v>
      </c>
      <c r="Q494" s="2">
        <v>160</v>
      </c>
      <c r="R494" s="1">
        <v>45733</v>
      </c>
      <c r="S494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68.91</v>
      </c>
    </row>
    <row r="495" spans="1:19" x14ac:dyDescent="0.3">
      <c r="A495" t="s">
        <v>688</v>
      </c>
      <c r="B495" t="s">
        <v>41</v>
      </c>
      <c r="C495" t="s">
        <v>20</v>
      </c>
      <c r="D495">
        <v>40.72334</v>
      </c>
      <c r="E495">
        <v>-73.981589999999997</v>
      </c>
      <c r="F495" t="s">
        <v>18</v>
      </c>
      <c r="G495">
        <v>1</v>
      </c>
      <c r="H495">
        <v>1</v>
      </c>
      <c r="I495">
        <v>1</v>
      </c>
      <c r="J495">
        <v>1</v>
      </c>
      <c r="K495">
        <v>30</v>
      </c>
      <c r="L495">
        <v>292</v>
      </c>
      <c r="M495">
        <v>2</v>
      </c>
      <c r="N495">
        <v>0.09</v>
      </c>
      <c r="O495">
        <f t="shared" si="14"/>
        <v>1</v>
      </c>
      <c r="P495">
        <f t="shared" si="15"/>
        <v>4</v>
      </c>
      <c r="Q495" s="2">
        <v>67</v>
      </c>
      <c r="R495" s="1">
        <v>45746</v>
      </c>
      <c r="S495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90.75</v>
      </c>
    </row>
    <row r="496" spans="1:19" x14ac:dyDescent="0.3">
      <c r="A496" t="s">
        <v>689</v>
      </c>
      <c r="B496" t="s">
        <v>29</v>
      </c>
      <c r="C496" t="s">
        <v>30</v>
      </c>
      <c r="D496" s="3" t="s">
        <v>690</v>
      </c>
      <c r="E496">
        <v>-73.906349182128906</v>
      </c>
      <c r="F496" t="s">
        <v>18</v>
      </c>
      <c r="G496">
        <v>1</v>
      </c>
      <c r="H496">
        <v>1</v>
      </c>
      <c r="I496">
        <v>1</v>
      </c>
      <c r="J496">
        <v>1</v>
      </c>
      <c r="K496">
        <v>2</v>
      </c>
      <c r="L496">
        <v>50</v>
      </c>
      <c r="M496">
        <v>75</v>
      </c>
      <c r="N496">
        <v>1.99</v>
      </c>
      <c r="O496">
        <f t="shared" si="14"/>
        <v>1</v>
      </c>
      <c r="P496">
        <f t="shared" si="15"/>
        <v>0</v>
      </c>
      <c r="Q496" s="2">
        <v>169</v>
      </c>
      <c r="R496" s="1">
        <v>45739</v>
      </c>
      <c r="S496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133.31</v>
      </c>
    </row>
    <row r="497" spans="1:19" x14ac:dyDescent="0.3">
      <c r="A497" t="s">
        <v>691</v>
      </c>
      <c r="B497" t="s">
        <v>41</v>
      </c>
      <c r="C497" t="s">
        <v>20</v>
      </c>
      <c r="D497">
        <v>40.723080000000003</v>
      </c>
      <c r="E497">
        <v>-73.981480000000005</v>
      </c>
      <c r="F497" t="s">
        <v>18</v>
      </c>
      <c r="G497">
        <v>1</v>
      </c>
      <c r="H497">
        <v>1</v>
      </c>
      <c r="I497">
        <v>1</v>
      </c>
      <c r="J497">
        <v>1</v>
      </c>
      <c r="K497">
        <v>30</v>
      </c>
      <c r="L497">
        <v>330</v>
      </c>
      <c r="M497">
        <v>2</v>
      </c>
      <c r="N497">
        <v>0.06</v>
      </c>
      <c r="O497">
        <f t="shared" si="14"/>
        <v>1</v>
      </c>
      <c r="P497">
        <f t="shared" si="15"/>
        <v>4</v>
      </c>
      <c r="Q497" s="2">
        <v>68</v>
      </c>
      <c r="R497" s="1">
        <v>45747</v>
      </c>
      <c r="S497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89.23</v>
      </c>
    </row>
    <row r="498" spans="1:19" x14ac:dyDescent="0.3">
      <c r="A498" t="s">
        <v>692</v>
      </c>
      <c r="B498" t="s">
        <v>36</v>
      </c>
      <c r="C498" t="s">
        <v>20</v>
      </c>
      <c r="D498">
        <v>40.785330000000002</v>
      </c>
      <c r="E498">
        <v>-73.952150000000003</v>
      </c>
      <c r="F498" t="s">
        <v>21</v>
      </c>
      <c r="G498">
        <v>4</v>
      </c>
      <c r="H498">
        <v>1</v>
      </c>
      <c r="I498">
        <v>2</v>
      </c>
      <c r="J498">
        <v>3</v>
      </c>
      <c r="K498">
        <v>30</v>
      </c>
      <c r="L498">
        <v>282</v>
      </c>
      <c r="M498">
        <v>10</v>
      </c>
      <c r="N498">
        <v>0.27</v>
      </c>
      <c r="O498">
        <f t="shared" si="14"/>
        <v>0</v>
      </c>
      <c r="P498">
        <f t="shared" si="15"/>
        <v>4</v>
      </c>
      <c r="Q498" s="2">
        <v>155</v>
      </c>
      <c r="R498" s="1">
        <v>45717</v>
      </c>
      <c r="S498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191.39000000000004</v>
      </c>
    </row>
    <row r="499" spans="1:19" x14ac:dyDescent="0.3">
      <c r="A499" t="s">
        <v>693</v>
      </c>
      <c r="B499" t="s">
        <v>23</v>
      </c>
      <c r="C499" t="s">
        <v>17</v>
      </c>
      <c r="D499">
        <v>40.712919999999997</v>
      </c>
      <c r="E499">
        <v>-73.962249999999997</v>
      </c>
      <c r="F499" t="s">
        <v>21</v>
      </c>
      <c r="G499">
        <v>2</v>
      </c>
      <c r="H499">
        <v>1</v>
      </c>
      <c r="I499">
        <v>1</v>
      </c>
      <c r="J499">
        <v>1</v>
      </c>
      <c r="K499">
        <v>30</v>
      </c>
      <c r="L499">
        <v>263</v>
      </c>
      <c r="M499">
        <v>7</v>
      </c>
      <c r="N499">
        <v>0.21</v>
      </c>
      <c r="O499">
        <f t="shared" si="14"/>
        <v>0</v>
      </c>
      <c r="P499">
        <f t="shared" si="15"/>
        <v>2</v>
      </c>
      <c r="Q499" s="2">
        <v>175</v>
      </c>
      <c r="R499" s="1">
        <v>45717</v>
      </c>
      <c r="S499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123.73000000000002</v>
      </c>
    </row>
    <row r="500" spans="1:19" x14ac:dyDescent="0.3">
      <c r="A500" t="s">
        <v>694</v>
      </c>
      <c r="B500" t="s">
        <v>150</v>
      </c>
      <c r="C500" t="s">
        <v>17</v>
      </c>
      <c r="D500">
        <v>40.613970000000002</v>
      </c>
      <c r="E500">
        <v>-73.981089999999995</v>
      </c>
      <c r="F500" t="s">
        <v>18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175</v>
      </c>
      <c r="M500">
        <v>37</v>
      </c>
      <c r="N500">
        <v>0.94</v>
      </c>
      <c r="O500">
        <f t="shared" si="14"/>
        <v>1</v>
      </c>
      <c r="P500">
        <f t="shared" si="15"/>
        <v>2</v>
      </c>
      <c r="Q500" s="2">
        <v>114</v>
      </c>
      <c r="R500" s="1">
        <v>45732</v>
      </c>
      <c r="S500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162.12000000000003</v>
      </c>
    </row>
    <row r="501" spans="1:19" x14ac:dyDescent="0.3">
      <c r="A501" t="s">
        <v>695</v>
      </c>
      <c r="B501" t="s">
        <v>196</v>
      </c>
      <c r="C501" t="s">
        <v>17</v>
      </c>
      <c r="D501" s="3" t="s">
        <v>696</v>
      </c>
      <c r="E501">
        <v>-73.874540161829003</v>
      </c>
      <c r="F501" t="s">
        <v>21</v>
      </c>
      <c r="G501">
        <v>4</v>
      </c>
      <c r="H501">
        <v>1</v>
      </c>
      <c r="I501">
        <v>2</v>
      </c>
      <c r="J501">
        <v>2</v>
      </c>
      <c r="K501">
        <v>4</v>
      </c>
      <c r="L501">
        <v>229</v>
      </c>
      <c r="M501">
        <v>46</v>
      </c>
      <c r="N501">
        <v>1.21</v>
      </c>
      <c r="O501">
        <f t="shared" si="14"/>
        <v>0</v>
      </c>
      <c r="P501">
        <f t="shared" si="15"/>
        <v>2</v>
      </c>
      <c r="Q501" s="2">
        <v>183</v>
      </c>
      <c r="R501" s="1">
        <v>45738</v>
      </c>
      <c r="S501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250.15000000000003</v>
      </c>
    </row>
    <row r="502" spans="1:19" x14ac:dyDescent="0.3">
      <c r="A502" t="s">
        <v>697</v>
      </c>
      <c r="B502" t="s">
        <v>27</v>
      </c>
      <c r="C502" t="s">
        <v>17</v>
      </c>
      <c r="D502">
        <v>40.688079999999999</v>
      </c>
      <c r="E502">
        <v>-73.953209999999999</v>
      </c>
      <c r="F502" t="s">
        <v>21</v>
      </c>
      <c r="G502">
        <v>4</v>
      </c>
      <c r="H502">
        <v>1</v>
      </c>
      <c r="I502">
        <v>1</v>
      </c>
      <c r="J502">
        <v>2</v>
      </c>
      <c r="K502">
        <v>30</v>
      </c>
      <c r="L502">
        <v>256</v>
      </c>
      <c r="M502">
        <v>13</v>
      </c>
      <c r="N502">
        <v>0.34</v>
      </c>
      <c r="O502">
        <f t="shared" si="14"/>
        <v>0</v>
      </c>
      <c r="P502">
        <f t="shared" si="15"/>
        <v>2</v>
      </c>
      <c r="Q502" s="2">
        <v>125</v>
      </c>
      <c r="R502" s="1">
        <v>45717</v>
      </c>
      <c r="S502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161.97000000000003</v>
      </c>
    </row>
    <row r="503" spans="1:19" x14ac:dyDescent="0.3">
      <c r="A503" t="s">
        <v>698</v>
      </c>
      <c r="B503" t="s">
        <v>27</v>
      </c>
      <c r="C503" t="s">
        <v>17</v>
      </c>
      <c r="D503">
        <v>40.686870999999996</v>
      </c>
      <c r="E503">
        <v>-73.936645999999996</v>
      </c>
      <c r="F503" t="s">
        <v>21</v>
      </c>
      <c r="G503">
        <v>2</v>
      </c>
      <c r="H503">
        <v>1</v>
      </c>
      <c r="I503">
        <v>1</v>
      </c>
      <c r="J503">
        <v>1</v>
      </c>
      <c r="K503">
        <v>30</v>
      </c>
      <c r="L503">
        <v>110</v>
      </c>
      <c r="M503">
        <v>16</v>
      </c>
      <c r="N503">
        <v>0.43</v>
      </c>
      <c r="O503">
        <f t="shared" si="14"/>
        <v>0</v>
      </c>
      <c r="P503">
        <f t="shared" si="15"/>
        <v>2</v>
      </c>
      <c r="Q503" s="2">
        <v>65</v>
      </c>
      <c r="R503" s="1">
        <v>45717</v>
      </c>
      <c r="S503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129.85000000000002</v>
      </c>
    </row>
    <row r="504" spans="1:19" x14ac:dyDescent="0.3">
      <c r="A504" t="s">
        <v>699</v>
      </c>
      <c r="B504" t="s">
        <v>27</v>
      </c>
      <c r="C504" t="s">
        <v>17</v>
      </c>
      <c r="D504">
        <v>40.682659999999998</v>
      </c>
      <c r="E504">
        <v>-73.923699999999997</v>
      </c>
      <c r="F504" t="s">
        <v>18</v>
      </c>
      <c r="G504">
        <v>2</v>
      </c>
      <c r="H504">
        <v>1</v>
      </c>
      <c r="I504">
        <v>2</v>
      </c>
      <c r="J504">
        <v>3</v>
      </c>
      <c r="K504">
        <v>4</v>
      </c>
      <c r="L504">
        <v>169</v>
      </c>
      <c r="M504">
        <v>55</v>
      </c>
      <c r="N504">
        <v>1.43</v>
      </c>
      <c r="O504">
        <f t="shared" si="14"/>
        <v>1</v>
      </c>
      <c r="P504">
        <f t="shared" si="15"/>
        <v>2</v>
      </c>
      <c r="Q504" s="2">
        <v>161</v>
      </c>
      <c r="R504" s="1">
        <v>45741</v>
      </c>
      <c r="S504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171.29000000000005</v>
      </c>
    </row>
    <row r="505" spans="1:19" x14ac:dyDescent="0.3">
      <c r="A505" t="s">
        <v>700</v>
      </c>
      <c r="B505" t="s">
        <v>28</v>
      </c>
      <c r="C505" t="s">
        <v>20</v>
      </c>
      <c r="D505">
        <v>40.814709999999998</v>
      </c>
      <c r="E505">
        <v>-73.937740000000005</v>
      </c>
      <c r="F505" t="s">
        <v>21</v>
      </c>
      <c r="G505">
        <v>1</v>
      </c>
      <c r="H505">
        <v>1</v>
      </c>
      <c r="I505">
        <v>0</v>
      </c>
      <c r="J505">
        <v>1</v>
      </c>
      <c r="K505">
        <v>30</v>
      </c>
      <c r="L505">
        <v>137</v>
      </c>
      <c r="M505">
        <v>13</v>
      </c>
      <c r="N505">
        <v>0.34</v>
      </c>
      <c r="O505">
        <f t="shared" si="14"/>
        <v>0</v>
      </c>
      <c r="P505">
        <f t="shared" si="15"/>
        <v>4</v>
      </c>
      <c r="Q505" s="2">
        <v>76</v>
      </c>
      <c r="R505" s="1">
        <v>45747</v>
      </c>
      <c r="S505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140.25</v>
      </c>
    </row>
    <row r="506" spans="1:19" x14ac:dyDescent="0.3">
      <c r="A506" t="s">
        <v>701</v>
      </c>
      <c r="B506" t="s">
        <v>61</v>
      </c>
      <c r="C506" t="s">
        <v>30</v>
      </c>
      <c r="D506">
        <v>40.760770000000001</v>
      </c>
      <c r="E506">
        <v>-73.925160000000005</v>
      </c>
      <c r="F506" t="s">
        <v>18</v>
      </c>
      <c r="G506">
        <v>2</v>
      </c>
      <c r="H506">
        <v>1</v>
      </c>
      <c r="I506">
        <v>1</v>
      </c>
      <c r="J506">
        <v>1</v>
      </c>
      <c r="K506">
        <v>2</v>
      </c>
      <c r="L506">
        <v>318</v>
      </c>
      <c r="M506">
        <v>87</v>
      </c>
      <c r="N506">
        <v>2.23</v>
      </c>
      <c r="O506">
        <f t="shared" si="14"/>
        <v>1</v>
      </c>
      <c r="P506">
        <f t="shared" si="15"/>
        <v>0</v>
      </c>
      <c r="Q506" s="2">
        <v>175</v>
      </c>
      <c r="R506" s="1">
        <v>45736</v>
      </c>
      <c r="S506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141.57000000000005</v>
      </c>
    </row>
    <row r="507" spans="1:19" x14ac:dyDescent="0.3">
      <c r="A507" t="s">
        <v>702</v>
      </c>
      <c r="B507" t="s">
        <v>27</v>
      </c>
      <c r="C507" t="s">
        <v>17</v>
      </c>
      <c r="D507">
        <v>40.693190000000001</v>
      </c>
      <c r="E507">
        <v>-73.940020000000004</v>
      </c>
      <c r="F507" t="s">
        <v>18</v>
      </c>
      <c r="G507">
        <v>1</v>
      </c>
      <c r="H507">
        <v>1</v>
      </c>
      <c r="I507">
        <v>1</v>
      </c>
      <c r="J507">
        <v>1</v>
      </c>
      <c r="K507">
        <v>30</v>
      </c>
      <c r="L507">
        <v>239</v>
      </c>
      <c r="M507">
        <v>13</v>
      </c>
      <c r="N507">
        <v>0.35</v>
      </c>
      <c r="O507">
        <f t="shared" si="14"/>
        <v>1</v>
      </c>
      <c r="P507">
        <f t="shared" si="15"/>
        <v>2</v>
      </c>
      <c r="Q507" s="2">
        <v>67</v>
      </c>
      <c r="R507" s="1">
        <v>45726</v>
      </c>
      <c r="S507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62.410000000000004</v>
      </c>
    </row>
    <row r="508" spans="1:19" x14ac:dyDescent="0.3">
      <c r="A508" t="s">
        <v>703</v>
      </c>
      <c r="B508" t="s">
        <v>113</v>
      </c>
      <c r="C508" t="s">
        <v>30</v>
      </c>
      <c r="D508">
        <v>40.760869999999997</v>
      </c>
      <c r="E508">
        <v>-73.802040000000005</v>
      </c>
      <c r="F508" t="s">
        <v>18</v>
      </c>
      <c r="G508">
        <v>1</v>
      </c>
      <c r="H508">
        <v>1</v>
      </c>
      <c r="I508">
        <v>1</v>
      </c>
      <c r="J508">
        <v>1</v>
      </c>
      <c r="K508">
        <v>30</v>
      </c>
      <c r="L508">
        <v>334</v>
      </c>
      <c r="M508">
        <v>15</v>
      </c>
      <c r="N508">
        <v>0.39</v>
      </c>
      <c r="O508">
        <f t="shared" si="14"/>
        <v>1</v>
      </c>
      <c r="P508">
        <f t="shared" si="15"/>
        <v>0</v>
      </c>
      <c r="Q508" s="2">
        <v>70</v>
      </c>
      <c r="R508" s="1">
        <v>45723</v>
      </c>
      <c r="S508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28.150000000000006</v>
      </c>
    </row>
    <row r="509" spans="1:19" x14ac:dyDescent="0.3">
      <c r="A509" t="s">
        <v>704</v>
      </c>
      <c r="B509" t="s">
        <v>27</v>
      </c>
      <c r="C509" t="s">
        <v>17</v>
      </c>
      <c r="D509">
        <v>40.682169999999999</v>
      </c>
      <c r="E509">
        <v>-73.938800000000001</v>
      </c>
      <c r="F509" t="s">
        <v>18</v>
      </c>
      <c r="G509">
        <v>2</v>
      </c>
      <c r="H509">
        <v>1</v>
      </c>
      <c r="I509">
        <v>1</v>
      </c>
      <c r="J509">
        <v>1</v>
      </c>
      <c r="K509">
        <v>2</v>
      </c>
      <c r="L509">
        <v>339</v>
      </c>
      <c r="M509">
        <v>104</v>
      </c>
      <c r="N509">
        <v>2.66</v>
      </c>
      <c r="O509">
        <f t="shared" si="14"/>
        <v>1</v>
      </c>
      <c r="P509">
        <f t="shared" si="15"/>
        <v>2</v>
      </c>
      <c r="Q509" s="2">
        <v>104</v>
      </c>
      <c r="R509" s="1">
        <v>45741</v>
      </c>
      <c r="S509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171.19000000000003</v>
      </c>
    </row>
    <row r="510" spans="1:19" x14ac:dyDescent="0.3">
      <c r="A510" t="s">
        <v>705</v>
      </c>
      <c r="B510" t="s">
        <v>160</v>
      </c>
      <c r="C510" t="s">
        <v>31</v>
      </c>
      <c r="D510">
        <v>40.889719999999997</v>
      </c>
      <c r="E510">
        <v>-73.858090000000004</v>
      </c>
      <c r="F510" t="s">
        <v>18</v>
      </c>
      <c r="G510">
        <v>1</v>
      </c>
      <c r="H510">
        <v>1</v>
      </c>
      <c r="I510">
        <v>1</v>
      </c>
      <c r="J510">
        <v>1</v>
      </c>
      <c r="K510">
        <v>30</v>
      </c>
      <c r="L510">
        <v>78</v>
      </c>
      <c r="M510">
        <v>49</v>
      </c>
      <c r="N510">
        <v>1.37</v>
      </c>
      <c r="O510">
        <f t="shared" si="14"/>
        <v>1</v>
      </c>
      <c r="P510">
        <f t="shared" si="15"/>
        <v>0</v>
      </c>
      <c r="Q510" s="2">
        <v>59</v>
      </c>
      <c r="R510" s="1">
        <v>45730</v>
      </c>
      <c r="S510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38.39</v>
      </c>
    </row>
    <row r="511" spans="1:19" x14ac:dyDescent="0.3">
      <c r="A511" t="s">
        <v>706</v>
      </c>
      <c r="B511" t="s">
        <v>132</v>
      </c>
      <c r="C511" t="s">
        <v>17</v>
      </c>
      <c r="D511">
        <v>40.63129</v>
      </c>
      <c r="E511">
        <v>-73.910319999999999</v>
      </c>
      <c r="F511" t="s">
        <v>18</v>
      </c>
      <c r="G511">
        <v>2</v>
      </c>
      <c r="H511">
        <v>1</v>
      </c>
      <c r="I511">
        <v>1</v>
      </c>
      <c r="J511">
        <v>2</v>
      </c>
      <c r="K511">
        <v>30</v>
      </c>
      <c r="L511">
        <v>364</v>
      </c>
      <c r="M511">
        <v>6</v>
      </c>
      <c r="N511">
        <v>0.16</v>
      </c>
      <c r="O511">
        <f t="shared" si="14"/>
        <v>1</v>
      </c>
      <c r="P511">
        <f t="shared" si="15"/>
        <v>2</v>
      </c>
      <c r="Q511" s="2">
        <v>93</v>
      </c>
      <c r="R511" s="1">
        <v>45743</v>
      </c>
      <c r="S511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76.390000000000015</v>
      </c>
    </row>
    <row r="512" spans="1:19" x14ac:dyDescent="0.3">
      <c r="A512" t="s">
        <v>707</v>
      </c>
      <c r="B512" t="s">
        <v>62</v>
      </c>
      <c r="C512" t="s">
        <v>20</v>
      </c>
      <c r="D512">
        <v>40.715850000000003</v>
      </c>
      <c r="E512">
        <v>-73.990390000000005</v>
      </c>
      <c r="F512" t="s">
        <v>21</v>
      </c>
      <c r="G512">
        <v>4</v>
      </c>
      <c r="H512">
        <v>1</v>
      </c>
      <c r="I512">
        <v>1</v>
      </c>
      <c r="J512">
        <v>2</v>
      </c>
      <c r="K512">
        <v>30</v>
      </c>
      <c r="L512">
        <v>230</v>
      </c>
      <c r="M512">
        <v>118</v>
      </c>
      <c r="N512">
        <v>3.13</v>
      </c>
      <c r="O512">
        <f t="shared" si="14"/>
        <v>0</v>
      </c>
      <c r="P512">
        <f t="shared" si="15"/>
        <v>4</v>
      </c>
      <c r="Q512" s="2">
        <v>160</v>
      </c>
      <c r="R512" s="1">
        <v>45717</v>
      </c>
      <c r="S512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193.47000000000003</v>
      </c>
    </row>
    <row r="513" spans="1:19" x14ac:dyDescent="0.3">
      <c r="A513" t="s">
        <v>708</v>
      </c>
      <c r="B513" t="s">
        <v>76</v>
      </c>
      <c r="C513" t="s">
        <v>17</v>
      </c>
      <c r="D513">
        <v>40.593649999999997</v>
      </c>
      <c r="E513">
        <v>-73.99391</v>
      </c>
      <c r="F513" t="s">
        <v>21</v>
      </c>
      <c r="G513">
        <v>3</v>
      </c>
      <c r="H513">
        <v>1</v>
      </c>
      <c r="I513">
        <v>1</v>
      </c>
      <c r="J513">
        <v>2</v>
      </c>
      <c r="K513">
        <v>30</v>
      </c>
      <c r="L513">
        <v>329</v>
      </c>
      <c r="M513">
        <v>139</v>
      </c>
      <c r="N513">
        <v>3.63</v>
      </c>
      <c r="O513">
        <f t="shared" si="14"/>
        <v>0</v>
      </c>
      <c r="P513">
        <f t="shared" si="15"/>
        <v>2</v>
      </c>
      <c r="Q513" s="2">
        <v>104</v>
      </c>
      <c r="R513" s="1">
        <v>45717</v>
      </c>
      <c r="S513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140.07000000000002</v>
      </c>
    </row>
    <row r="514" spans="1:19" x14ac:dyDescent="0.3">
      <c r="A514" t="s">
        <v>709</v>
      </c>
      <c r="B514" t="s">
        <v>56</v>
      </c>
      <c r="C514" t="s">
        <v>17</v>
      </c>
      <c r="D514">
        <v>40.663809999999998</v>
      </c>
      <c r="E514">
        <v>-73.953429999999997</v>
      </c>
      <c r="F514" t="s">
        <v>21</v>
      </c>
      <c r="G514">
        <v>3</v>
      </c>
      <c r="H514">
        <v>1</v>
      </c>
      <c r="I514">
        <v>1</v>
      </c>
      <c r="J514">
        <v>2</v>
      </c>
      <c r="K514">
        <v>30</v>
      </c>
      <c r="L514">
        <v>322</v>
      </c>
      <c r="M514">
        <v>100</v>
      </c>
      <c r="N514">
        <v>2.62</v>
      </c>
      <c r="O514">
        <f t="shared" si="14"/>
        <v>0</v>
      </c>
      <c r="P514">
        <f t="shared" si="15"/>
        <v>2</v>
      </c>
      <c r="Q514" s="2">
        <v>116</v>
      </c>
      <c r="R514" s="1">
        <v>45728</v>
      </c>
      <c r="S514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140.35000000000002</v>
      </c>
    </row>
    <row r="515" spans="1:19" x14ac:dyDescent="0.3">
      <c r="A515" t="s">
        <v>710</v>
      </c>
      <c r="B515" t="s">
        <v>73</v>
      </c>
      <c r="C515" t="s">
        <v>30</v>
      </c>
      <c r="D515" s="3" t="s">
        <v>711</v>
      </c>
      <c r="E515">
        <v>-73.934271022202296</v>
      </c>
      <c r="F515" t="s">
        <v>18</v>
      </c>
      <c r="G515">
        <v>3</v>
      </c>
      <c r="H515">
        <v>1</v>
      </c>
      <c r="I515">
        <v>1</v>
      </c>
      <c r="J515">
        <v>2</v>
      </c>
      <c r="K515">
        <v>1</v>
      </c>
      <c r="L515">
        <v>272</v>
      </c>
      <c r="M515">
        <v>7</v>
      </c>
      <c r="N515">
        <v>0.19</v>
      </c>
      <c r="O515">
        <f t="shared" ref="O515:O578" si="16">IF(F515="Private room",1,0)</f>
        <v>1</v>
      </c>
      <c r="P515">
        <f t="shared" ref="P515:P578" si="17">IF(C515="Manhattan",4,IF(C515="Brooklyn",2,0))</f>
        <v>0</v>
      </c>
      <c r="Q515" s="2">
        <v>400</v>
      </c>
      <c r="R515" s="1">
        <v>45738</v>
      </c>
      <c r="S515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165.74</v>
      </c>
    </row>
    <row r="516" spans="1:19" x14ac:dyDescent="0.3">
      <c r="A516" t="s">
        <v>712</v>
      </c>
      <c r="B516" t="s">
        <v>113</v>
      </c>
      <c r="C516" t="s">
        <v>30</v>
      </c>
      <c r="D516">
        <v>40.74588</v>
      </c>
      <c r="E516">
        <v>-73.825869999999995</v>
      </c>
      <c r="F516" t="s">
        <v>21</v>
      </c>
      <c r="G516">
        <v>3</v>
      </c>
      <c r="H516">
        <v>1</v>
      </c>
      <c r="I516">
        <v>1</v>
      </c>
      <c r="J516">
        <v>1</v>
      </c>
      <c r="K516">
        <v>30</v>
      </c>
      <c r="L516">
        <v>268</v>
      </c>
      <c r="M516">
        <v>10</v>
      </c>
      <c r="N516">
        <v>0.27</v>
      </c>
      <c r="O516">
        <f t="shared" si="16"/>
        <v>0</v>
      </c>
      <c r="P516">
        <f t="shared" si="17"/>
        <v>0</v>
      </c>
      <c r="Q516" s="2">
        <v>197</v>
      </c>
      <c r="R516" s="1">
        <v>45725</v>
      </c>
      <c r="S516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112.05000000000001</v>
      </c>
    </row>
    <row r="517" spans="1:19" x14ac:dyDescent="0.3">
      <c r="A517" t="s">
        <v>713</v>
      </c>
      <c r="B517" t="s">
        <v>42</v>
      </c>
      <c r="C517" t="s">
        <v>17</v>
      </c>
      <c r="D517">
        <v>40.725679999999997</v>
      </c>
      <c r="E517">
        <v>-73.944800000000001</v>
      </c>
      <c r="F517" t="s">
        <v>18</v>
      </c>
      <c r="G517">
        <v>2</v>
      </c>
      <c r="H517">
        <v>1</v>
      </c>
      <c r="I517">
        <v>1</v>
      </c>
      <c r="J517">
        <v>1</v>
      </c>
      <c r="K517">
        <v>2</v>
      </c>
      <c r="L517">
        <v>109</v>
      </c>
      <c r="M517">
        <v>71</v>
      </c>
      <c r="N517">
        <v>1.95</v>
      </c>
      <c r="O517">
        <f t="shared" si="16"/>
        <v>1</v>
      </c>
      <c r="P517">
        <f t="shared" si="17"/>
        <v>2</v>
      </c>
      <c r="Q517" s="2">
        <v>245</v>
      </c>
      <c r="R517" s="1">
        <v>45732</v>
      </c>
      <c r="S517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180.39000000000001</v>
      </c>
    </row>
    <row r="518" spans="1:19" x14ac:dyDescent="0.3">
      <c r="A518" t="s">
        <v>714</v>
      </c>
      <c r="B518" t="s">
        <v>67</v>
      </c>
      <c r="C518" t="s">
        <v>17</v>
      </c>
      <c r="D518" s="3" t="s">
        <v>715</v>
      </c>
      <c r="E518">
        <v>-73.908011327585697</v>
      </c>
      <c r="F518" t="s">
        <v>18</v>
      </c>
      <c r="G518">
        <v>2</v>
      </c>
      <c r="H518">
        <v>1</v>
      </c>
      <c r="I518">
        <v>0</v>
      </c>
      <c r="J518">
        <v>1</v>
      </c>
      <c r="K518">
        <v>3</v>
      </c>
      <c r="L518">
        <v>105</v>
      </c>
      <c r="M518">
        <v>13</v>
      </c>
      <c r="N518">
        <v>1.78</v>
      </c>
      <c r="O518">
        <f t="shared" si="16"/>
        <v>1</v>
      </c>
      <c r="P518">
        <f t="shared" si="17"/>
        <v>2</v>
      </c>
      <c r="Q518" s="2">
        <v>168</v>
      </c>
      <c r="R518" s="1">
        <v>45746</v>
      </c>
      <c r="S518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177.20000000000002</v>
      </c>
    </row>
    <row r="519" spans="1:19" x14ac:dyDescent="0.3">
      <c r="A519" t="s">
        <v>716</v>
      </c>
      <c r="B519" t="s">
        <v>27</v>
      </c>
      <c r="C519" t="s">
        <v>17</v>
      </c>
      <c r="D519">
        <v>40.696710000000003</v>
      </c>
      <c r="E519">
        <v>-73.937929999999994</v>
      </c>
      <c r="F519" t="s">
        <v>18</v>
      </c>
      <c r="G519">
        <v>1</v>
      </c>
      <c r="H519">
        <v>1</v>
      </c>
      <c r="I519">
        <v>1</v>
      </c>
      <c r="J519">
        <v>1</v>
      </c>
      <c r="K519">
        <v>4</v>
      </c>
      <c r="L519">
        <v>38</v>
      </c>
      <c r="M519">
        <v>20</v>
      </c>
      <c r="N519">
        <v>0.55000000000000004</v>
      </c>
      <c r="O519">
        <f t="shared" si="16"/>
        <v>1</v>
      </c>
      <c r="P519">
        <f t="shared" si="17"/>
        <v>2</v>
      </c>
      <c r="Q519" s="2">
        <v>90</v>
      </c>
      <c r="R519" s="1">
        <v>45747</v>
      </c>
      <c r="S519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157.54999999999998</v>
      </c>
    </row>
    <row r="520" spans="1:19" x14ac:dyDescent="0.3">
      <c r="A520" t="s">
        <v>717</v>
      </c>
      <c r="B520" t="s">
        <v>28</v>
      </c>
      <c r="C520" t="s">
        <v>20</v>
      </c>
      <c r="D520">
        <v>40.800669999999997</v>
      </c>
      <c r="E520">
        <v>-73.955340000000007</v>
      </c>
      <c r="F520" t="s">
        <v>18</v>
      </c>
      <c r="G520">
        <v>1</v>
      </c>
      <c r="H520">
        <v>2</v>
      </c>
      <c r="I520">
        <v>1</v>
      </c>
      <c r="J520">
        <v>1</v>
      </c>
      <c r="K520">
        <v>30</v>
      </c>
      <c r="L520">
        <v>252</v>
      </c>
      <c r="M520">
        <v>14</v>
      </c>
      <c r="N520">
        <v>0.42</v>
      </c>
      <c r="O520">
        <f t="shared" si="16"/>
        <v>1</v>
      </c>
      <c r="P520">
        <f t="shared" si="17"/>
        <v>4</v>
      </c>
      <c r="Q520" s="2">
        <v>64</v>
      </c>
      <c r="R520" s="1">
        <v>45729</v>
      </c>
      <c r="S520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103.57000000000001</v>
      </c>
    </row>
    <row r="521" spans="1:19" x14ac:dyDescent="0.3">
      <c r="A521" t="s">
        <v>718</v>
      </c>
      <c r="B521" t="s">
        <v>22</v>
      </c>
      <c r="C521" t="s">
        <v>17</v>
      </c>
      <c r="D521">
        <v>40.645560000000003</v>
      </c>
      <c r="E521">
        <v>-74.012749999999997</v>
      </c>
      <c r="F521" t="s">
        <v>21</v>
      </c>
      <c r="G521">
        <v>4</v>
      </c>
      <c r="H521">
        <v>1</v>
      </c>
      <c r="I521">
        <v>2</v>
      </c>
      <c r="J521">
        <v>2</v>
      </c>
      <c r="K521">
        <v>30</v>
      </c>
      <c r="L521">
        <v>175</v>
      </c>
      <c r="M521">
        <v>68</v>
      </c>
      <c r="N521">
        <v>1.84</v>
      </c>
      <c r="O521">
        <f t="shared" si="16"/>
        <v>0</v>
      </c>
      <c r="P521">
        <f t="shared" si="17"/>
        <v>2</v>
      </c>
      <c r="Q521" s="2">
        <v>119</v>
      </c>
      <c r="R521" s="1">
        <v>45732</v>
      </c>
      <c r="S521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165.21000000000004</v>
      </c>
    </row>
    <row r="522" spans="1:19" x14ac:dyDescent="0.3">
      <c r="A522" t="s">
        <v>719</v>
      </c>
      <c r="B522" t="s">
        <v>126</v>
      </c>
      <c r="C522" t="s">
        <v>30</v>
      </c>
      <c r="D522">
        <v>40.592109999999998</v>
      </c>
      <c r="E522">
        <v>-73.794049999999999</v>
      </c>
      <c r="F522" t="s">
        <v>21</v>
      </c>
      <c r="G522">
        <v>3</v>
      </c>
      <c r="H522">
        <v>1</v>
      </c>
      <c r="I522">
        <v>1</v>
      </c>
      <c r="J522">
        <v>1</v>
      </c>
      <c r="K522">
        <v>30</v>
      </c>
      <c r="L522">
        <v>120</v>
      </c>
      <c r="M522">
        <v>29</v>
      </c>
      <c r="N522">
        <v>0.77</v>
      </c>
      <c r="O522">
        <f t="shared" si="16"/>
        <v>0</v>
      </c>
      <c r="P522">
        <f t="shared" si="17"/>
        <v>0</v>
      </c>
      <c r="Q522" s="2">
        <v>90</v>
      </c>
      <c r="R522" s="1">
        <v>45731</v>
      </c>
      <c r="S522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117.97000000000001</v>
      </c>
    </row>
    <row r="523" spans="1:19" x14ac:dyDescent="0.3">
      <c r="A523" t="s">
        <v>720</v>
      </c>
      <c r="B523" t="s">
        <v>23</v>
      </c>
      <c r="C523" t="s">
        <v>17</v>
      </c>
      <c r="D523">
        <v>40.709359999999997</v>
      </c>
      <c r="E523">
        <v>-73.962559999999996</v>
      </c>
      <c r="F523" t="s">
        <v>21</v>
      </c>
      <c r="G523">
        <v>4</v>
      </c>
      <c r="H523">
        <v>1</v>
      </c>
      <c r="I523">
        <v>3</v>
      </c>
      <c r="J523">
        <v>3</v>
      </c>
      <c r="K523">
        <v>30</v>
      </c>
      <c r="L523">
        <v>314</v>
      </c>
      <c r="M523">
        <v>8</v>
      </c>
      <c r="N523">
        <v>0.24</v>
      </c>
      <c r="O523">
        <f t="shared" si="16"/>
        <v>0</v>
      </c>
      <c r="P523">
        <f t="shared" si="17"/>
        <v>2</v>
      </c>
      <c r="Q523" s="2">
        <v>160</v>
      </c>
      <c r="R523" s="1">
        <v>45747</v>
      </c>
      <c r="S523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159.65000000000003</v>
      </c>
    </row>
    <row r="524" spans="1:19" x14ac:dyDescent="0.3">
      <c r="A524" t="s">
        <v>721</v>
      </c>
      <c r="B524" t="s">
        <v>113</v>
      </c>
      <c r="C524" t="s">
        <v>30</v>
      </c>
      <c r="D524">
        <v>40.743389999999998</v>
      </c>
      <c r="E524">
        <v>-73.824830000000006</v>
      </c>
      <c r="F524" t="s">
        <v>21</v>
      </c>
      <c r="G524">
        <v>3</v>
      </c>
      <c r="H524">
        <v>1</v>
      </c>
      <c r="I524">
        <v>0</v>
      </c>
      <c r="J524">
        <v>2</v>
      </c>
      <c r="K524">
        <v>30</v>
      </c>
      <c r="L524">
        <v>277</v>
      </c>
      <c r="M524">
        <v>3</v>
      </c>
      <c r="N524">
        <v>0.09</v>
      </c>
      <c r="O524">
        <f t="shared" si="16"/>
        <v>0</v>
      </c>
      <c r="P524">
        <f t="shared" si="17"/>
        <v>0</v>
      </c>
      <c r="Q524" s="2">
        <v>136</v>
      </c>
      <c r="R524" s="1">
        <v>45719</v>
      </c>
      <c r="S524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111.69000000000001</v>
      </c>
    </row>
    <row r="525" spans="1:19" x14ac:dyDescent="0.3">
      <c r="A525" t="s">
        <v>722</v>
      </c>
      <c r="B525" t="s">
        <v>113</v>
      </c>
      <c r="C525" t="s">
        <v>30</v>
      </c>
      <c r="D525">
        <v>40.754359999999998</v>
      </c>
      <c r="E525">
        <v>-73.815420000000003</v>
      </c>
      <c r="F525" t="s">
        <v>18</v>
      </c>
      <c r="G525">
        <v>1</v>
      </c>
      <c r="H525">
        <v>2</v>
      </c>
      <c r="I525">
        <v>1</v>
      </c>
      <c r="J525">
        <v>1</v>
      </c>
      <c r="K525">
        <v>30</v>
      </c>
      <c r="L525">
        <v>273</v>
      </c>
      <c r="M525">
        <v>36</v>
      </c>
      <c r="N525">
        <v>0.96</v>
      </c>
      <c r="O525">
        <f t="shared" si="16"/>
        <v>1</v>
      </c>
      <c r="P525">
        <f t="shared" si="17"/>
        <v>0</v>
      </c>
      <c r="Q525" s="2">
        <v>60</v>
      </c>
      <c r="R525" s="1">
        <v>45746</v>
      </c>
      <c r="S525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41.81</v>
      </c>
    </row>
    <row r="526" spans="1:19" x14ac:dyDescent="0.3">
      <c r="A526" t="s">
        <v>723</v>
      </c>
      <c r="B526" t="s">
        <v>19</v>
      </c>
      <c r="C526" t="s">
        <v>20</v>
      </c>
      <c r="D526">
        <v>40.747211</v>
      </c>
      <c r="E526">
        <v>-73.987808000000001</v>
      </c>
      <c r="F526" t="s">
        <v>21</v>
      </c>
      <c r="G526">
        <v>4</v>
      </c>
      <c r="H526">
        <v>1</v>
      </c>
      <c r="I526">
        <v>0</v>
      </c>
      <c r="J526">
        <v>2</v>
      </c>
      <c r="K526">
        <v>1</v>
      </c>
      <c r="L526">
        <v>93</v>
      </c>
      <c r="M526">
        <v>54</v>
      </c>
      <c r="N526">
        <v>1.67</v>
      </c>
      <c r="O526">
        <f t="shared" si="16"/>
        <v>0</v>
      </c>
      <c r="P526">
        <f t="shared" si="17"/>
        <v>4</v>
      </c>
      <c r="Q526" s="2">
        <v>300</v>
      </c>
      <c r="R526" s="1">
        <v>45718</v>
      </c>
      <c r="S526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296.10000000000002</v>
      </c>
    </row>
    <row r="527" spans="1:19" x14ac:dyDescent="0.3">
      <c r="A527" t="s">
        <v>724</v>
      </c>
      <c r="B527" t="s">
        <v>27</v>
      </c>
      <c r="C527" t="s">
        <v>17</v>
      </c>
      <c r="D527">
        <v>40.682780000000001</v>
      </c>
      <c r="E527">
        <v>-73.943619999999996</v>
      </c>
      <c r="F527" t="s">
        <v>21</v>
      </c>
      <c r="G527">
        <v>2</v>
      </c>
      <c r="H527">
        <v>1</v>
      </c>
      <c r="I527">
        <v>1</v>
      </c>
      <c r="J527">
        <v>1</v>
      </c>
      <c r="K527">
        <v>30</v>
      </c>
      <c r="L527">
        <v>268</v>
      </c>
      <c r="M527">
        <v>10</v>
      </c>
      <c r="N527">
        <v>0.28000000000000003</v>
      </c>
      <c r="O527">
        <f t="shared" si="16"/>
        <v>0</v>
      </c>
      <c r="P527">
        <f t="shared" si="17"/>
        <v>2</v>
      </c>
      <c r="Q527" s="2">
        <v>100</v>
      </c>
      <c r="R527" s="1">
        <v>45726</v>
      </c>
      <c r="S527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123.53000000000003</v>
      </c>
    </row>
    <row r="528" spans="1:19" x14ac:dyDescent="0.3">
      <c r="A528" t="s">
        <v>725</v>
      </c>
      <c r="B528" t="s">
        <v>19</v>
      </c>
      <c r="C528" t="s">
        <v>20</v>
      </c>
      <c r="D528">
        <v>40.747211</v>
      </c>
      <c r="E528">
        <v>-73.987808000000001</v>
      </c>
      <c r="F528" t="s">
        <v>21</v>
      </c>
      <c r="G528">
        <v>3</v>
      </c>
      <c r="H528">
        <v>1</v>
      </c>
      <c r="I528">
        <v>0</v>
      </c>
      <c r="J528">
        <v>3</v>
      </c>
      <c r="K528">
        <v>1</v>
      </c>
      <c r="L528">
        <v>145</v>
      </c>
      <c r="M528">
        <v>30</v>
      </c>
      <c r="N528">
        <v>0.99</v>
      </c>
      <c r="O528">
        <f t="shared" si="16"/>
        <v>0</v>
      </c>
      <c r="P528">
        <f t="shared" si="17"/>
        <v>4</v>
      </c>
      <c r="Q528" s="2">
        <v>274</v>
      </c>
      <c r="R528" s="1">
        <v>45726</v>
      </c>
      <c r="S528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275.04000000000002</v>
      </c>
    </row>
    <row r="529" spans="1:19" x14ac:dyDescent="0.3">
      <c r="A529" t="s">
        <v>726</v>
      </c>
      <c r="B529" t="s">
        <v>19</v>
      </c>
      <c r="C529" t="s">
        <v>20</v>
      </c>
      <c r="D529">
        <v>40.747211</v>
      </c>
      <c r="E529">
        <v>-73.987808000000001</v>
      </c>
      <c r="F529" t="s">
        <v>21</v>
      </c>
      <c r="G529">
        <v>6</v>
      </c>
      <c r="H529">
        <v>1</v>
      </c>
      <c r="I529">
        <v>0</v>
      </c>
      <c r="J529">
        <v>3</v>
      </c>
      <c r="K529">
        <v>1</v>
      </c>
      <c r="L529">
        <v>137</v>
      </c>
      <c r="M529">
        <v>103</v>
      </c>
      <c r="N529">
        <v>3.43</v>
      </c>
      <c r="O529">
        <f t="shared" si="16"/>
        <v>0</v>
      </c>
      <c r="P529">
        <f t="shared" si="17"/>
        <v>4</v>
      </c>
      <c r="Q529" s="2">
        <v>378</v>
      </c>
      <c r="R529" s="1">
        <v>45747</v>
      </c>
      <c r="S529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332.3</v>
      </c>
    </row>
    <row r="530" spans="1:19" x14ac:dyDescent="0.3">
      <c r="A530" t="s">
        <v>727</v>
      </c>
      <c r="B530" t="s">
        <v>53</v>
      </c>
      <c r="C530" t="s">
        <v>20</v>
      </c>
      <c r="D530">
        <v>40.778660000000002</v>
      </c>
      <c r="E530">
        <v>-73.974689999999995</v>
      </c>
      <c r="F530" t="s">
        <v>21</v>
      </c>
      <c r="G530">
        <v>4</v>
      </c>
      <c r="H530">
        <v>1</v>
      </c>
      <c r="I530">
        <v>1</v>
      </c>
      <c r="J530">
        <v>2</v>
      </c>
      <c r="K530">
        <v>30</v>
      </c>
      <c r="L530">
        <v>156</v>
      </c>
      <c r="M530">
        <v>19</v>
      </c>
      <c r="N530">
        <v>0.59</v>
      </c>
      <c r="O530">
        <f t="shared" si="16"/>
        <v>0</v>
      </c>
      <c r="P530">
        <f t="shared" si="17"/>
        <v>4</v>
      </c>
      <c r="Q530" s="2">
        <v>199</v>
      </c>
      <c r="R530" s="1">
        <v>45717</v>
      </c>
      <c r="S530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196.43</v>
      </c>
    </row>
    <row r="531" spans="1:19" x14ac:dyDescent="0.3">
      <c r="A531" t="s">
        <v>728</v>
      </c>
      <c r="B531" t="s">
        <v>179</v>
      </c>
      <c r="C531" t="s">
        <v>20</v>
      </c>
      <c r="D531">
        <v>40.742449999999998</v>
      </c>
      <c r="E531">
        <v>-73.99145</v>
      </c>
      <c r="F531" t="s">
        <v>18</v>
      </c>
      <c r="G531">
        <v>2</v>
      </c>
      <c r="H531">
        <v>1</v>
      </c>
      <c r="I531">
        <v>0</v>
      </c>
      <c r="J531">
        <v>1</v>
      </c>
      <c r="K531">
        <v>1</v>
      </c>
      <c r="L531">
        <v>279</v>
      </c>
      <c r="M531">
        <v>8</v>
      </c>
      <c r="N531">
        <v>0.23</v>
      </c>
      <c r="O531">
        <f t="shared" si="16"/>
        <v>1</v>
      </c>
      <c r="P531">
        <f t="shared" si="17"/>
        <v>4</v>
      </c>
      <c r="Q531" s="2">
        <v>372</v>
      </c>
      <c r="R531" s="1">
        <v>45725</v>
      </c>
      <c r="S531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207.40000000000003</v>
      </c>
    </row>
    <row r="532" spans="1:19" x14ac:dyDescent="0.3">
      <c r="A532" t="s">
        <v>730</v>
      </c>
      <c r="B532" t="s">
        <v>43</v>
      </c>
      <c r="C532" t="s">
        <v>20</v>
      </c>
      <c r="D532">
        <v>40.713000000000001</v>
      </c>
      <c r="E532">
        <v>-73.992310000000003</v>
      </c>
      <c r="F532" t="s">
        <v>21</v>
      </c>
      <c r="G532">
        <v>2</v>
      </c>
      <c r="H532">
        <v>1</v>
      </c>
      <c r="I532">
        <v>1</v>
      </c>
      <c r="J532">
        <v>1</v>
      </c>
      <c r="K532">
        <v>30</v>
      </c>
      <c r="L532">
        <v>266</v>
      </c>
      <c r="M532">
        <v>14</v>
      </c>
      <c r="N532">
        <v>0.4</v>
      </c>
      <c r="O532">
        <f t="shared" si="16"/>
        <v>0</v>
      </c>
      <c r="P532">
        <f t="shared" si="17"/>
        <v>4</v>
      </c>
      <c r="Q532" s="2">
        <v>100</v>
      </c>
      <c r="R532" s="1">
        <v>45725</v>
      </c>
      <c r="S532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154.07000000000002</v>
      </c>
    </row>
    <row r="533" spans="1:19" x14ac:dyDescent="0.3">
      <c r="A533" t="s">
        <v>731</v>
      </c>
      <c r="B533" t="s">
        <v>371</v>
      </c>
      <c r="C533" t="s">
        <v>31</v>
      </c>
      <c r="D533">
        <v>40.82958</v>
      </c>
      <c r="E533">
        <v>-73.825959999999995</v>
      </c>
      <c r="F533" t="s">
        <v>21</v>
      </c>
      <c r="G533">
        <v>2</v>
      </c>
      <c r="H533">
        <v>1</v>
      </c>
      <c r="I533">
        <v>0</v>
      </c>
      <c r="J533">
        <v>1</v>
      </c>
      <c r="K533">
        <v>30</v>
      </c>
      <c r="L533">
        <v>45</v>
      </c>
      <c r="M533">
        <v>32</v>
      </c>
      <c r="N533">
        <v>0.86</v>
      </c>
      <c r="O533">
        <f t="shared" si="16"/>
        <v>0</v>
      </c>
      <c r="P533">
        <f t="shared" si="17"/>
        <v>0</v>
      </c>
      <c r="Q533" s="2">
        <v>98</v>
      </c>
      <c r="R533" s="1">
        <v>45733</v>
      </c>
      <c r="S533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101.99000000000002</v>
      </c>
    </row>
    <row r="534" spans="1:19" x14ac:dyDescent="0.3">
      <c r="A534" t="s">
        <v>732</v>
      </c>
      <c r="B534" t="s">
        <v>78</v>
      </c>
      <c r="C534" t="s">
        <v>20</v>
      </c>
      <c r="D534">
        <v>40.761429999999997</v>
      </c>
      <c r="E534">
        <v>-73.982579999999999</v>
      </c>
      <c r="F534" t="s">
        <v>21</v>
      </c>
      <c r="G534">
        <v>4</v>
      </c>
      <c r="H534">
        <v>1</v>
      </c>
      <c r="I534">
        <v>1</v>
      </c>
      <c r="J534">
        <v>2</v>
      </c>
      <c r="K534">
        <v>30</v>
      </c>
      <c r="L534">
        <v>161</v>
      </c>
      <c r="M534">
        <v>14</v>
      </c>
      <c r="N534">
        <v>0.43</v>
      </c>
      <c r="O534">
        <f t="shared" si="16"/>
        <v>0</v>
      </c>
      <c r="P534">
        <f t="shared" si="17"/>
        <v>4</v>
      </c>
      <c r="Q534" s="2">
        <v>188</v>
      </c>
      <c r="R534" s="1">
        <v>45747</v>
      </c>
      <c r="S534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196.23000000000002</v>
      </c>
    </row>
    <row r="535" spans="1:19" x14ac:dyDescent="0.3">
      <c r="A535" t="s">
        <v>733</v>
      </c>
      <c r="B535" t="s">
        <v>38</v>
      </c>
      <c r="C535" t="s">
        <v>20</v>
      </c>
      <c r="D535">
        <v>40.76211</v>
      </c>
      <c r="E535">
        <v>-73.995890000000003</v>
      </c>
      <c r="F535" t="s">
        <v>21</v>
      </c>
      <c r="G535">
        <v>4</v>
      </c>
      <c r="H535">
        <v>2</v>
      </c>
      <c r="I535">
        <v>2</v>
      </c>
      <c r="J535">
        <v>2</v>
      </c>
      <c r="K535">
        <v>30</v>
      </c>
      <c r="L535">
        <v>214</v>
      </c>
      <c r="M535">
        <v>11</v>
      </c>
      <c r="N535">
        <v>0.33</v>
      </c>
      <c r="O535">
        <f t="shared" si="16"/>
        <v>0</v>
      </c>
      <c r="P535">
        <f t="shared" si="17"/>
        <v>4</v>
      </c>
      <c r="Q535" s="2">
        <v>340</v>
      </c>
      <c r="R535" s="1">
        <v>45741</v>
      </c>
      <c r="S535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205.33000000000004</v>
      </c>
    </row>
    <row r="536" spans="1:19" x14ac:dyDescent="0.3">
      <c r="A536" t="s">
        <v>734</v>
      </c>
      <c r="B536" t="s">
        <v>28</v>
      </c>
      <c r="C536" t="s">
        <v>20</v>
      </c>
      <c r="D536" s="3" t="s">
        <v>729</v>
      </c>
      <c r="E536">
        <v>-73.940872192382798</v>
      </c>
      <c r="F536" t="s">
        <v>18</v>
      </c>
      <c r="G536">
        <v>2</v>
      </c>
      <c r="H536">
        <v>1</v>
      </c>
      <c r="I536">
        <v>1</v>
      </c>
      <c r="J536">
        <v>1</v>
      </c>
      <c r="K536">
        <v>30</v>
      </c>
      <c r="L536">
        <v>329</v>
      </c>
      <c r="M536">
        <v>6</v>
      </c>
      <c r="N536">
        <v>0.18</v>
      </c>
      <c r="O536">
        <f t="shared" si="16"/>
        <v>1</v>
      </c>
      <c r="P536">
        <f t="shared" si="17"/>
        <v>4</v>
      </c>
      <c r="Q536" s="2">
        <v>50</v>
      </c>
      <c r="R536" s="1">
        <v>45744</v>
      </c>
      <c r="S536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108.25000000000003</v>
      </c>
    </row>
    <row r="537" spans="1:19" x14ac:dyDescent="0.3">
      <c r="A537" t="s">
        <v>735</v>
      </c>
      <c r="B537" t="s">
        <v>179</v>
      </c>
      <c r="C537" t="s">
        <v>20</v>
      </c>
      <c r="D537">
        <v>40.7438</v>
      </c>
      <c r="E537">
        <v>-73.989940000000004</v>
      </c>
      <c r="F537" t="s">
        <v>18</v>
      </c>
      <c r="G537">
        <v>2</v>
      </c>
      <c r="H537">
        <v>1</v>
      </c>
      <c r="I537">
        <v>0</v>
      </c>
      <c r="J537">
        <v>1</v>
      </c>
      <c r="K537">
        <v>1</v>
      </c>
      <c r="L537">
        <v>286</v>
      </c>
      <c r="M537">
        <v>46</v>
      </c>
      <c r="N537">
        <v>1.26</v>
      </c>
      <c r="O537">
        <f t="shared" si="16"/>
        <v>1</v>
      </c>
      <c r="P537">
        <f t="shared" si="17"/>
        <v>4</v>
      </c>
      <c r="Q537" s="2">
        <v>311</v>
      </c>
      <c r="R537" s="1">
        <v>45739</v>
      </c>
      <c r="S537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207.12000000000006</v>
      </c>
    </row>
    <row r="538" spans="1:19" x14ac:dyDescent="0.3">
      <c r="A538" t="s">
        <v>736</v>
      </c>
      <c r="B538" t="s">
        <v>201</v>
      </c>
      <c r="C538" t="s">
        <v>30</v>
      </c>
      <c r="D538">
        <v>40.669260000000001</v>
      </c>
      <c r="E538">
        <v>-73.765169999999998</v>
      </c>
      <c r="F538" t="s">
        <v>18</v>
      </c>
      <c r="G538">
        <v>2</v>
      </c>
      <c r="H538">
        <v>1</v>
      </c>
      <c r="I538">
        <v>1</v>
      </c>
      <c r="J538">
        <v>1</v>
      </c>
      <c r="K538">
        <v>2</v>
      </c>
      <c r="L538">
        <v>261</v>
      </c>
      <c r="M538">
        <v>87</v>
      </c>
      <c r="N538">
        <v>2.4700000000000002</v>
      </c>
      <c r="O538">
        <f t="shared" si="16"/>
        <v>1</v>
      </c>
      <c r="P538">
        <f t="shared" si="17"/>
        <v>0</v>
      </c>
      <c r="Q538" s="2">
        <v>126</v>
      </c>
      <c r="R538" s="1">
        <v>45733</v>
      </c>
      <c r="S538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143.85000000000002</v>
      </c>
    </row>
    <row r="539" spans="1:19" x14ac:dyDescent="0.3">
      <c r="A539" t="s">
        <v>737</v>
      </c>
      <c r="B539" t="s">
        <v>113</v>
      </c>
      <c r="C539" t="s">
        <v>30</v>
      </c>
      <c r="D539">
        <v>40.771380000000001</v>
      </c>
      <c r="E539">
        <v>-73.811480000000003</v>
      </c>
      <c r="F539" t="s">
        <v>21</v>
      </c>
      <c r="G539">
        <v>2</v>
      </c>
      <c r="H539">
        <v>1</v>
      </c>
      <c r="I539">
        <v>1</v>
      </c>
      <c r="J539">
        <v>2</v>
      </c>
      <c r="K539">
        <v>30</v>
      </c>
      <c r="L539">
        <v>321</v>
      </c>
      <c r="M539">
        <v>28</v>
      </c>
      <c r="N539">
        <v>0.79</v>
      </c>
      <c r="O539">
        <f t="shared" si="16"/>
        <v>0</v>
      </c>
      <c r="P539">
        <f t="shared" si="17"/>
        <v>0</v>
      </c>
      <c r="Q539" s="2">
        <v>126</v>
      </c>
      <c r="R539" s="1">
        <v>45725</v>
      </c>
      <c r="S539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90.950000000000017</v>
      </c>
    </row>
    <row r="540" spans="1:19" x14ac:dyDescent="0.3">
      <c r="A540" t="s">
        <v>738</v>
      </c>
      <c r="B540" t="s">
        <v>60</v>
      </c>
      <c r="C540" t="s">
        <v>17</v>
      </c>
      <c r="D540">
        <v>40.651271999999999</v>
      </c>
      <c r="E540">
        <v>-73.945312000000001</v>
      </c>
      <c r="F540" t="s">
        <v>18</v>
      </c>
      <c r="G540">
        <v>2</v>
      </c>
      <c r="H540">
        <v>1</v>
      </c>
      <c r="I540">
        <v>2</v>
      </c>
      <c r="J540">
        <v>3</v>
      </c>
      <c r="K540">
        <v>3</v>
      </c>
      <c r="L540">
        <v>309</v>
      </c>
      <c r="M540">
        <v>70</v>
      </c>
      <c r="N540">
        <v>2.1</v>
      </c>
      <c r="O540">
        <f t="shared" si="16"/>
        <v>1</v>
      </c>
      <c r="P540">
        <f t="shared" si="17"/>
        <v>2</v>
      </c>
      <c r="Q540" s="2">
        <v>129</v>
      </c>
      <c r="R540" s="1">
        <v>45718</v>
      </c>
      <c r="S540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169.04</v>
      </c>
    </row>
    <row r="541" spans="1:19" x14ac:dyDescent="0.3">
      <c r="A541" t="s">
        <v>739</v>
      </c>
      <c r="B541" t="s">
        <v>60</v>
      </c>
      <c r="C541" t="s">
        <v>17</v>
      </c>
      <c r="D541">
        <v>40.658880000000003</v>
      </c>
      <c r="E541">
        <v>-73.926379999999995</v>
      </c>
      <c r="F541" t="s">
        <v>21</v>
      </c>
      <c r="G541">
        <v>2</v>
      </c>
      <c r="H541">
        <v>1</v>
      </c>
      <c r="I541">
        <v>1</v>
      </c>
      <c r="J541">
        <v>1</v>
      </c>
      <c r="K541">
        <v>30</v>
      </c>
      <c r="L541">
        <v>238</v>
      </c>
      <c r="M541">
        <v>63</v>
      </c>
      <c r="N541">
        <v>1.8</v>
      </c>
      <c r="O541">
        <f t="shared" si="16"/>
        <v>0</v>
      </c>
      <c r="P541">
        <f t="shared" si="17"/>
        <v>2</v>
      </c>
      <c r="Q541" s="2">
        <v>90</v>
      </c>
      <c r="R541" s="1">
        <v>45733</v>
      </c>
      <c r="S541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124.73000000000002</v>
      </c>
    </row>
    <row r="542" spans="1:19" x14ac:dyDescent="0.3">
      <c r="A542" t="s">
        <v>740</v>
      </c>
      <c r="B542" t="s">
        <v>27</v>
      </c>
      <c r="C542" t="s">
        <v>17</v>
      </c>
      <c r="D542">
        <v>40.683300000000003</v>
      </c>
      <c r="E542">
        <v>-73.958079999999995</v>
      </c>
      <c r="F542" t="s">
        <v>18</v>
      </c>
      <c r="G542">
        <v>1</v>
      </c>
      <c r="H542">
        <v>1</v>
      </c>
      <c r="I542">
        <v>1</v>
      </c>
      <c r="J542">
        <v>1</v>
      </c>
      <c r="K542">
        <v>30</v>
      </c>
      <c r="L542">
        <v>166</v>
      </c>
      <c r="M542">
        <v>12</v>
      </c>
      <c r="N542">
        <v>0.39</v>
      </c>
      <c r="O542">
        <f t="shared" si="16"/>
        <v>1</v>
      </c>
      <c r="P542">
        <f t="shared" si="17"/>
        <v>2</v>
      </c>
      <c r="Q542" s="2">
        <v>79</v>
      </c>
      <c r="R542" s="1">
        <v>45718</v>
      </c>
      <c r="S542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65.330000000000013</v>
      </c>
    </row>
    <row r="543" spans="1:19" x14ac:dyDescent="0.3">
      <c r="A543" t="s">
        <v>741</v>
      </c>
      <c r="B543" t="s">
        <v>51</v>
      </c>
      <c r="C543" t="s">
        <v>17</v>
      </c>
      <c r="D543">
        <v>40.679479999999998</v>
      </c>
      <c r="E543">
        <v>-73.999229999999997</v>
      </c>
      <c r="F543" t="s">
        <v>21</v>
      </c>
      <c r="G543">
        <v>2</v>
      </c>
      <c r="H543">
        <v>1</v>
      </c>
      <c r="I543">
        <v>1</v>
      </c>
      <c r="J543">
        <v>1</v>
      </c>
      <c r="K543">
        <v>30</v>
      </c>
      <c r="L543">
        <v>270</v>
      </c>
      <c r="M543">
        <v>31</v>
      </c>
      <c r="N543">
        <v>1.29</v>
      </c>
      <c r="O543">
        <f t="shared" si="16"/>
        <v>0</v>
      </c>
      <c r="P543">
        <f t="shared" si="17"/>
        <v>2</v>
      </c>
      <c r="Q543" s="2">
        <v>240</v>
      </c>
      <c r="R543" s="1">
        <v>45743</v>
      </c>
      <c r="S543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123.45000000000002</v>
      </c>
    </row>
    <row r="544" spans="1:19" x14ac:dyDescent="0.3">
      <c r="A544" t="s">
        <v>742</v>
      </c>
      <c r="B544" t="s">
        <v>41</v>
      </c>
      <c r="C544" t="s">
        <v>20</v>
      </c>
      <c r="D544">
        <v>40.726469999999999</v>
      </c>
      <c r="E544">
        <v>-73.977869999999996</v>
      </c>
      <c r="F544" t="s">
        <v>21</v>
      </c>
      <c r="G544">
        <v>6</v>
      </c>
      <c r="H544">
        <v>2</v>
      </c>
      <c r="I544">
        <v>3</v>
      </c>
      <c r="J544">
        <v>8</v>
      </c>
      <c r="K544">
        <v>30</v>
      </c>
      <c r="L544">
        <v>331</v>
      </c>
      <c r="M544">
        <v>23</v>
      </c>
      <c r="N544">
        <v>0.74</v>
      </c>
      <c r="O544">
        <f t="shared" si="16"/>
        <v>0</v>
      </c>
      <c r="P544">
        <f t="shared" si="17"/>
        <v>4</v>
      </c>
      <c r="Q544" s="2">
        <v>366</v>
      </c>
      <c r="R544" s="1">
        <v>45719</v>
      </c>
      <c r="S544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238.61</v>
      </c>
    </row>
    <row r="545" spans="1:19" x14ac:dyDescent="0.3">
      <c r="A545" t="s">
        <v>743</v>
      </c>
      <c r="B545" t="s">
        <v>33</v>
      </c>
      <c r="C545" t="s">
        <v>17</v>
      </c>
      <c r="D545">
        <v>40.677439999999997</v>
      </c>
      <c r="E545">
        <v>-73.982500000000002</v>
      </c>
      <c r="F545" t="s">
        <v>18</v>
      </c>
      <c r="G545">
        <v>2</v>
      </c>
      <c r="H545">
        <v>1</v>
      </c>
      <c r="I545">
        <v>0</v>
      </c>
      <c r="J545">
        <v>1</v>
      </c>
      <c r="K545">
        <v>1</v>
      </c>
      <c r="L545">
        <v>262</v>
      </c>
      <c r="M545">
        <v>22</v>
      </c>
      <c r="N545">
        <v>0.66</v>
      </c>
      <c r="O545">
        <f t="shared" si="16"/>
        <v>1</v>
      </c>
      <c r="P545">
        <f t="shared" si="17"/>
        <v>2</v>
      </c>
      <c r="Q545" s="2">
        <v>332</v>
      </c>
      <c r="R545" s="1">
        <v>45730</v>
      </c>
      <c r="S545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177.62000000000003</v>
      </c>
    </row>
    <row r="546" spans="1:19" x14ac:dyDescent="0.3">
      <c r="A546" t="s">
        <v>744</v>
      </c>
      <c r="B546" t="s">
        <v>58</v>
      </c>
      <c r="C546" t="s">
        <v>17</v>
      </c>
      <c r="D546">
        <v>40.676780000000001</v>
      </c>
      <c r="E546">
        <v>-73.984229999999997</v>
      </c>
      <c r="F546" t="s">
        <v>18</v>
      </c>
      <c r="G546">
        <v>2</v>
      </c>
      <c r="H546">
        <v>1</v>
      </c>
      <c r="I546">
        <v>0</v>
      </c>
      <c r="J546">
        <v>1</v>
      </c>
      <c r="K546">
        <v>1</v>
      </c>
      <c r="L546">
        <v>221</v>
      </c>
      <c r="M546">
        <v>18</v>
      </c>
      <c r="N546">
        <v>0.52</v>
      </c>
      <c r="O546">
        <f t="shared" si="16"/>
        <v>1</v>
      </c>
      <c r="P546">
        <f t="shared" si="17"/>
        <v>2</v>
      </c>
      <c r="Q546" s="2">
        <v>262</v>
      </c>
      <c r="R546" s="1">
        <v>45723</v>
      </c>
      <c r="S546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179.26000000000002</v>
      </c>
    </row>
    <row r="547" spans="1:19" x14ac:dyDescent="0.3">
      <c r="A547" t="s">
        <v>745</v>
      </c>
      <c r="B547" t="s">
        <v>42</v>
      </c>
      <c r="C547" t="s">
        <v>17</v>
      </c>
      <c r="D547">
        <v>40.732700000000001</v>
      </c>
      <c r="E547">
        <v>-73.954160000000002</v>
      </c>
      <c r="F547" t="s">
        <v>21</v>
      </c>
      <c r="G547">
        <v>2</v>
      </c>
      <c r="H547">
        <v>1</v>
      </c>
      <c r="I547">
        <v>1</v>
      </c>
      <c r="J547">
        <v>1</v>
      </c>
      <c r="K547">
        <v>30</v>
      </c>
      <c r="L547">
        <v>182</v>
      </c>
      <c r="M547">
        <v>12</v>
      </c>
      <c r="N547">
        <v>0.37</v>
      </c>
      <c r="O547">
        <f t="shared" si="16"/>
        <v>0</v>
      </c>
      <c r="P547">
        <f t="shared" si="17"/>
        <v>2</v>
      </c>
      <c r="Q547" s="2">
        <v>145</v>
      </c>
      <c r="R547" s="1">
        <v>45731</v>
      </c>
      <c r="S547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126.97000000000003</v>
      </c>
    </row>
    <row r="548" spans="1:19" x14ac:dyDescent="0.3">
      <c r="A548" t="s">
        <v>746</v>
      </c>
      <c r="B548" t="s">
        <v>53</v>
      </c>
      <c r="C548" t="s">
        <v>20</v>
      </c>
      <c r="D548">
        <v>40.779530000000001</v>
      </c>
      <c r="E548">
        <v>-73.97878</v>
      </c>
      <c r="F548" t="s">
        <v>21</v>
      </c>
      <c r="G548">
        <v>3</v>
      </c>
      <c r="H548">
        <v>1</v>
      </c>
      <c r="I548">
        <v>1</v>
      </c>
      <c r="J548">
        <v>1</v>
      </c>
      <c r="K548">
        <v>30</v>
      </c>
      <c r="L548">
        <v>214</v>
      </c>
      <c r="M548">
        <v>16</v>
      </c>
      <c r="N548">
        <v>0.49</v>
      </c>
      <c r="O548">
        <f t="shared" si="16"/>
        <v>0</v>
      </c>
      <c r="P548">
        <f t="shared" si="17"/>
        <v>4</v>
      </c>
      <c r="Q548" s="2">
        <v>149</v>
      </c>
      <c r="R548" s="1">
        <v>45729</v>
      </c>
      <c r="S548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175.13</v>
      </c>
    </row>
    <row r="549" spans="1:19" x14ac:dyDescent="0.3">
      <c r="A549" t="s">
        <v>747</v>
      </c>
      <c r="B549" t="s">
        <v>265</v>
      </c>
      <c r="C549" t="s">
        <v>31</v>
      </c>
      <c r="D549">
        <v>40.836419999999997</v>
      </c>
      <c r="E549">
        <v>-73.909729999999996</v>
      </c>
      <c r="F549" t="s">
        <v>21</v>
      </c>
      <c r="G549">
        <v>5</v>
      </c>
      <c r="H549">
        <v>1</v>
      </c>
      <c r="I549">
        <v>3</v>
      </c>
      <c r="J549">
        <v>3</v>
      </c>
      <c r="K549">
        <v>30</v>
      </c>
      <c r="L549">
        <v>139</v>
      </c>
      <c r="M549">
        <v>67</v>
      </c>
      <c r="N549">
        <v>1.91</v>
      </c>
      <c r="O549">
        <f t="shared" si="16"/>
        <v>0</v>
      </c>
      <c r="P549">
        <f t="shared" si="17"/>
        <v>0</v>
      </c>
      <c r="Q549" s="2">
        <v>133</v>
      </c>
      <c r="R549" s="1">
        <v>45744</v>
      </c>
      <c r="S549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155.17000000000002</v>
      </c>
    </row>
    <row r="550" spans="1:19" x14ac:dyDescent="0.3">
      <c r="A550" t="s">
        <v>748</v>
      </c>
      <c r="B550" t="s">
        <v>76</v>
      </c>
      <c r="C550" t="s">
        <v>17</v>
      </c>
      <c r="D550">
        <v>40.6051</v>
      </c>
      <c r="E550">
        <v>-73.979060000000004</v>
      </c>
      <c r="F550" t="s">
        <v>18</v>
      </c>
      <c r="G550">
        <v>1</v>
      </c>
      <c r="H550">
        <v>1</v>
      </c>
      <c r="I550">
        <v>2</v>
      </c>
      <c r="J550">
        <v>1</v>
      </c>
      <c r="K550">
        <v>30</v>
      </c>
      <c r="L550">
        <v>364</v>
      </c>
      <c r="M550">
        <v>27</v>
      </c>
      <c r="N550">
        <v>0.78</v>
      </c>
      <c r="O550">
        <f t="shared" si="16"/>
        <v>1</v>
      </c>
      <c r="P550">
        <f t="shared" si="17"/>
        <v>2</v>
      </c>
      <c r="Q550" s="2">
        <v>50</v>
      </c>
      <c r="R550" s="1">
        <v>45747</v>
      </c>
      <c r="S550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57.410000000000004</v>
      </c>
    </row>
    <row r="551" spans="1:19" x14ac:dyDescent="0.3">
      <c r="A551" t="s">
        <v>749</v>
      </c>
      <c r="B551" t="s">
        <v>58</v>
      </c>
      <c r="C551" t="s">
        <v>17</v>
      </c>
      <c r="D551">
        <v>40.68092</v>
      </c>
      <c r="E551">
        <v>-73.990970000000004</v>
      </c>
      <c r="F551" t="s">
        <v>18</v>
      </c>
      <c r="G551">
        <v>2</v>
      </c>
      <c r="H551">
        <v>1</v>
      </c>
      <c r="I551">
        <v>1</v>
      </c>
      <c r="J551">
        <v>1</v>
      </c>
      <c r="K551">
        <v>1</v>
      </c>
      <c r="L551">
        <v>226</v>
      </c>
      <c r="M551">
        <v>115</v>
      </c>
      <c r="N551">
        <v>3.53</v>
      </c>
      <c r="O551">
        <f t="shared" si="16"/>
        <v>1</v>
      </c>
      <c r="P551">
        <f t="shared" si="17"/>
        <v>2</v>
      </c>
      <c r="Q551" s="2">
        <v>225</v>
      </c>
      <c r="R551" s="1">
        <v>45742</v>
      </c>
      <c r="S551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179.06000000000003</v>
      </c>
    </row>
    <row r="552" spans="1:19" x14ac:dyDescent="0.3">
      <c r="A552" t="s">
        <v>750</v>
      </c>
      <c r="B552" t="s">
        <v>29</v>
      </c>
      <c r="C552" t="s">
        <v>30</v>
      </c>
      <c r="D552">
        <v>40.697949999999999</v>
      </c>
      <c r="E552">
        <v>-73.898349999999994</v>
      </c>
      <c r="F552" t="s">
        <v>18</v>
      </c>
      <c r="G552">
        <v>2</v>
      </c>
      <c r="H552">
        <v>1</v>
      </c>
      <c r="I552">
        <v>1</v>
      </c>
      <c r="J552">
        <v>1</v>
      </c>
      <c r="K552">
        <v>4</v>
      </c>
      <c r="L552">
        <v>45</v>
      </c>
      <c r="M552">
        <v>57</v>
      </c>
      <c r="N552">
        <v>1.62</v>
      </c>
      <c r="O552">
        <f t="shared" si="16"/>
        <v>1</v>
      </c>
      <c r="P552">
        <f t="shared" si="17"/>
        <v>0</v>
      </c>
      <c r="Q552" s="2">
        <v>141</v>
      </c>
      <c r="R552" s="1">
        <v>45747</v>
      </c>
      <c r="S552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145.79000000000002</v>
      </c>
    </row>
    <row r="553" spans="1:19" x14ac:dyDescent="0.3">
      <c r="A553" t="s">
        <v>751</v>
      </c>
      <c r="B553" t="s">
        <v>73</v>
      </c>
      <c r="C553" t="s">
        <v>30</v>
      </c>
      <c r="D553">
        <v>40.752969999999998</v>
      </c>
      <c r="E553">
        <v>-73.934700000000007</v>
      </c>
      <c r="F553" t="s">
        <v>18</v>
      </c>
      <c r="G553">
        <v>2</v>
      </c>
      <c r="H553">
        <v>1</v>
      </c>
      <c r="I553">
        <v>1</v>
      </c>
      <c r="J553">
        <v>1</v>
      </c>
      <c r="K553">
        <v>30</v>
      </c>
      <c r="L553">
        <v>303</v>
      </c>
      <c r="M553">
        <v>23</v>
      </c>
      <c r="N553">
        <v>0.68</v>
      </c>
      <c r="O553">
        <f t="shared" si="16"/>
        <v>1</v>
      </c>
      <c r="P553">
        <f t="shared" si="17"/>
        <v>0</v>
      </c>
      <c r="Q553" s="2">
        <v>86</v>
      </c>
      <c r="R553" s="1">
        <v>45745</v>
      </c>
      <c r="S553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48.370000000000019</v>
      </c>
    </row>
    <row r="554" spans="1:19" x14ac:dyDescent="0.3">
      <c r="A554" t="s">
        <v>752</v>
      </c>
      <c r="B554" t="s">
        <v>22</v>
      </c>
      <c r="C554" t="s">
        <v>17</v>
      </c>
      <c r="D554">
        <v>40.654940000000003</v>
      </c>
      <c r="E554">
        <v>-74.003789999999995</v>
      </c>
      <c r="F554" t="s">
        <v>18</v>
      </c>
      <c r="G554">
        <v>1</v>
      </c>
      <c r="H554">
        <v>1</v>
      </c>
      <c r="I554">
        <v>1</v>
      </c>
      <c r="J554">
        <v>1</v>
      </c>
      <c r="K554">
        <v>30</v>
      </c>
      <c r="L554">
        <v>95</v>
      </c>
      <c r="M554">
        <v>77</v>
      </c>
      <c r="N554">
        <v>2.2200000000000002</v>
      </c>
      <c r="O554">
        <f t="shared" si="16"/>
        <v>1</v>
      </c>
      <c r="P554">
        <f t="shared" si="17"/>
        <v>2</v>
      </c>
      <c r="Q554" s="2">
        <v>92</v>
      </c>
      <c r="R554" s="1">
        <v>45746</v>
      </c>
      <c r="S554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68.170000000000016</v>
      </c>
    </row>
    <row r="555" spans="1:19" x14ac:dyDescent="0.3">
      <c r="A555" t="s">
        <v>753</v>
      </c>
      <c r="B555" t="s">
        <v>272</v>
      </c>
      <c r="C555" t="s">
        <v>91</v>
      </c>
      <c r="D555">
        <v>40.586919999999999</v>
      </c>
      <c r="E555">
        <v>-74.088880000000003</v>
      </c>
      <c r="F555" t="s">
        <v>21</v>
      </c>
      <c r="G555">
        <v>2</v>
      </c>
      <c r="H555">
        <v>1</v>
      </c>
      <c r="I555">
        <v>1</v>
      </c>
      <c r="J555">
        <v>1</v>
      </c>
      <c r="K555">
        <v>30</v>
      </c>
      <c r="L555">
        <v>362</v>
      </c>
      <c r="M555">
        <v>33</v>
      </c>
      <c r="N555">
        <v>0.96</v>
      </c>
      <c r="O555">
        <f t="shared" si="16"/>
        <v>0</v>
      </c>
      <c r="P555">
        <f t="shared" si="17"/>
        <v>0</v>
      </c>
      <c r="Q555" s="2">
        <v>90</v>
      </c>
      <c r="R555" s="1">
        <v>45729</v>
      </c>
      <c r="S555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89.310000000000016</v>
      </c>
    </row>
    <row r="556" spans="1:19" x14ac:dyDescent="0.3">
      <c r="A556" t="s">
        <v>754</v>
      </c>
      <c r="B556" t="s">
        <v>58</v>
      </c>
      <c r="C556" t="s">
        <v>17</v>
      </c>
      <c r="D556">
        <v>40.678730000000002</v>
      </c>
      <c r="E556">
        <v>-73.983860000000007</v>
      </c>
      <c r="F556" t="s">
        <v>18</v>
      </c>
      <c r="G556">
        <v>2</v>
      </c>
      <c r="H556">
        <v>1</v>
      </c>
      <c r="I556">
        <v>0</v>
      </c>
      <c r="J556">
        <v>1</v>
      </c>
      <c r="K556">
        <v>1</v>
      </c>
      <c r="L556">
        <v>273</v>
      </c>
      <c r="M556">
        <v>46</v>
      </c>
      <c r="N556">
        <v>1.34</v>
      </c>
      <c r="O556">
        <f t="shared" si="16"/>
        <v>1</v>
      </c>
      <c r="P556">
        <f t="shared" si="17"/>
        <v>2</v>
      </c>
      <c r="Q556" s="2">
        <v>207</v>
      </c>
      <c r="R556" s="1">
        <v>45735</v>
      </c>
      <c r="S556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177.18000000000004</v>
      </c>
    </row>
    <row r="557" spans="1:19" x14ac:dyDescent="0.3">
      <c r="A557" t="s">
        <v>755</v>
      </c>
      <c r="B557" t="s">
        <v>73</v>
      </c>
      <c r="C557" t="s">
        <v>30</v>
      </c>
      <c r="D557" s="3" t="s">
        <v>756</v>
      </c>
      <c r="E557">
        <v>-73.936046797630894</v>
      </c>
      <c r="F557" t="s">
        <v>18</v>
      </c>
      <c r="G557">
        <v>2</v>
      </c>
      <c r="H557">
        <v>1</v>
      </c>
      <c r="I557">
        <v>0</v>
      </c>
      <c r="J557">
        <v>1</v>
      </c>
      <c r="K557">
        <v>1</v>
      </c>
      <c r="L557">
        <v>276</v>
      </c>
      <c r="M557">
        <v>32</v>
      </c>
      <c r="N557">
        <v>0.96</v>
      </c>
      <c r="O557">
        <f t="shared" si="16"/>
        <v>1</v>
      </c>
      <c r="P557">
        <f t="shared" si="17"/>
        <v>0</v>
      </c>
      <c r="Q557" s="2">
        <v>263</v>
      </c>
      <c r="R557" s="1">
        <v>45725</v>
      </c>
      <c r="S557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146.60000000000002</v>
      </c>
    </row>
    <row r="558" spans="1:19" x14ac:dyDescent="0.3">
      <c r="A558" t="s">
        <v>757</v>
      </c>
      <c r="B558" t="s">
        <v>57</v>
      </c>
      <c r="C558" t="s">
        <v>20</v>
      </c>
      <c r="D558">
        <v>40.721455599999999</v>
      </c>
      <c r="E558">
        <v>-73.994424199999997</v>
      </c>
      <c r="F558" t="s">
        <v>21</v>
      </c>
      <c r="G558">
        <v>2</v>
      </c>
      <c r="H558">
        <v>1</v>
      </c>
      <c r="I558">
        <v>1</v>
      </c>
      <c r="J558">
        <v>1</v>
      </c>
      <c r="K558">
        <v>30</v>
      </c>
      <c r="L558">
        <v>221</v>
      </c>
      <c r="M558">
        <v>4</v>
      </c>
      <c r="N558">
        <v>0.14000000000000001</v>
      </c>
      <c r="O558">
        <f t="shared" si="16"/>
        <v>0</v>
      </c>
      <c r="P558">
        <f t="shared" si="17"/>
        <v>4</v>
      </c>
      <c r="Q558" s="2">
        <v>170</v>
      </c>
      <c r="R558" s="1">
        <v>45717</v>
      </c>
      <c r="S558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155.87</v>
      </c>
    </row>
    <row r="559" spans="1:19" x14ac:dyDescent="0.3">
      <c r="A559" t="s">
        <v>758</v>
      </c>
      <c r="B559" t="s">
        <v>64</v>
      </c>
      <c r="C559" t="s">
        <v>17</v>
      </c>
      <c r="D559">
        <v>40.681019999999997</v>
      </c>
      <c r="E559">
        <v>-73.970950000000002</v>
      </c>
      <c r="F559" t="s">
        <v>21</v>
      </c>
      <c r="G559">
        <v>4</v>
      </c>
      <c r="H559">
        <v>1</v>
      </c>
      <c r="I559">
        <v>2</v>
      </c>
      <c r="J559">
        <v>2</v>
      </c>
      <c r="K559">
        <v>30</v>
      </c>
      <c r="L559">
        <v>162</v>
      </c>
      <c r="M559">
        <v>10</v>
      </c>
      <c r="N559">
        <v>0.3</v>
      </c>
      <c r="O559">
        <f t="shared" si="16"/>
        <v>0</v>
      </c>
      <c r="P559">
        <f t="shared" si="17"/>
        <v>2</v>
      </c>
      <c r="Q559" s="2">
        <v>215</v>
      </c>
      <c r="R559" s="1">
        <v>45738</v>
      </c>
      <c r="S559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165.73000000000005</v>
      </c>
    </row>
    <row r="560" spans="1:19" x14ac:dyDescent="0.3">
      <c r="A560" t="s">
        <v>759</v>
      </c>
      <c r="B560" t="s">
        <v>27</v>
      </c>
      <c r="C560" t="s">
        <v>17</v>
      </c>
      <c r="D560">
        <v>40.676409999999997</v>
      </c>
      <c r="E560">
        <v>-73.910690000000002</v>
      </c>
      <c r="F560" t="s">
        <v>21</v>
      </c>
      <c r="G560">
        <v>2</v>
      </c>
      <c r="H560">
        <v>1</v>
      </c>
      <c r="I560">
        <v>0</v>
      </c>
      <c r="J560">
        <v>1</v>
      </c>
      <c r="K560">
        <v>30</v>
      </c>
      <c r="L560">
        <v>333</v>
      </c>
      <c r="M560">
        <v>44</v>
      </c>
      <c r="N560">
        <v>1.36</v>
      </c>
      <c r="O560">
        <f t="shared" si="16"/>
        <v>0</v>
      </c>
      <c r="P560">
        <f t="shared" si="17"/>
        <v>2</v>
      </c>
      <c r="Q560" s="2">
        <v>100</v>
      </c>
      <c r="R560" s="1">
        <v>45747</v>
      </c>
      <c r="S560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120.93000000000004</v>
      </c>
    </row>
    <row r="561" spans="1:19" x14ac:dyDescent="0.3">
      <c r="A561" t="s">
        <v>760</v>
      </c>
      <c r="B561" t="s">
        <v>38</v>
      </c>
      <c r="C561" t="s">
        <v>20</v>
      </c>
      <c r="D561">
        <v>40.764449999999997</v>
      </c>
      <c r="E561">
        <v>-73.984679999999997</v>
      </c>
      <c r="F561" t="s">
        <v>18</v>
      </c>
      <c r="G561">
        <v>2</v>
      </c>
      <c r="H561">
        <v>1</v>
      </c>
      <c r="I561">
        <v>1</v>
      </c>
      <c r="J561">
        <v>1</v>
      </c>
      <c r="K561">
        <v>1</v>
      </c>
      <c r="L561">
        <v>257</v>
      </c>
      <c r="M561">
        <v>120</v>
      </c>
      <c r="N561">
        <v>3.51</v>
      </c>
      <c r="O561">
        <f t="shared" si="16"/>
        <v>1</v>
      </c>
      <c r="P561">
        <f t="shared" si="17"/>
        <v>4</v>
      </c>
      <c r="Q561" s="2">
        <v>134</v>
      </c>
      <c r="R561" s="1">
        <v>45735</v>
      </c>
      <c r="S561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208.28000000000003</v>
      </c>
    </row>
    <row r="562" spans="1:19" x14ac:dyDescent="0.3">
      <c r="A562" t="s">
        <v>761</v>
      </c>
      <c r="B562" t="s">
        <v>40</v>
      </c>
      <c r="C562" t="s">
        <v>17</v>
      </c>
      <c r="D562">
        <v>40.63308</v>
      </c>
      <c r="E562">
        <v>-73.950729999999993</v>
      </c>
      <c r="F562" t="s">
        <v>18</v>
      </c>
      <c r="G562">
        <v>2</v>
      </c>
      <c r="H562">
        <v>1</v>
      </c>
      <c r="I562">
        <v>1</v>
      </c>
      <c r="J562">
        <v>1</v>
      </c>
      <c r="K562">
        <v>30</v>
      </c>
      <c r="L562">
        <v>268</v>
      </c>
      <c r="M562">
        <v>43</v>
      </c>
      <c r="N562">
        <v>1.28</v>
      </c>
      <c r="O562">
        <f t="shared" si="16"/>
        <v>1</v>
      </c>
      <c r="P562">
        <f t="shared" si="17"/>
        <v>2</v>
      </c>
      <c r="Q562" s="2">
        <v>60</v>
      </c>
      <c r="R562" s="1">
        <v>45729</v>
      </c>
      <c r="S562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80.230000000000018</v>
      </c>
    </row>
    <row r="563" spans="1:19" x14ac:dyDescent="0.3">
      <c r="A563" t="s">
        <v>762</v>
      </c>
      <c r="B563" t="s">
        <v>67</v>
      </c>
      <c r="C563" t="s">
        <v>17</v>
      </c>
      <c r="D563">
        <v>40.705370100000003</v>
      </c>
      <c r="E563">
        <v>-73.919609199999996</v>
      </c>
      <c r="F563" t="s">
        <v>21</v>
      </c>
      <c r="G563">
        <v>3</v>
      </c>
      <c r="H563">
        <v>1.5</v>
      </c>
      <c r="I563">
        <v>1</v>
      </c>
      <c r="J563">
        <v>1</v>
      </c>
      <c r="K563">
        <v>30</v>
      </c>
      <c r="L563">
        <v>365</v>
      </c>
      <c r="M563">
        <v>21</v>
      </c>
      <c r="N563">
        <v>0.63</v>
      </c>
      <c r="O563">
        <f t="shared" si="16"/>
        <v>0</v>
      </c>
      <c r="P563">
        <f t="shared" si="17"/>
        <v>2</v>
      </c>
      <c r="Q563" s="2">
        <v>110</v>
      </c>
      <c r="R563" s="1">
        <v>45724</v>
      </c>
      <c r="S563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144.24000000000004</v>
      </c>
    </row>
    <row r="564" spans="1:19" x14ac:dyDescent="0.3">
      <c r="A564" t="s">
        <v>763</v>
      </c>
      <c r="B564" t="s">
        <v>33</v>
      </c>
      <c r="C564" t="s">
        <v>17</v>
      </c>
      <c r="D564">
        <v>40.674990000000001</v>
      </c>
      <c r="E564">
        <v>-73.981089999999995</v>
      </c>
      <c r="F564" t="s">
        <v>21</v>
      </c>
      <c r="G564">
        <v>2</v>
      </c>
      <c r="H564">
        <v>1</v>
      </c>
      <c r="I564">
        <v>1</v>
      </c>
      <c r="J564">
        <v>2</v>
      </c>
      <c r="K564">
        <v>30</v>
      </c>
      <c r="L564">
        <v>251</v>
      </c>
      <c r="M564">
        <v>8</v>
      </c>
      <c r="N564">
        <v>0.25</v>
      </c>
      <c r="O564">
        <f t="shared" si="16"/>
        <v>0</v>
      </c>
      <c r="P564">
        <f t="shared" si="17"/>
        <v>2</v>
      </c>
      <c r="Q564" s="2">
        <v>159</v>
      </c>
      <c r="R564" s="1">
        <v>45747</v>
      </c>
      <c r="S564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124.21000000000001</v>
      </c>
    </row>
    <row r="565" spans="1:19" x14ac:dyDescent="0.3">
      <c r="A565" t="s">
        <v>764</v>
      </c>
      <c r="B565" t="s">
        <v>27</v>
      </c>
      <c r="C565" t="s">
        <v>17</v>
      </c>
      <c r="D565">
        <v>40.687829999999998</v>
      </c>
      <c r="E565">
        <v>-73.932050000000004</v>
      </c>
      <c r="F565" t="s">
        <v>21</v>
      </c>
      <c r="G565">
        <v>2</v>
      </c>
      <c r="H565">
        <v>1</v>
      </c>
      <c r="I565">
        <v>1</v>
      </c>
      <c r="J565">
        <v>1</v>
      </c>
      <c r="K565">
        <v>30</v>
      </c>
      <c r="L565">
        <v>272</v>
      </c>
      <c r="M565">
        <v>4</v>
      </c>
      <c r="N565">
        <v>0.19</v>
      </c>
      <c r="O565">
        <f t="shared" si="16"/>
        <v>0</v>
      </c>
      <c r="P565">
        <f t="shared" si="17"/>
        <v>2</v>
      </c>
      <c r="Q565" s="2">
        <v>114</v>
      </c>
      <c r="R565" s="1">
        <v>45739</v>
      </c>
      <c r="S565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123.37000000000003</v>
      </c>
    </row>
    <row r="566" spans="1:19" x14ac:dyDescent="0.3">
      <c r="A566" t="s">
        <v>765</v>
      </c>
      <c r="B566" t="s">
        <v>37</v>
      </c>
      <c r="C566" t="s">
        <v>30</v>
      </c>
      <c r="D566">
        <v>40.77384</v>
      </c>
      <c r="E566">
        <v>-73.90652</v>
      </c>
      <c r="F566" t="s">
        <v>21</v>
      </c>
      <c r="G566">
        <v>4</v>
      </c>
      <c r="H566">
        <v>1</v>
      </c>
      <c r="I566">
        <v>2</v>
      </c>
      <c r="J566">
        <v>2</v>
      </c>
      <c r="K566">
        <v>30</v>
      </c>
      <c r="L566">
        <v>268</v>
      </c>
      <c r="M566">
        <v>64</v>
      </c>
      <c r="N566">
        <v>1.87</v>
      </c>
      <c r="O566">
        <f t="shared" si="16"/>
        <v>0</v>
      </c>
      <c r="P566">
        <f t="shared" si="17"/>
        <v>0</v>
      </c>
      <c r="Q566" s="2">
        <v>159</v>
      </c>
      <c r="R566" s="1">
        <v>45747</v>
      </c>
      <c r="S566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131.03000000000003</v>
      </c>
    </row>
    <row r="567" spans="1:19" x14ac:dyDescent="0.3">
      <c r="A567" t="s">
        <v>766</v>
      </c>
      <c r="B567" t="s">
        <v>60</v>
      </c>
      <c r="C567" t="s">
        <v>17</v>
      </c>
      <c r="D567">
        <v>40.6559399</v>
      </c>
      <c r="E567">
        <v>-73.935446400000004</v>
      </c>
      <c r="F567" t="s">
        <v>18</v>
      </c>
      <c r="G567">
        <v>1</v>
      </c>
      <c r="H567">
        <v>2</v>
      </c>
      <c r="I567">
        <v>1</v>
      </c>
      <c r="J567">
        <v>1</v>
      </c>
      <c r="K567">
        <v>2</v>
      </c>
      <c r="L567">
        <v>349</v>
      </c>
      <c r="M567">
        <v>49</v>
      </c>
      <c r="N567">
        <v>2.06</v>
      </c>
      <c r="O567">
        <f t="shared" si="16"/>
        <v>1</v>
      </c>
      <c r="P567">
        <f t="shared" si="17"/>
        <v>2</v>
      </c>
      <c r="Q567" s="2">
        <v>90</v>
      </c>
      <c r="R567" s="1">
        <v>45746</v>
      </c>
      <c r="S567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163.03</v>
      </c>
    </row>
    <row r="568" spans="1:19" x14ac:dyDescent="0.3">
      <c r="A568" t="s">
        <v>767</v>
      </c>
      <c r="B568" t="s">
        <v>501</v>
      </c>
      <c r="C568" t="s">
        <v>31</v>
      </c>
      <c r="D568">
        <v>40.900469999999999</v>
      </c>
      <c r="E568">
        <v>-73.867620000000002</v>
      </c>
      <c r="F568" t="s">
        <v>21</v>
      </c>
      <c r="G568">
        <v>2</v>
      </c>
      <c r="H568">
        <v>1</v>
      </c>
      <c r="I568">
        <v>1</v>
      </c>
      <c r="J568">
        <v>2</v>
      </c>
      <c r="K568">
        <v>30</v>
      </c>
      <c r="L568">
        <v>243</v>
      </c>
      <c r="M568">
        <v>15</v>
      </c>
      <c r="N568">
        <v>0.6</v>
      </c>
      <c r="O568">
        <f t="shared" si="16"/>
        <v>0</v>
      </c>
      <c r="P568">
        <f t="shared" si="17"/>
        <v>0</v>
      </c>
      <c r="Q568" s="2">
        <v>71</v>
      </c>
      <c r="R568" s="1">
        <v>45720</v>
      </c>
      <c r="S568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94.070000000000022</v>
      </c>
    </row>
    <row r="569" spans="1:19" x14ac:dyDescent="0.3">
      <c r="A569" t="s">
        <v>768</v>
      </c>
      <c r="B569" t="s">
        <v>29</v>
      </c>
      <c r="C569" t="s">
        <v>30</v>
      </c>
      <c r="D569">
        <v>40.70335</v>
      </c>
      <c r="E569">
        <v>-73.905869999999993</v>
      </c>
      <c r="F569" t="s">
        <v>18</v>
      </c>
      <c r="G569">
        <v>1</v>
      </c>
      <c r="H569">
        <v>2</v>
      </c>
      <c r="I569">
        <v>1</v>
      </c>
      <c r="J569">
        <v>1</v>
      </c>
      <c r="K569">
        <v>30</v>
      </c>
      <c r="L569">
        <v>365</v>
      </c>
      <c r="M569">
        <v>1</v>
      </c>
      <c r="N569">
        <v>0.71</v>
      </c>
      <c r="O569">
        <f t="shared" si="16"/>
        <v>1</v>
      </c>
      <c r="P569">
        <f t="shared" si="17"/>
        <v>0</v>
      </c>
      <c r="Q569" s="2">
        <v>68</v>
      </c>
      <c r="R569" s="1">
        <v>45737</v>
      </c>
      <c r="S569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38.13000000000001</v>
      </c>
    </row>
    <row r="570" spans="1:19" x14ac:dyDescent="0.3">
      <c r="A570" t="s">
        <v>769</v>
      </c>
      <c r="B570" t="s">
        <v>67</v>
      </c>
      <c r="C570" t="s">
        <v>17</v>
      </c>
      <c r="D570">
        <v>40.700699999999998</v>
      </c>
      <c r="E570">
        <v>-73.914410000000004</v>
      </c>
      <c r="F570" t="s">
        <v>21</v>
      </c>
      <c r="G570">
        <v>2</v>
      </c>
      <c r="H570">
        <v>1</v>
      </c>
      <c r="I570">
        <v>1</v>
      </c>
      <c r="J570">
        <v>1</v>
      </c>
      <c r="K570">
        <v>30</v>
      </c>
      <c r="L570">
        <v>294</v>
      </c>
      <c r="M570">
        <v>11</v>
      </c>
      <c r="N570">
        <v>0.35</v>
      </c>
      <c r="O570">
        <f t="shared" si="16"/>
        <v>0</v>
      </c>
      <c r="P570">
        <f t="shared" si="17"/>
        <v>2</v>
      </c>
      <c r="Q570" s="2">
        <v>102</v>
      </c>
      <c r="R570" s="1">
        <v>45738</v>
      </c>
      <c r="S570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122.49000000000001</v>
      </c>
    </row>
    <row r="571" spans="1:19" x14ac:dyDescent="0.3">
      <c r="A571" t="s">
        <v>452</v>
      </c>
      <c r="B571" t="s">
        <v>82</v>
      </c>
      <c r="C571" t="s">
        <v>30</v>
      </c>
      <c r="D571">
        <v>40.745950000000001</v>
      </c>
      <c r="E571">
        <v>-73.893479999999997</v>
      </c>
      <c r="F571" t="s">
        <v>18</v>
      </c>
      <c r="G571">
        <v>1</v>
      </c>
      <c r="H571">
        <v>1</v>
      </c>
      <c r="I571">
        <v>1</v>
      </c>
      <c r="J571">
        <v>1</v>
      </c>
      <c r="K571">
        <v>30</v>
      </c>
      <c r="L571">
        <v>30</v>
      </c>
      <c r="M571">
        <v>9</v>
      </c>
      <c r="N571">
        <v>0.3</v>
      </c>
      <c r="O571">
        <f t="shared" si="16"/>
        <v>1</v>
      </c>
      <c r="P571">
        <f t="shared" si="17"/>
        <v>0</v>
      </c>
      <c r="Q571" s="2">
        <v>59</v>
      </c>
      <c r="R571" s="1">
        <v>45724</v>
      </c>
      <c r="S571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40.31</v>
      </c>
    </row>
    <row r="572" spans="1:19" x14ac:dyDescent="0.3">
      <c r="A572" t="s">
        <v>770</v>
      </c>
      <c r="B572" t="s">
        <v>28</v>
      </c>
      <c r="C572" t="s">
        <v>20</v>
      </c>
      <c r="D572">
        <v>40.800789999999999</v>
      </c>
      <c r="E572">
        <v>-73.954759999999993</v>
      </c>
      <c r="F572" t="s">
        <v>18</v>
      </c>
      <c r="G572">
        <v>4</v>
      </c>
      <c r="H572">
        <v>1</v>
      </c>
      <c r="I572">
        <v>1</v>
      </c>
      <c r="J572">
        <v>2</v>
      </c>
      <c r="K572">
        <v>1</v>
      </c>
      <c r="L572">
        <v>224</v>
      </c>
      <c r="M572">
        <v>87</v>
      </c>
      <c r="N572">
        <v>2.56</v>
      </c>
      <c r="O572">
        <f t="shared" si="16"/>
        <v>1</v>
      </c>
      <c r="P572">
        <f t="shared" si="17"/>
        <v>4</v>
      </c>
      <c r="Q572" s="2">
        <v>207</v>
      </c>
      <c r="R572" s="1">
        <v>45747</v>
      </c>
      <c r="S572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247.56000000000006</v>
      </c>
    </row>
    <row r="573" spans="1:19" x14ac:dyDescent="0.3">
      <c r="A573" t="s">
        <v>771</v>
      </c>
      <c r="B573" t="s">
        <v>27</v>
      </c>
      <c r="C573" t="s">
        <v>17</v>
      </c>
      <c r="D573">
        <v>40.682569999999998</v>
      </c>
      <c r="E573">
        <v>-73.927440000000004</v>
      </c>
      <c r="F573" t="s">
        <v>18</v>
      </c>
      <c r="G573">
        <v>1</v>
      </c>
      <c r="H573">
        <v>1</v>
      </c>
      <c r="I573">
        <v>1</v>
      </c>
      <c r="J573">
        <v>1</v>
      </c>
      <c r="K573">
        <v>30</v>
      </c>
      <c r="L573">
        <v>333</v>
      </c>
      <c r="M573">
        <v>61</v>
      </c>
      <c r="N573">
        <v>1.79</v>
      </c>
      <c r="O573">
        <f t="shared" si="16"/>
        <v>1</v>
      </c>
      <c r="P573">
        <f t="shared" si="17"/>
        <v>2</v>
      </c>
      <c r="Q573" s="2">
        <v>83</v>
      </c>
      <c r="R573" s="1">
        <v>45747</v>
      </c>
      <c r="S573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58.650000000000013</v>
      </c>
    </row>
    <row r="574" spans="1:19" x14ac:dyDescent="0.3">
      <c r="A574" t="s">
        <v>773</v>
      </c>
      <c r="B574" t="s">
        <v>56</v>
      </c>
      <c r="C574" t="s">
        <v>17</v>
      </c>
      <c r="D574">
        <v>40.676518999999999</v>
      </c>
      <c r="E574">
        <v>-73.955200500000004</v>
      </c>
      <c r="F574" t="s">
        <v>18</v>
      </c>
      <c r="G574">
        <v>2</v>
      </c>
      <c r="H574">
        <v>1</v>
      </c>
      <c r="I574">
        <v>1</v>
      </c>
      <c r="J574">
        <v>1</v>
      </c>
      <c r="K574">
        <v>2</v>
      </c>
      <c r="L574">
        <v>128</v>
      </c>
      <c r="M574">
        <v>65</v>
      </c>
      <c r="N574">
        <v>2.91</v>
      </c>
      <c r="O574">
        <f t="shared" si="16"/>
        <v>1</v>
      </c>
      <c r="P574">
        <f t="shared" si="17"/>
        <v>2</v>
      </c>
      <c r="Q574" s="2">
        <v>184</v>
      </c>
      <c r="R574" s="1">
        <v>45733</v>
      </c>
      <c r="S574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179.63000000000002</v>
      </c>
    </row>
    <row r="575" spans="1:19" x14ac:dyDescent="0.3">
      <c r="A575" t="s">
        <v>774</v>
      </c>
      <c r="B575" t="s">
        <v>61</v>
      </c>
      <c r="C575" t="s">
        <v>30</v>
      </c>
      <c r="D575">
        <v>40.757800000000003</v>
      </c>
      <c r="E575">
        <v>-73.927480000000003</v>
      </c>
      <c r="F575" t="s">
        <v>21</v>
      </c>
      <c r="G575">
        <v>8</v>
      </c>
      <c r="H575">
        <v>1</v>
      </c>
      <c r="I575">
        <v>2</v>
      </c>
      <c r="J575">
        <v>3</v>
      </c>
      <c r="K575">
        <v>30</v>
      </c>
      <c r="L575">
        <v>336</v>
      </c>
      <c r="M575">
        <v>30</v>
      </c>
      <c r="N575">
        <v>0.9</v>
      </c>
      <c r="O575">
        <f t="shared" si="16"/>
        <v>0</v>
      </c>
      <c r="P575">
        <f t="shared" si="17"/>
        <v>0</v>
      </c>
      <c r="Q575" s="2">
        <v>112</v>
      </c>
      <c r="R575" s="1">
        <v>45745</v>
      </c>
      <c r="S575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204.23000000000008</v>
      </c>
    </row>
    <row r="576" spans="1:19" x14ac:dyDescent="0.3">
      <c r="A576" t="s">
        <v>775</v>
      </c>
      <c r="B576" t="s">
        <v>126</v>
      </c>
      <c r="C576" t="s">
        <v>30</v>
      </c>
      <c r="D576">
        <v>40.596139999999998</v>
      </c>
      <c r="E576">
        <v>-73.794200000000004</v>
      </c>
      <c r="F576" t="s">
        <v>18</v>
      </c>
      <c r="G576">
        <v>2</v>
      </c>
      <c r="H576">
        <v>1</v>
      </c>
      <c r="I576">
        <v>2</v>
      </c>
      <c r="J576">
        <v>3</v>
      </c>
      <c r="K576">
        <v>2</v>
      </c>
      <c r="L576">
        <v>137</v>
      </c>
      <c r="M576">
        <v>113</v>
      </c>
      <c r="N576">
        <v>3.37</v>
      </c>
      <c r="O576">
        <f t="shared" si="16"/>
        <v>1</v>
      </c>
      <c r="P576">
        <f t="shared" si="17"/>
        <v>0</v>
      </c>
      <c r="Q576" s="2">
        <v>98</v>
      </c>
      <c r="R576" s="1">
        <v>45731</v>
      </c>
      <c r="S576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148.81000000000006</v>
      </c>
    </row>
    <row r="577" spans="1:19" x14ac:dyDescent="0.3">
      <c r="A577" t="s">
        <v>776</v>
      </c>
      <c r="B577" t="s">
        <v>24</v>
      </c>
      <c r="C577" t="s">
        <v>20</v>
      </c>
      <c r="D577">
        <v>40.808349999999997</v>
      </c>
      <c r="E577">
        <v>-73.93862</v>
      </c>
      <c r="F577" t="s">
        <v>18</v>
      </c>
      <c r="G577">
        <v>2</v>
      </c>
      <c r="H577">
        <v>1</v>
      </c>
      <c r="I577">
        <v>1</v>
      </c>
      <c r="J577">
        <v>2</v>
      </c>
      <c r="K577">
        <v>1</v>
      </c>
      <c r="L577">
        <v>257</v>
      </c>
      <c r="M577">
        <v>13</v>
      </c>
      <c r="N577">
        <v>0.54</v>
      </c>
      <c r="O577">
        <f t="shared" si="16"/>
        <v>1</v>
      </c>
      <c r="P577">
        <f t="shared" si="17"/>
        <v>4</v>
      </c>
      <c r="Q577" s="2">
        <v>207</v>
      </c>
      <c r="R577" s="1">
        <v>45744</v>
      </c>
      <c r="S577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208.28000000000003</v>
      </c>
    </row>
    <row r="578" spans="1:19" x14ac:dyDescent="0.3">
      <c r="A578" t="s">
        <v>777</v>
      </c>
      <c r="B578" t="s">
        <v>36</v>
      </c>
      <c r="C578" t="s">
        <v>20</v>
      </c>
      <c r="D578">
        <v>40.783450000000002</v>
      </c>
      <c r="E578">
        <v>-73.946299999999994</v>
      </c>
      <c r="F578" t="s">
        <v>21</v>
      </c>
      <c r="G578">
        <v>4</v>
      </c>
      <c r="H578">
        <v>1</v>
      </c>
      <c r="I578">
        <v>2</v>
      </c>
      <c r="J578">
        <v>3</v>
      </c>
      <c r="K578">
        <v>30</v>
      </c>
      <c r="L578">
        <v>273</v>
      </c>
      <c r="M578">
        <v>3</v>
      </c>
      <c r="N578">
        <v>0.1</v>
      </c>
      <c r="O578">
        <f t="shared" si="16"/>
        <v>0</v>
      </c>
      <c r="P578">
        <f t="shared" si="17"/>
        <v>4</v>
      </c>
      <c r="Q578" s="2">
        <v>155</v>
      </c>
      <c r="R578" s="1">
        <v>45717</v>
      </c>
      <c r="S578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191.75000000000006</v>
      </c>
    </row>
    <row r="579" spans="1:19" x14ac:dyDescent="0.3">
      <c r="A579" t="s">
        <v>778</v>
      </c>
      <c r="B579" t="s">
        <v>122</v>
      </c>
      <c r="C579" t="s">
        <v>17</v>
      </c>
      <c r="D579">
        <v>40.634650000000001</v>
      </c>
      <c r="E579">
        <v>-74.023009999999999</v>
      </c>
      <c r="F579" t="s">
        <v>18</v>
      </c>
      <c r="G579">
        <v>1</v>
      </c>
      <c r="H579">
        <v>2</v>
      </c>
      <c r="I579">
        <v>1</v>
      </c>
      <c r="J579">
        <v>1</v>
      </c>
      <c r="K579">
        <v>30</v>
      </c>
      <c r="L579">
        <v>78</v>
      </c>
      <c r="M579">
        <v>31</v>
      </c>
      <c r="N579">
        <v>0.95</v>
      </c>
      <c r="O579">
        <f t="shared" ref="O579:O642" si="18">IF(F579="Private room",1,0)</f>
        <v>1</v>
      </c>
      <c r="P579">
        <f t="shared" ref="P579:P642" si="19">IF(C579="Manhattan",4,IF(C579="Brooklyn",2,0))</f>
        <v>2</v>
      </c>
      <c r="Q579" s="2">
        <v>170</v>
      </c>
      <c r="R579" s="1">
        <v>45738</v>
      </c>
      <c r="S579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80.069999999999993</v>
      </c>
    </row>
    <row r="580" spans="1:19" x14ac:dyDescent="0.3">
      <c r="A580" t="s">
        <v>779</v>
      </c>
      <c r="B580" t="s">
        <v>23</v>
      </c>
      <c r="C580" t="s">
        <v>17</v>
      </c>
      <c r="D580">
        <v>40.714400300000001</v>
      </c>
      <c r="E580">
        <v>-73.949682499999994</v>
      </c>
      <c r="F580" t="s">
        <v>21</v>
      </c>
      <c r="G580">
        <v>5</v>
      </c>
      <c r="H580">
        <v>2</v>
      </c>
      <c r="I580">
        <v>3</v>
      </c>
      <c r="J580">
        <v>3</v>
      </c>
      <c r="K580">
        <v>30</v>
      </c>
      <c r="L580">
        <v>334</v>
      </c>
      <c r="M580">
        <v>8</v>
      </c>
      <c r="N580">
        <v>0.25</v>
      </c>
      <c r="O580">
        <f t="shared" si="18"/>
        <v>0</v>
      </c>
      <c r="P580">
        <f t="shared" si="19"/>
        <v>2</v>
      </c>
      <c r="Q580" s="2">
        <v>240</v>
      </c>
      <c r="R580" s="1">
        <v>45747</v>
      </c>
      <c r="S580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189.05000000000004</v>
      </c>
    </row>
    <row r="581" spans="1:19" x14ac:dyDescent="0.3">
      <c r="A581" t="s">
        <v>780</v>
      </c>
      <c r="B581" t="s">
        <v>106</v>
      </c>
      <c r="C581" t="s">
        <v>31</v>
      </c>
      <c r="D581">
        <v>40.822980000000001</v>
      </c>
      <c r="E581">
        <v>-73.915610000000001</v>
      </c>
      <c r="F581" t="s">
        <v>21</v>
      </c>
      <c r="G581">
        <v>2</v>
      </c>
      <c r="H581">
        <v>1</v>
      </c>
      <c r="I581">
        <v>1</v>
      </c>
      <c r="J581">
        <v>2</v>
      </c>
      <c r="K581">
        <v>30</v>
      </c>
      <c r="L581">
        <v>334</v>
      </c>
      <c r="M581">
        <v>10</v>
      </c>
      <c r="N581">
        <v>0.32</v>
      </c>
      <c r="O581">
        <f t="shared" si="18"/>
        <v>0</v>
      </c>
      <c r="P581">
        <f t="shared" si="19"/>
        <v>0</v>
      </c>
      <c r="Q581" s="2">
        <v>75</v>
      </c>
      <c r="R581" s="1">
        <v>45743</v>
      </c>
      <c r="S581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90.430000000000021</v>
      </c>
    </row>
    <row r="582" spans="1:19" x14ac:dyDescent="0.3">
      <c r="A582" t="s">
        <v>781</v>
      </c>
      <c r="B582" t="s">
        <v>42</v>
      </c>
      <c r="C582" t="s">
        <v>17</v>
      </c>
      <c r="D582">
        <v>40.73321</v>
      </c>
      <c r="E582">
        <v>-73.956729999999993</v>
      </c>
      <c r="F582" t="s">
        <v>21</v>
      </c>
      <c r="G582">
        <v>4</v>
      </c>
      <c r="H582">
        <v>2.5</v>
      </c>
      <c r="I582">
        <v>2</v>
      </c>
      <c r="J582">
        <v>2</v>
      </c>
      <c r="K582">
        <v>30</v>
      </c>
      <c r="L582">
        <v>91</v>
      </c>
      <c r="M582">
        <v>6</v>
      </c>
      <c r="N582">
        <v>0.24</v>
      </c>
      <c r="O582">
        <f t="shared" si="18"/>
        <v>0</v>
      </c>
      <c r="P582">
        <f t="shared" si="19"/>
        <v>2</v>
      </c>
      <c r="Q582" s="2">
        <v>420</v>
      </c>
      <c r="R582" s="1">
        <v>45722</v>
      </c>
      <c r="S582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185.40000000000006</v>
      </c>
    </row>
    <row r="583" spans="1:19" x14ac:dyDescent="0.3">
      <c r="A583" t="s">
        <v>782</v>
      </c>
      <c r="B583" t="s">
        <v>98</v>
      </c>
      <c r="C583" t="s">
        <v>17</v>
      </c>
      <c r="D583" s="3" t="s">
        <v>783</v>
      </c>
      <c r="E583">
        <v>-74.0295011958343</v>
      </c>
      <c r="F583" t="s">
        <v>21</v>
      </c>
      <c r="G583">
        <v>2</v>
      </c>
      <c r="H583">
        <v>1</v>
      </c>
      <c r="I583">
        <v>1</v>
      </c>
      <c r="J583">
        <v>2</v>
      </c>
      <c r="K583">
        <v>2</v>
      </c>
      <c r="L583">
        <v>332</v>
      </c>
      <c r="M583">
        <v>141</v>
      </c>
      <c r="N583">
        <v>4.26</v>
      </c>
      <c r="O583">
        <f t="shared" si="18"/>
        <v>0</v>
      </c>
      <c r="P583">
        <f t="shared" si="19"/>
        <v>2</v>
      </c>
      <c r="Q583" s="2">
        <v>173</v>
      </c>
      <c r="R583" s="1">
        <v>45744</v>
      </c>
      <c r="S583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214.77000000000004</v>
      </c>
    </row>
    <row r="584" spans="1:19" x14ac:dyDescent="0.3">
      <c r="A584" t="s">
        <v>784</v>
      </c>
      <c r="B584" t="s">
        <v>61</v>
      </c>
      <c r="C584" t="s">
        <v>30</v>
      </c>
      <c r="D584" s="3" t="s">
        <v>785</v>
      </c>
      <c r="E584">
        <v>-73.922467343509197</v>
      </c>
      <c r="F584" t="s">
        <v>21</v>
      </c>
      <c r="G584">
        <v>2</v>
      </c>
      <c r="H584">
        <v>1</v>
      </c>
      <c r="I584">
        <v>1</v>
      </c>
      <c r="J584">
        <v>1</v>
      </c>
      <c r="K584">
        <v>30</v>
      </c>
      <c r="L584">
        <v>81</v>
      </c>
      <c r="M584">
        <v>11</v>
      </c>
      <c r="N584">
        <v>0.34</v>
      </c>
      <c r="O584">
        <f t="shared" si="18"/>
        <v>0</v>
      </c>
      <c r="P584">
        <f t="shared" si="19"/>
        <v>0</v>
      </c>
      <c r="Q584" s="2">
        <v>85</v>
      </c>
      <c r="R584" s="1">
        <v>45717</v>
      </c>
      <c r="S584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100.55000000000003</v>
      </c>
    </row>
    <row r="585" spans="1:19" x14ac:dyDescent="0.3">
      <c r="A585" t="s">
        <v>786</v>
      </c>
      <c r="B585" t="s">
        <v>42</v>
      </c>
      <c r="C585" t="s">
        <v>17</v>
      </c>
      <c r="D585">
        <v>40.733824599999998</v>
      </c>
      <c r="E585">
        <v>-73.955720499999998</v>
      </c>
      <c r="F585" t="s">
        <v>21</v>
      </c>
      <c r="G585">
        <v>5</v>
      </c>
      <c r="H585">
        <v>2</v>
      </c>
      <c r="I585">
        <v>2</v>
      </c>
      <c r="J585">
        <v>2</v>
      </c>
      <c r="K585">
        <v>30</v>
      </c>
      <c r="L585">
        <v>337</v>
      </c>
      <c r="M585">
        <v>4</v>
      </c>
      <c r="N585">
        <v>0.13</v>
      </c>
      <c r="O585">
        <f t="shared" si="18"/>
        <v>0</v>
      </c>
      <c r="P585">
        <f t="shared" si="19"/>
        <v>2</v>
      </c>
      <c r="Q585" s="2">
        <v>403</v>
      </c>
      <c r="R585" s="1">
        <v>45718</v>
      </c>
      <c r="S585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188.93000000000006</v>
      </c>
    </row>
    <row r="586" spans="1:19" x14ac:dyDescent="0.3">
      <c r="A586" t="s">
        <v>787</v>
      </c>
      <c r="B586" t="s">
        <v>96</v>
      </c>
      <c r="C586" t="s">
        <v>30</v>
      </c>
      <c r="D586">
        <v>40.734960000000001</v>
      </c>
      <c r="E586">
        <v>-73.905929999999998</v>
      </c>
      <c r="F586" t="s">
        <v>18</v>
      </c>
      <c r="G586">
        <v>2</v>
      </c>
      <c r="H586">
        <v>1.5</v>
      </c>
      <c r="I586">
        <v>1</v>
      </c>
      <c r="J586">
        <v>1</v>
      </c>
      <c r="K586">
        <v>3</v>
      </c>
      <c r="L586">
        <v>304</v>
      </c>
      <c r="M586">
        <v>14</v>
      </c>
      <c r="N586">
        <v>1.48</v>
      </c>
      <c r="O586">
        <f t="shared" si="18"/>
        <v>1</v>
      </c>
      <c r="P586">
        <f t="shared" si="19"/>
        <v>0</v>
      </c>
      <c r="Q586" s="2">
        <v>87</v>
      </c>
      <c r="R586" s="1">
        <v>45739</v>
      </c>
      <c r="S586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144.39000000000004</v>
      </c>
    </row>
    <row r="587" spans="1:19" x14ac:dyDescent="0.3">
      <c r="A587" t="s">
        <v>788</v>
      </c>
      <c r="B587" t="s">
        <v>67</v>
      </c>
      <c r="C587" t="s">
        <v>17</v>
      </c>
      <c r="D587">
        <v>40.70064</v>
      </c>
      <c r="E587">
        <v>-73.912710000000004</v>
      </c>
      <c r="F587" t="s">
        <v>21</v>
      </c>
      <c r="G587">
        <v>4</v>
      </c>
      <c r="H587">
        <v>1</v>
      </c>
      <c r="I587">
        <v>2</v>
      </c>
      <c r="J587">
        <v>2</v>
      </c>
      <c r="K587">
        <v>30</v>
      </c>
      <c r="L587">
        <v>304</v>
      </c>
      <c r="M587">
        <v>10</v>
      </c>
      <c r="N587">
        <v>0.33</v>
      </c>
      <c r="O587">
        <f t="shared" si="18"/>
        <v>0</v>
      </c>
      <c r="P587">
        <f t="shared" si="19"/>
        <v>2</v>
      </c>
      <c r="Q587" s="2">
        <v>210</v>
      </c>
      <c r="R587" s="1">
        <v>45727</v>
      </c>
      <c r="S587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160.05000000000004</v>
      </c>
    </row>
    <row r="588" spans="1:19" x14ac:dyDescent="0.3">
      <c r="A588" t="s">
        <v>789</v>
      </c>
      <c r="B588" t="s">
        <v>23</v>
      </c>
      <c r="C588" t="s">
        <v>17</v>
      </c>
      <c r="D588">
        <v>40.711303999999998</v>
      </c>
      <c r="E588">
        <v>-73.966650200000004</v>
      </c>
      <c r="F588" t="s">
        <v>18</v>
      </c>
      <c r="G588">
        <v>2</v>
      </c>
      <c r="H588">
        <v>1</v>
      </c>
      <c r="I588">
        <v>1</v>
      </c>
      <c r="J588">
        <v>1</v>
      </c>
      <c r="K588">
        <v>30</v>
      </c>
      <c r="L588">
        <v>139</v>
      </c>
      <c r="M588">
        <v>12</v>
      </c>
      <c r="N588">
        <v>0.41</v>
      </c>
      <c r="O588">
        <f t="shared" si="18"/>
        <v>1</v>
      </c>
      <c r="P588">
        <f t="shared" si="19"/>
        <v>2</v>
      </c>
      <c r="Q588" s="2">
        <v>149</v>
      </c>
      <c r="R588" s="1">
        <v>45733</v>
      </c>
      <c r="S588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85.390000000000015</v>
      </c>
    </row>
    <row r="589" spans="1:19" x14ac:dyDescent="0.3">
      <c r="A589" t="s">
        <v>790</v>
      </c>
      <c r="B589" t="s">
        <v>26</v>
      </c>
      <c r="C589" t="s">
        <v>17</v>
      </c>
      <c r="D589">
        <v>40.694290000000002</v>
      </c>
      <c r="E589">
        <v>-73.971959999999996</v>
      </c>
      <c r="F589" t="s">
        <v>18</v>
      </c>
      <c r="G589">
        <v>2</v>
      </c>
      <c r="H589">
        <v>1</v>
      </c>
      <c r="I589">
        <v>1</v>
      </c>
      <c r="J589">
        <v>1</v>
      </c>
      <c r="K589">
        <v>30</v>
      </c>
      <c r="L589">
        <v>54</v>
      </c>
      <c r="M589">
        <v>25</v>
      </c>
      <c r="N589">
        <v>0.76</v>
      </c>
      <c r="O589">
        <f t="shared" si="18"/>
        <v>1</v>
      </c>
      <c r="P589">
        <f t="shared" si="19"/>
        <v>2</v>
      </c>
      <c r="Q589" s="2">
        <v>78</v>
      </c>
      <c r="R589" s="1">
        <v>45717</v>
      </c>
      <c r="S589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88.79000000000002</v>
      </c>
    </row>
    <row r="590" spans="1:19" x14ac:dyDescent="0.3">
      <c r="A590" t="s">
        <v>791</v>
      </c>
      <c r="B590" t="s">
        <v>273</v>
      </c>
      <c r="C590" t="s">
        <v>30</v>
      </c>
      <c r="D590">
        <v>40.660240000000002</v>
      </c>
      <c r="E590">
        <v>-73.747579999999999</v>
      </c>
      <c r="F590" t="s">
        <v>21</v>
      </c>
      <c r="G590">
        <v>6</v>
      </c>
      <c r="H590">
        <v>2</v>
      </c>
      <c r="I590">
        <v>3</v>
      </c>
      <c r="J590">
        <v>3</v>
      </c>
      <c r="K590">
        <v>2</v>
      </c>
      <c r="L590">
        <v>135</v>
      </c>
      <c r="M590">
        <v>84</v>
      </c>
      <c r="N590">
        <v>2.56</v>
      </c>
      <c r="O590">
        <f t="shared" si="18"/>
        <v>0</v>
      </c>
      <c r="P590">
        <f t="shared" si="19"/>
        <v>0</v>
      </c>
      <c r="Q590" s="2">
        <v>305</v>
      </c>
      <c r="R590" s="1">
        <v>45735</v>
      </c>
      <c r="S590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279.33000000000004</v>
      </c>
    </row>
    <row r="591" spans="1:19" x14ac:dyDescent="0.3">
      <c r="A591" t="s">
        <v>792</v>
      </c>
      <c r="B591" t="s">
        <v>28</v>
      </c>
      <c r="C591" t="s">
        <v>20</v>
      </c>
      <c r="D591">
        <v>40.803040000000003</v>
      </c>
      <c r="E591">
        <v>-73.956999999999994</v>
      </c>
      <c r="F591" t="s">
        <v>18</v>
      </c>
      <c r="G591">
        <v>2</v>
      </c>
      <c r="H591">
        <v>2</v>
      </c>
      <c r="I591">
        <v>1</v>
      </c>
      <c r="J591">
        <v>1</v>
      </c>
      <c r="K591">
        <v>30</v>
      </c>
      <c r="L591">
        <v>356</v>
      </c>
      <c r="M591">
        <v>53</v>
      </c>
      <c r="N591">
        <v>1.62</v>
      </c>
      <c r="O591">
        <f t="shared" si="18"/>
        <v>1</v>
      </c>
      <c r="P591">
        <f t="shared" si="19"/>
        <v>4</v>
      </c>
      <c r="Q591" s="2">
        <v>55</v>
      </c>
      <c r="R591" s="1">
        <v>45730</v>
      </c>
      <c r="S591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118.39000000000003</v>
      </c>
    </row>
    <row r="592" spans="1:19" x14ac:dyDescent="0.3">
      <c r="A592" t="s">
        <v>793</v>
      </c>
      <c r="B592" t="s">
        <v>32</v>
      </c>
      <c r="C592" t="s">
        <v>20</v>
      </c>
      <c r="D592">
        <v>40.803159999999998</v>
      </c>
      <c r="E592">
        <v>-73.958479999999994</v>
      </c>
      <c r="F592" t="s">
        <v>18</v>
      </c>
      <c r="G592">
        <v>2</v>
      </c>
      <c r="H592">
        <v>2</v>
      </c>
      <c r="I592">
        <v>1</v>
      </c>
      <c r="J592">
        <v>1</v>
      </c>
      <c r="K592">
        <v>30</v>
      </c>
      <c r="L592">
        <v>355</v>
      </c>
      <c r="M592">
        <v>50</v>
      </c>
      <c r="N592">
        <v>1.53</v>
      </c>
      <c r="O592">
        <f t="shared" si="18"/>
        <v>1</v>
      </c>
      <c r="P592">
        <f t="shared" si="19"/>
        <v>4</v>
      </c>
      <c r="Q592" s="2">
        <v>60</v>
      </c>
      <c r="R592" s="1">
        <v>45717</v>
      </c>
      <c r="S592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118.43000000000002</v>
      </c>
    </row>
    <row r="593" spans="1:19" x14ac:dyDescent="0.3">
      <c r="A593" t="s">
        <v>794</v>
      </c>
      <c r="B593" t="s">
        <v>32</v>
      </c>
      <c r="C593" t="s">
        <v>20</v>
      </c>
      <c r="D593">
        <v>40.804740000000002</v>
      </c>
      <c r="E593">
        <v>-73.958439999999996</v>
      </c>
      <c r="F593" t="s">
        <v>18</v>
      </c>
      <c r="G593">
        <v>2</v>
      </c>
      <c r="H593">
        <v>2</v>
      </c>
      <c r="I593">
        <v>1</v>
      </c>
      <c r="J593">
        <v>1</v>
      </c>
      <c r="K593">
        <v>30</v>
      </c>
      <c r="L593">
        <v>350</v>
      </c>
      <c r="M593">
        <v>54</v>
      </c>
      <c r="N593">
        <v>1.69</v>
      </c>
      <c r="O593">
        <f t="shared" si="18"/>
        <v>1</v>
      </c>
      <c r="P593">
        <f t="shared" si="19"/>
        <v>4</v>
      </c>
      <c r="Q593" s="2">
        <v>57</v>
      </c>
      <c r="R593" s="1">
        <v>45747</v>
      </c>
      <c r="S593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118.63000000000002</v>
      </c>
    </row>
    <row r="594" spans="1:19" x14ac:dyDescent="0.3">
      <c r="A594" t="s">
        <v>795</v>
      </c>
      <c r="B594" t="s">
        <v>82</v>
      </c>
      <c r="C594" t="s">
        <v>30</v>
      </c>
      <c r="D594">
        <v>40.74662</v>
      </c>
      <c r="E594">
        <v>-73.910160000000005</v>
      </c>
      <c r="F594" t="s">
        <v>18</v>
      </c>
      <c r="G594">
        <v>1</v>
      </c>
      <c r="H594">
        <v>1</v>
      </c>
      <c r="I594">
        <v>1</v>
      </c>
      <c r="J594">
        <v>1</v>
      </c>
      <c r="K594">
        <v>30</v>
      </c>
      <c r="L594">
        <v>346</v>
      </c>
      <c r="M594">
        <v>5</v>
      </c>
      <c r="N594">
        <v>0.28000000000000003</v>
      </c>
      <c r="O594">
        <f t="shared" si="18"/>
        <v>1</v>
      </c>
      <c r="P594">
        <f t="shared" si="19"/>
        <v>0</v>
      </c>
      <c r="Q594" s="2">
        <v>58</v>
      </c>
      <c r="R594" s="1">
        <v>45747</v>
      </c>
      <c r="S594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27.67</v>
      </c>
    </row>
    <row r="595" spans="1:19" x14ac:dyDescent="0.3">
      <c r="A595" t="s">
        <v>796</v>
      </c>
      <c r="B595" t="s">
        <v>60</v>
      </c>
      <c r="C595" t="s">
        <v>17</v>
      </c>
      <c r="D595" s="3" t="s">
        <v>797</v>
      </c>
      <c r="E595">
        <v>-73.947278447449193</v>
      </c>
      <c r="F595" t="s">
        <v>21</v>
      </c>
      <c r="G595">
        <v>2</v>
      </c>
      <c r="H595">
        <v>1</v>
      </c>
      <c r="I595">
        <v>1</v>
      </c>
      <c r="J595">
        <v>1</v>
      </c>
      <c r="K595">
        <v>30</v>
      </c>
      <c r="L595">
        <v>330</v>
      </c>
      <c r="M595">
        <v>19</v>
      </c>
      <c r="N595">
        <v>0.67</v>
      </c>
      <c r="O595">
        <f t="shared" si="18"/>
        <v>0</v>
      </c>
      <c r="P595">
        <f t="shared" si="19"/>
        <v>2</v>
      </c>
      <c r="Q595" s="2">
        <v>105</v>
      </c>
      <c r="R595" s="1">
        <v>45746</v>
      </c>
      <c r="S595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121.05000000000001</v>
      </c>
    </row>
    <row r="596" spans="1:19" x14ac:dyDescent="0.3">
      <c r="A596" t="s">
        <v>798</v>
      </c>
      <c r="B596" t="s">
        <v>131</v>
      </c>
      <c r="C596" t="s">
        <v>20</v>
      </c>
      <c r="D596">
        <v>40.704389999999997</v>
      </c>
      <c r="E596">
        <v>-74.007660000000001</v>
      </c>
      <c r="F596" t="s">
        <v>18</v>
      </c>
      <c r="G596">
        <v>4</v>
      </c>
      <c r="H596">
        <v>1</v>
      </c>
      <c r="I596">
        <v>1</v>
      </c>
      <c r="J596">
        <v>2</v>
      </c>
      <c r="K596">
        <v>1</v>
      </c>
      <c r="L596">
        <v>161</v>
      </c>
      <c r="M596">
        <v>23</v>
      </c>
      <c r="N596">
        <v>1.5</v>
      </c>
      <c r="O596">
        <f t="shared" si="18"/>
        <v>1</v>
      </c>
      <c r="P596">
        <f t="shared" si="19"/>
        <v>4</v>
      </c>
      <c r="Q596" s="2">
        <v>288</v>
      </c>
      <c r="R596" s="1">
        <v>45719</v>
      </c>
      <c r="S596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250.08000000000004</v>
      </c>
    </row>
    <row r="597" spans="1:19" x14ac:dyDescent="0.3">
      <c r="A597" t="s">
        <v>799</v>
      </c>
      <c r="B597" t="s">
        <v>45</v>
      </c>
      <c r="C597" t="s">
        <v>20</v>
      </c>
      <c r="D597" s="3" t="s">
        <v>800</v>
      </c>
      <c r="E597">
        <v>-73.998793168906403</v>
      </c>
      <c r="F597" t="s">
        <v>21</v>
      </c>
      <c r="G597">
        <v>4</v>
      </c>
      <c r="H597">
        <v>1</v>
      </c>
      <c r="I597">
        <v>2</v>
      </c>
      <c r="J597">
        <v>2</v>
      </c>
      <c r="K597">
        <v>30</v>
      </c>
      <c r="L597">
        <v>260</v>
      </c>
      <c r="M597">
        <v>7</v>
      </c>
      <c r="N597">
        <v>0.22</v>
      </c>
      <c r="O597">
        <f t="shared" si="18"/>
        <v>0</v>
      </c>
      <c r="P597">
        <f t="shared" si="19"/>
        <v>4</v>
      </c>
      <c r="Q597" s="2">
        <v>269</v>
      </c>
      <c r="R597" s="1">
        <v>45747</v>
      </c>
      <c r="S597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192.27000000000004</v>
      </c>
    </row>
    <row r="598" spans="1:19" x14ac:dyDescent="0.3">
      <c r="A598" t="s">
        <v>801</v>
      </c>
      <c r="B598" t="s">
        <v>56</v>
      </c>
      <c r="C598" t="s">
        <v>17</v>
      </c>
      <c r="D598">
        <v>40.677199999999999</v>
      </c>
      <c r="E598">
        <v>-73.952879999999993</v>
      </c>
      <c r="F598" t="s">
        <v>21</v>
      </c>
      <c r="G598">
        <v>4</v>
      </c>
      <c r="H598">
        <v>1</v>
      </c>
      <c r="I598">
        <v>2</v>
      </c>
      <c r="J598">
        <v>2</v>
      </c>
      <c r="K598">
        <v>30</v>
      </c>
      <c r="L598">
        <v>283</v>
      </c>
      <c r="M598">
        <v>7</v>
      </c>
      <c r="N598">
        <v>0.34</v>
      </c>
      <c r="O598">
        <f t="shared" si="18"/>
        <v>0</v>
      </c>
      <c r="P598">
        <f t="shared" si="19"/>
        <v>2</v>
      </c>
      <c r="Q598" s="2">
        <v>120</v>
      </c>
      <c r="R598" s="1">
        <v>45717</v>
      </c>
      <c r="S598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160.89000000000004</v>
      </c>
    </row>
    <row r="599" spans="1:19" x14ac:dyDescent="0.3">
      <c r="A599" t="s">
        <v>802</v>
      </c>
      <c r="B599" t="s">
        <v>179</v>
      </c>
      <c r="C599" t="s">
        <v>20</v>
      </c>
      <c r="D599">
        <v>40.742049999999999</v>
      </c>
      <c r="E599">
        <v>-73.99136</v>
      </c>
      <c r="F599" t="s">
        <v>18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325</v>
      </c>
      <c r="M599">
        <v>28</v>
      </c>
      <c r="N599">
        <v>0.86</v>
      </c>
      <c r="O599">
        <f t="shared" si="18"/>
        <v>1</v>
      </c>
      <c r="P599">
        <f t="shared" si="19"/>
        <v>4</v>
      </c>
      <c r="Q599" s="2">
        <v>243</v>
      </c>
      <c r="R599" s="1">
        <v>45731</v>
      </c>
      <c r="S599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186.58</v>
      </c>
    </row>
    <row r="600" spans="1:19" x14ac:dyDescent="0.3">
      <c r="A600" t="s">
        <v>803</v>
      </c>
      <c r="B600" t="s">
        <v>23</v>
      </c>
      <c r="C600" t="s">
        <v>17</v>
      </c>
      <c r="D600">
        <v>40.708978299999998</v>
      </c>
      <c r="E600">
        <v>-73.9616398</v>
      </c>
      <c r="F600" t="s">
        <v>21</v>
      </c>
      <c r="G600">
        <v>4</v>
      </c>
      <c r="H600">
        <v>1</v>
      </c>
      <c r="I600">
        <v>1</v>
      </c>
      <c r="J600">
        <v>1</v>
      </c>
      <c r="K600">
        <v>30</v>
      </c>
      <c r="L600">
        <v>295</v>
      </c>
      <c r="M600">
        <v>8</v>
      </c>
      <c r="N600">
        <v>0.26</v>
      </c>
      <c r="O600">
        <f t="shared" si="18"/>
        <v>0</v>
      </c>
      <c r="P600">
        <f t="shared" si="19"/>
        <v>2</v>
      </c>
      <c r="Q600" s="2">
        <v>132</v>
      </c>
      <c r="R600" s="1">
        <v>45717</v>
      </c>
      <c r="S600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160.41000000000003</v>
      </c>
    </row>
    <row r="601" spans="1:19" x14ac:dyDescent="0.3">
      <c r="A601" t="s">
        <v>804</v>
      </c>
      <c r="B601" t="s">
        <v>40</v>
      </c>
      <c r="C601" t="s">
        <v>17</v>
      </c>
      <c r="D601">
        <v>40.650109999999998</v>
      </c>
      <c r="E601">
        <v>-73.962180000000004</v>
      </c>
      <c r="F601" t="s">
        <v>21</v>
      </c>
      <c r="G601">
        <v>4</v>
      </c>
      <c r="H601">
        <v>1</v>
      </c>
      <c r="I601">
        <v>1</v>
      </c>
      <c r="J601">
        <v>2</v>
      </c>
      <c r="K601">
        <v>30</v>
      </c>
      <c r="L601">
        <v>304</v>
      </c>
      <c r="M601">
        <v>8</v>
      </c>
      <c r="N601">
        <v>0.27</v>
      </c>
      <c r="O601">
        <f t="shared" si="18"/>
        <v>0</v>
      </c>
      <c r="P601">
        <f t="shared" si="19"/>
        <v>2</v>
      </c>
      <c r="Q601" s="2">
        <v>188</v>
      </c>
      <c r="R601" s="1">
        <v>45731</v>
      </c>
      <c r="S601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160.05000000000004</v>
      </c>
    </row>
    <row r="602" spans="1:19" x14ac:dyDescent="0.3">
      <c r="A602" t="s">
        <v>805</v>
      </c>
      <c r="B602" t="s">
        <v>43</v>
      </c>
      <c r="C602" t="s">
        <v>20</v>
      </c>
      <c r="D602">
        <v>40.717320000000001</v>
      </c>
      <c r="E602">
        <v>-73.984039999999993</v>
      </c>
      <c r="F602" t="s">
        <v>21</v>
      </c>
      <c r="G602">
        <v>2</v>
      </c>
      <c r="H602">
        <v>1</v>
      </c>
      <c r="I602">
        <v>1</v>
      </c>
      <c r="J602">
        <v>1</v>
      </c>
      <c r="K602">
        <v>30</v>
      </c>
      <c r="L602">
        <v>42</v>
      </c>
      <c r="M602">
        <v>9</v>
      </c>
      <c r="N602">
        <v>0.28999999999999998</v>
      </c>
      <c r="O602">
        <f t="shared" si="18"/>
        <v>0</v>
      </c>
      <c r="P602">
        <f t="shared" si="19"/>
        <v>4</v>
      </c>
      <c r="Q602" s="2">
        <v>99</v>
      </c>
      <c r="R602" s="1">
        <v>45726</v>
      </c>
      <c r="S602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163.03000000000003</v>
      </c>
    </row>
    <row r="603" spans="1:19" x14ac:dyDescent="0.3">
      <c r="A603" t="s">
        <v>806</v>
      </c>
      <c r="B603" t="s">
        <v>196</v>
      </c>
      <c r="C603" t="s">
        <v>17</v>
      </c>
      <c r="D603">
        <v>40.689059999999998</v>
      </c>
      <c r="E603">
        <v>-73.872209999999995</v>
      </c>
      <c r="F603" t="s">
        <v>18</v>
      </c>
      <c r="G603">
        <v>1</v>
      </c>
      <c r="H603">
        <v>1</v>
      </c>
      <c r="I603">
        <v>1</v>
      </c>
      <c r="J603">
        <v>1</v>
      </c>
      <c r="K603">
        <v>30</v>
      </c>
      <c r="L603">
        <v>301</v>
      </c>
      <c r="M603">
        <v>37</v>
      </c>
      <c r="N603">
        <v>1.17</v>
      </c>
      <c r="O603">
        <f t="shared" si="18"/>
        <v>1</v>
      </c>
      <c r="P603">
        <f t="shared" si="19"/>
        <v>2</v>
      </c>
      <c r="Q603" s="2">
        <v>55</v>
      </c>
      <c r="R603" s="1">
        <v>45747</v>
      </c>
      <c r="S603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59.93</v>
      </c>
    </row>
    <row r="604" spans="1:19" x14ac:dyDescent="0.3">
      <c r="A604" t="s">
        <v>807</v>
      </c>
      <c r="B604" t="s">
        <v>68</v>
      </c>
      <c r="C604" t="s">
        <v>20</v>
      </c>
      <c r="D604">
        <v>40.840060000000001</v>
      </c>
      <c r="E604">
        <v>-73.935419999999993</v>
      </c>
      <c r="F604" t="s">
        <v>18</v>
      </c>
      <c r="G604">
        <v>2</v>
      </c>
      <c r="H604">
        <v>1</v>
      </c>
      <c r="I604">
        <v>1</v>
      </c>
      <c r="J604">
        <v>1</v>
      </c>
      <c r="K604">
        <v>30</v>
      </c>
      <c r="L604">
        <v>251</v>
      </c>
      <c r="M604">
        <v>7</v>
      </c>
      <c r="N604">
        <v>0.22</v>
      </c>
      <c r="O604">
        <f t="shared" si="18"/>
        <v>1</v>
      </c>
      <c r="P604">
        <f t="shared" si="19"/>
        <v>4</v>
      </c>
      <c r="Q604" s="2">
        <v>55</v>
      </c>
      <c r="R604" s="1">
        <v>45747</v>
      </c>
      <c r="S604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111.37000000000002</v>
      </c>
    </row>
    <row r="605" spans="1:19" x14ac:dyDescent="0.3">
      <c r="A605" t="s">
        <v>808</v>
      </c>
      <c r="B605" t="s">
        <v>356</v>
      </c>
      <c r="C605" t="s">
        <v>30</v>
      </c>
      <c r="D605" s="3" t="s">
        <v>809</v>
      </c>
      <c r="E605">
        <v>-73.747310042381201</v>
      </c>
      <c r="F605" t="s">
        <v>21</v>
      </c>
      <c r="G605">
        <v>3</v>
      </c>
      <c r="H605">
        <v>1</v>
      </c>
      <c r="I605">
        <v>1</v>
      </c>
      <c r="J605">
        <v>4</v>
      </c>
      <c r="K605">
        <v>30</v>
      </c>
      <c r="L605">
        <v>59</v>
      </c>
      <c r="M605">
        <v>2</v>
      </c>
      <c r="N605">
        <v>0.41</v>
      </c>
      <c r="O605">
        <f t="shared" si="18"/>
        <v>0</v>
      </c>
      <c r="P605">
        <f t="shared" si="19"/>
        <v>0</v>
      </c>
      <c r="Q605" s="2">
        <v>115</v>
      </c>
      <c r="R605" s="1">
        <v>45734</v>
      </c>
      <c r="S605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120.41000000000001</v>
      </c>
    </row>
    <row r="606" spans="1:19" x14ac:dyDescent="0.3">
      <c r="A606" t="s">
        <v>810</v>
      </c>
      <c r="B606" t="s">
        <v>56</v>
      </c>
      <c r="C606" t="s">
        <v>17</v>
      </c>
      <c r="D606">
        <v>40.671329999999998</v>
      </c>
      <c r="E606">
        <v>-73.961070000000007</v>
      </c>
      <c r="F606" t="s">
        <v>21</v>
      </c>
      <c r="G606">
        <v>2</v>
      </c>
      <c r="H606">
        <v>1</v>
      </c>
      <c r="I606">
        <v>1</v>
      </c>
      <c r="J606">
        <v>2</v>
      </c>
      <c r="K606">
        <v>30</v>
      </c>
      <c r="L606">
        <v>118</v>
      </c>
      <c r="M606">
        <v>3</v>
      </c>
      <c r="N606">
        <v>0.1</v>
      </c>
      <c r="O606">
        <f t="shared" si="18"/>
        <v>0</v>
      </c>
      <c r="P606">
        <f t="shared" si="19"/>
        <v>2</v>
      </c>
      <c r="Q606" s="2">
        <v>150</v>
      </c>
      <c r="R606" s="1">
        <v>45718</v>
      </c>
      <c r="S606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129.53000000000003</v>
      </c>
    </row>
    <row r="607" spans="1:19" x14ac:dyDescent="0.3">
      <c r="A607" t="s">
        <v>811</v>
      </c>
      <c r="B607" t="s">
        <v>57</v>
      </c>
      <c r="C607" t="s">
        <v>20</v>
      </c>
      <c r="D607">
        <v>40.72092</v>
      </c>
      <c r="E607">
        <v>-73.995769999999993</v>
      </c>
      <c r="F607" t="s">
        <v>21</v>
      </c>
      <c r="G607">
        <v>2</v>
      </c>
      <c r="H607">
        <v>1</v>
      </c>
      <c r="I607">
        <v>1</v>
      </c>
      <c r="J607">
        <v>1</v>
      </c>
      <c r="K607">
        <v>30</v>
      </c>
      <c r="L607">
        <v>185</v>
      </c>
      <c r="M607">
        <v>67</v>
      </c>
      <c r="N607">
        <v>2.27</v>
      </c>
      <c r="O607">
        <f t="shared" si="18"/>
        <v>0</v>
      </c>
      <c r="P607">
        <f t="shared" si="19"/>
        <v>4</v>
      </c>
      <c r="Q607" s="2">
        <v>194</v>
      </c>
      <c r="R607" s="1">
        <v>45747</v>
      </c>
      <c r="S607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157.31</v>
      </c>
    </row>
    <row r="608" spans="1:19" x14ac:dyDescent="0.3">
      <c r="A608" t="s">
        <v>812</v>
      </c>
      <c r="B608" t="s">
        <v>67</v>
      </c>
      <c r="C608" t="s">
        <v>17</v>
      </c>
      <c r="D608">
        <v>40.6900707</v>
      </c>
      <c r="E608">
        <v>-73.919643800000003</v>
      </c>
      <c r="F608" t="s">
        <v>21</v>
      </c>
      <c r="G608">
        <v>2</v>
      </c>
      <c r="H608">
        <v>1</v>
      </c>
      <c r="I608">
        <v>1</v>
      </c>
      <c r="J608">
        <v>1</v>
      </c>
      <c r="K608">
        <v>30</v>
      </c>
      <c r="L608">
        <v>334</v>
      </c>
      <c r="M608">
        <v>15</v>
      </c>
      <c r="N608">
        <v>0.49</v>
      </c>
      <c r="O608">
        <f t="shared" si="18"/>
        <v>0</v>
      </c>
      <c r="P608">
        <f t="shared" si="19"/>
        <v>2</v>
      </c>
      <c r="Q608" s="2">
        <v>101</v>
      </c>
      <c r="R608" s="1">
        <v>45732</v>
      </c>
      <c r="S608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120.89000000000001</v>
      </c>
    </row>
    <row r="609" spans="1:19" x14ac:dyDescent="0.3">
      <c r="A609" t="s">
        <v>813</v>
      </c>
      <c r="B609" t="s">
        <v>42</v>
      </c>
      <c r="C609" t="s">
        <v>17</v>
      </c>
      <c r="D609" s="3" t="s">
        <v>814</v>
      </c>
      <c r="E609">
        <v>-73.950292473294496</v>
      </c>
      <c r="F609" t="s">
        <v>21</v>
      </c>
      <c r="G609">
        <v>2</v>
      </c>
      <c r="H609">
        <v>1</v>
      </c>
      <c r="I609">
        <v>1</v>
      </c>
      <c r="J609">
        <v>1</v>
      </c>
      <c r="K609">
        <v>30</v>
      </c>
      <c r="L609">
        <v>52</v>
      </c>
      <c r="M609">
        <v>3</v>
      </c>
      <c r="N609">
        <v>0.52</v>
      </c>
      <c r="O609">
        <f t="shared" si="18"/>
        <v>0</v>
      </c>
      <c r="P609">
        <f t="shared" si="19"/>
        <v>2</v>
      </c>
      <c r="Q609" s="2">
        <v>260</v>
      </c>
      <c r="R609" s="1">
        <v>45747</v>
      </c>
      <c r="S609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132.17000000000002</v>
      </c>
    </row>
    <row r="610" spans="1:19" x14ac:dyDescent="0.3">
      <c r="A610" t="s">
        <v>815</v>
      </c>
      <c r="B610" t="s">
        <v>33</v>
      </c>
      <c r="C610" t="s">
        <v>17</v>
      </c>
      <c r="D610">
        <v>40.679569999999998</v>
      </c>
      <c r="E610">
        <v>-73.978669999999994</v>
      </c>
      <c r="F610" t="s">
        <v>21</v>
      </c>
      <c r="G610">
        <v>4</v>
      </c>
      <c r="H610">
        <v>1</v>
      </c>
      <c r="I610">
        <v>1</v>
      </c>
      <c r="J610">
        <v>2</v>
      </c>
      <c r="K610">
        <v>30</v>
      </c>
      <c r="L610">
        <v>172</v>
      </c>
      <c r="M610">
        <v>8</v>
      </c>
      <c r="N610">
        <v>0.37</v>
      </c>
      <c r="O610">
        <f t="shared" si="18"/>
        <v>0</v>
      </c>
      <c r="P610">
        <f t="shared" si="19"/>
        <v>2</v>
      </c>
      <c r="Q610" s="2">
        <v>233</v>
      </c>
      <c r="R610" s="1">
        <v>45739</v>
      </c>
      <c r="S610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165.33000000000004</v>
      </c>
    </row>
    <row r="611" spans="1:19" x14ac:dyDescent="0.3">
      <c r="A611" t="s">
        <v>816</v>
      </c>
      <c r="B611" t="s">
        <v>122</v>
      </c>
      <c r="C611" t="s">
        <v>17</v>
      </c>
      <c r="D611">
        <v>40.629300000000001</v>
      </c>
      <c r="E611">
        <v>-74.026560000000003</v>
      </c>
      <c r="F611" t="s">
        <v>21</v>
      </c>
      <c r="G611">
        <v>2</v>
      </c>
      <c r="H611">
        <v>1</v>
      </c>
      <c r="I611">
        <v>1</v>
      </c>
      <c r="J611">
        <v>1</v>
      </c>
      <c r="K611">
        <v>30</v>
      </c>
      <c r="L611">
        <v>96</v>
      </c>
      <c r="M611">
        <v>23</v>
      </c>
      <c r="N611">
        <v>0.74</v>
      </c>
      <c r="O611">
        <f t="shared" si="18"/>
        <v>0</v>
      </c>
      <c r="P611">
        <f t="shared" si="19"/>
        <v>2</v>
      </c>
      <c r="Q611" s="2">
        <v>88</v>
      </c>
      <c r="R611" s="1">
        <v>45747</v>
      </c>
      <c r="S611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130.41000000000003</v>
      </c>
    </row>
    <row r="612" spans="1:19" x14ac:dyDescent="0.3">
      <c r="A612" t="s">
        <v>817</v>
      </c>
      <c r="B612" t="s">
        <v>45</v>
      </c>
      <c r="C612" t="s">
        <v>20</v>
      </c>
      <c r="D612">
        <v>40.739730000000002</v>
      </c>
      <c r="E612">
        <v>-73.999499999999998</v>
      </c>
      <c r="F612" t="s">
        <v>21</v>
      </c>
      <c r="G612">
        <v>2</v>
      </c>
      <c r="H612">
        <v>1</v>
      </c>
      <c r="I612">
        <v>0</v>
      </c>
      <c r="J612">
        <v>1</v>
      </c>
      <c r="K612">
        <v>30</v>
      </c>
      <c r="L612">
        <v>336</v>
      </c>
      <c r="M612">
        <v>5</v>
      </c>
      <c r="N612">
        <v>0.2</v>
      </c>
      <c r="O612">
        <f t="shared" si="18"/>
        <v>0</v>
      </c>
      <c r="P612">
        <f t="shared" si="19"/>
        <v>4</v>
      </c>
      <c r="Q612" s="2">
        <v>140</v>
      </c>
      <c r="R612" s="1">
        <v>45725</v>
      </c>
      <c r="S612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151.27000000000004</v>
      </c>
    </row>
    <row r="613" spans="1:19" x14ac:dyDescent="0.3">
      <c r="A613" t="s">
        <v>818</v>
      </c>
      <c r="B613" t="s">
        <v>58</v>
      </c>
      <c r="C613" t="s">
        <v>17</v>
      </c>
      <c r="D613">
        <v>40.669199999999996</v>
      </c>
      <c r="E613">
        <v>-73.990669999999994</v>
      </c>
      <c r="F613" t="s">
        <v>21</v>
      </c>
      <c r="G613">
        <v>2</v>
      </c>
      <c r="H613">
        <v>1</v>
      </c>
      <c r="I613">
        <v>1</v>
      </c>
      <c r="J613">
        <v>1</v>
      </c>
      <c r="K613">
        <v>30</v>
      </c>
      <c r="L613">
        <v>109</v>
      </c>
      <c r="M613">
        <v>35</v>
      </c>
      <c r="N613">
        <v>1.1200000000000001</v>
      </c>
      <c r="O613">
        <f t="shared" si="18"/>
        <v>0</v>
      </c>
      <c r="P613">
        <f t="shared" si="19"/>
        <v>2</v>
      </c>
      <c r="Q613" s="2">
        <v>116</v>
      </c>
      <c r="R613" s="1">
        <v>45747</v>
      </c>
      <c r="S613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129.89000000000001</v>
      </c>
    </row>
    <row r="614" spans="1:19" x14ac:dyDescent="0.3">
      <c r="A614" t="s">
        <v>819</v>
      </c>
      <c r="B614" t="s">
        <v>119</v>
      </c>
      <c r="C614" t="s">
        <v>31</v>
      </c>
      <c r="D614">
        <v>40.834940000000003</v>
      </c>
      <c r="E614">
        <v>-73.918009999999995</v>
      </c>
      <c r="F614" t="s">
        <v>18</v>
      </c>
      <c r="G614">
        <v>1</v>
      </c>
      <c r="H614">
        <v>1</v>
      </c>
      <c r="I614">
        <v>1</v>
      </c>
      <c r="J614">
        <v>1</v>
      </c>
      <c r="K614">
        <v>30</v>
      </c>
      <c r="L614">
        <v>362</v>
      </c>
      <c r="M614">
        <v>9</v>
      </c>
      <c r="N614">
        <v>0.31</v>
      </c>
      <c r="O614">
        <f t="shared" si="18"/>
        <v>1</v>
      </c>
      <c r="P614">
        <f t="shared" si="19"/>
        <v>0</v>
      </c>
      <c r="Q614" s="2">
        <v>69</v>
      </c>
      <c r="R614" s="1">
        <v>45717</v>
      </c>
      <c r="S614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27.03</v>
      </c>
    </row>
    <row r="615" spans="1:19" x14ac:dyDescent="0.3">
      <c r="A615" t="s">
        <v>820</v>
      </c>
      <c r="B615" t="s">
        <v>67</v>
      </c>
      <c r="C615" t="s">
        <v>17</v>
      </c>
      <c r="D615">
        <v>40.697220000000002</v>
      </c>
      <c r="E615">
        <v>-73.914919999999995</v>
      </c>
      <c r="F615" t="s">
        <v>18</v>
      </c>
      <c r="G615">
        <v>2</v>
      </c>
      <c r="H615">
        <v>1</v>
      </c>
      <c r="I615">
        <v>1</v>
      </c>
      <c r="J615">
        <v>1</v>
      </c>
      <c r="K615">
        <v>1</v>
      </c>
      <c r="L615">
        <v>285</v>
      </c>
      <c r="M615">
        <v>62</v>
      </c>
      <c r="N615">
        <v>2</v>
      </c>
      <c r="O615">
        <f t="shared" si="18"/>
        <v>1</v>
      </c>
      <c r="P615">
        <f t="shared" si="19"/>
        <v>2</v>
      </c>
      <c r="Q615" s="2">
        <v>99</v>
      </c>
      <c r="R615" s="1">
        <v>45739</v>
      </c>
      <c r="S615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176.70000000000002</v>
      </c>
    </row>
    <row r="616" spans="1:19" x14ac:dyDescent="0.3">
      <c r="A616" t="s">
        <v>821</v>
      </c>
      <c r="B616" t="s">
        <v>127</v>
      </c>
      <c r="C616" t="s">
        <v>30</v>
      </c>
      <c r="D616">
        <v>40.695979999999999</v>
      </c>
      <c r="E616">
        <v>-73.833910000000003</v>
      </c>
      <c r="F616" t="s">
        <v>18</v>
      </c>
      <c r="G616">
        <v>1</v>
      </c>
      <c r="H616">
        <v>1</v>
      </c>
      <c r="I616">
        <v>1</v>
      </c>
      <c r="J616">
        <v>1</v>
      </c>
      <c r="K616">
        <v>3</v>
      </c>
      <c r="L616">
        <v>96</v>
      </c>
      <c r="M616">
        <v>80</v>
      </c>
      <c r="N616">
        <v>2.56</v>
      </c>
      <c r="O616">
        <f t="shared" si="18"/>
        <v>1</v>
      </c>
      <c r="P616">
        <f t="shared" si="19"/>
        <v>0</v>
      </c>
      <c r="Q616" s="2">
        <v>71</v>
      </c>
      <c r="R616" s="1">
        <v>45728</v>
      </c>
      <c r="S616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128.12</v>
      </c>
    </row>
    <row r="617" spans="1:19" x14ac:dyDescent="0.3">
      <c r="A617" t="s">
        <v>822</v>
      </c>
      <c r="B617" t="s">
        <v>19</v>
      </c>
      <c r="C617" t="s">
        <v>20</v>
      </c>
      <c r="D617">
        <v>40.74774</v>
      </c>
      <c r="E617">
        <v>-73.988680000000002</v>
      </c>
      <c r="F617" t="s">
        <v>18</v>
      </c>
      <c r="G617">
        <v>2</v>
      </c>
      <c r="H617">
        <v>1</v>
      </c>
      <c r="I617">
        <v>1</v>
      </c>
      <c r="J617">
        <v>1</v>
      </c>
      <c r="K617">
        <v>1</v>
      </c>
      <c r="L617">
        <v>257</v>
      </c>
      <c r="M617">
        <v>30</v>
      </c>
      <c r="N617">
        <v>0.98</v>
      </c>
      <c r="O617">
        <f t="shared" si="18"/>
        <v>1</v>
      </c>
      <c r="P617">
        <f t="shared" si="19"/>
        <v>4</v>
      </c>
      <c r="Q617" s="2">
        <v>143</v>
      </c>
      <c r="R617" s="1">
        <v>45738</v>
      </c>
      <c r="S617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208.28000000000003</v>
      </c>
    </row>
    <row r="618" spans="1:19" x14ac:dyDescent="0.3">
      <c r="A618" t="s">
        <v>823</v>
      </c>
      <c r="B618" t="s">
        <v>241</v>
      </c>
      <c r="C618" t="s">
        <v>31</v>
      </c>
      <c r="D618">
        <v>40.8733626</v>
      </c>
      <c r="E618">
        <v>-73.850279899999904</v>
      </c>
      <c r="F618" t="s">
        <v>21</v>
      </c>
      <c r="G618">
        <v>2</v>
      </c>
      <c r="H618">
        <v>1</v>
      </c>
      <c r="I618">
        <v>1</v>
      </c>
      <c r="J618">
        <v>2</v>
      </c>
      <c r="K618">
        <v>30</v>
      </c>
      <c r="L618">
        <v>141</v>
      </c>
      <c r="M618">
        <v>17</v>
      </c>
      <c r="N618">
        <v>0.55000000000000004</v>
      </c>
      <c r="O618">
        <f t="shared" si="18"/>
        <v>0</v>
      </c>
      <c r="P618">
        <f t="shared" si="19"/>
        <v>0</v>
      </c>
      <c r="Q618" s="2">
        <v>84</v>
      </c>
      <c r="R618" s="1">
        <v>45717</v>
      </c>
      <c r="S618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98.15000000000002</v>
      </c>
    </row>
    <row r="619" spans="1:19" x14ac:dyDescent="0.3">
      <c r="A619" t="s">
        <v>824</v>
      </c>
      <c r="B619" t="s">
        <v>49</v>
      </c>
      <c r="C619" t="s">
        <v>20</v>
      </c>
      <c r="D619" s="3" t="s">
        <v>772</v>
      </c>
      <c r="E619">
        <v>-73.979221100000004</v>
      </c>
      <c r="F619" t="s">
        <v>21</v>
      </c>
      <c r="G619">
        <v>4</v>
      </c>
      <c r="H619">
        <v>1</v>
      </c>
      <c r="I619">
        <v>2</v>
      </c>
      <c r="J619">
        <v>2</v>
      </c>
      <c r="K619">
        <v>30</v>
      </c>
      <c r="L619">
        <v>269</v>
      </c>
      <c r="M619">
        <v>6</v>
      </c>
      <c r="N619">
        <v>0.24</v>
      </c>
      <c r="O619">
        <f t="shared" si="18"/>
        <v>0</v>
      </c>
      <c r="P619">
        <f t="shared" si="19"/>
        <v>4</v>
      </c>
      <c r="Q619" s="2">
        <v>141</v>
      </c>
      <c r="R619" s="1">
        <v>45717</v>
      </c>
      <c r="S619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191.91000000000003</v>
      </c>
    </row>
    <row r="620" spans="1:19" x14ac:dyDescent="0.3">
      <c r="A620" t="s">
        <v>825</v>
      </c>
      <c r="B620" t="s">
        <v>36</v>
      </c>
      <c r="C620" t="s">
        <v>20</v>
      </c>
      <c r="D620">
        <v>40.761690100000003</v>
      </c>
      <c r="E620">
        <v>-73.962690600000002</v>
      </c>
      <c r="F620" t="s">
        <v>21</v>
      </c>
      <c r="G620">
        <v>2</v>
      </c>
      <c r="H620">
        <v>1</v>
      </c>
      <c r="I620">
        <v>1</v>
      </c>
      <c r="J620">
        <v>1</v>
      </c>
      <c r="K620">
        <v>30</v>
      </c>
      <c r="L620">
        <v>327</v>
      </c>
      <c r="M620">
        <v>8</v>
      </c>
      <c r="N620">
        <v>0.3</v>
      </c>
      <c r="O620">
        <f t="shared" si="18"/>
        <v>0</v>
      </c>
      <c r="P620">
        <f t="shared" si="19"/>
        <v>4</v>
      </c>
      <c r="Q620" s="2">
        <v>106</v>
      </c>
      <c r="R620" s="1">
        <v>45719</v>
      </c>
      <c r="S620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151.63000000000002</v>
      </c>
    </row>
    <row r="621" spans="1:19" x14ac:dyDescent="0.3">
      <c r="A621" t="s">
        <v>826</v>
      </c>
      <c r="B621" t="s">
        <v>86</v>
      </c>
      <c r="C621" t="s">
        <v>20</v>
      </c>
      <c r="D621">
        <v>40.720080000000003</v>
      </c>
      <c r="E621">
        <v>-74.001570000000001</v>
      </c>
      <c r="F621" t="s">
        <v>21</v>
      </c>
      <c r="G621">
        <v>8</v>
      </c>
      <c r="H621">
        <v>1</v>
      </c>
      <c r="I621">
        <v>1</v>
      </c>
      <c r="J621">
        <v>4</v>
      </c>
      <c r="K621">
        <v>1</v>
      </c>
      <c r="L621">
        <v>239</v>
      </c>
      <c r="M621">
        <v>97</v>
      </c>
      <c r="N621">
        <v>3.23</v>
      </c>
      <c r="O621">
        <f t="shared" si="18"/>
        <v>0</v>
      </c>
      <c r="P621">
        <f t="shared" si="19"/>
        <v>4</v>
      </c>
      <c r="Q621" s="2">
        <v>323</v>
      </c>
      <c r="R621" s="1">
        <v>45727</v>
      </c>
      <c r="S621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366.18000000000006</v>
      </c>
    </row>
    <row r="622" spans="1:19" x14ac:dyDescent="0.3">
      <c r="A622" t="s">
        <v>827</v>
      </c>
      <c r="B622" t="s">
        <v>36</v>
      </c>
      <c r="C622" t="s">
        <v>20</v>
      </c>
      <c r="D622">
        <v>40.78125</v>
      </c>
      <c r="E622">
        <v>-73.952169999999995</v>
      </c>
      <c r="F622" t="s">
        <v>21</v>
      </c>
      <c r="G622">
        <v>2</v>
      </c>
      <c r="H622">
        <v>1</v>
      </c>
      <c r="I622">
        <v>1</v>
      </c>
      <c r="J622">
        <v>2</v>
      </c>
      <c r="K622">
        <v>30</v>
      </c>
      <c r="L622">
        <v>328</v>
      </c>
      <c r="M622">
        <v>7</v>
      </c>
      <c r="N622">
        <v>0.24</v>
      </c>
      <c r="O622">
        <f t="shared" si="18"/>
        <v>0</v>
      </c>
      <c r="P622">
        <f t="shared" si="19"/>
        <v>4</v>
      </c>
      <c r="Q622" s="2">
        <v>100</v>
      </c>
      <c r="R622" s="1">
        <v>45719</v>
      </c>
      <c r="S622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151.59000000000003</v>
      </c>
    </row>
    <row r="623" spans="1:19" x14ac:dyDescent="0.3">
      <c r="A623" t="s">
        <v>828</v>
      </c>
      <c r="B623" t="s">
        <v>45</v>
      </c>
      <c r="C623" t="s">
        <v>20</v>
      </c>
      <c r="D623">
        <v>40.743389999999998</v>
      </c>
      <c r="E623">
        <v>-73.992789999999999</v>
      </c>
      <c r="F623" t="s">
        <v>21</v>
      </c>
      <c r="G623">
        <v>3</v>
      </c>
      <c r="H623">
        <v>1</v>
      </c>
      <c r="I623">
        <v>1</v>
      </c>
      <c r="J623">
        <v>1</v>
      </c>
      <c r="K623">
        <v>30</v>
      </c>
      <c r="L623">
        <v>98</v>
      </c>
      <c r="M623">
        <v>7</v>
      </c>
      <c r="N623">
        <v>0.24</v>
      </c>
      <c r="O623">
        <f t="shared" si="18"/>
        <v>0</v>
      </c>
      <c r="P623">
        <f t="shared" si="19"/>
        <v>4</v>
      </c>
      <c r="Q623" s="2">
        <v>342</v>
      </c>
      <c r="R623" s="1">
        <v>45736</v>
      </c>
      <c r="S623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179.77</v>
      </c>
    </row>
    <row r="624" spans="1:19" x14ac:dyDescent="0.3">
      <c r="A624" t="s">
        <v>829</v>
      </c>
      <c r="B624" t="s">
        <v>36</v>
      </c>
      <c r="C624" t="s">
        <v>20</v>
      </c>
      <c r="D624">
        <v>40.774926800000003</v>
      </c>
      <c r="E624">
        <v>-73.948163199999996</v>
      </c>
      <c r="F624" t="s">
        <v>21</v>
      </c>
      <c r="G624">
        <v>3</v>
      </c>
      <c r="H624">
        <v>2</v>
      </c>
      <c r="I624">
        <v>1</v>
      </c>
      <c r="J624">
        <v>1</v>
      </c>
      <c r="K624">
        <v>30</v>
      </c>
      <c r="L624">
        <v>267</v>
      </c>
      <c r="M624">
        <v>8</v>
      </c>
      <c r="N624">
        <v>0.3</v>
      </c>
      <c r="O624">
        <f t="shared" si="18"/>
        <v>0</v>
      </c>
      <c r="P624">
        <f t="shared" si="19"/>
        <v>4</v>
      </c>
      <c r="Q624" s="2">
        <v>262</v>
      </c>
      <c r="R624" s="1">
        <v>45733</v>
      </c>
      <c r="S624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184.23000000000002</v>
      </c>
    </row>
    <row r="625" spans="1:19" x14ac:dyDescent="0.3">
      <c r="A625" t="s">
        <v>830</v>
      </c>
      <c r="B625" t="s">
        <v>27</v>
      </c>
      <c r="C625" t="s">
        <v>17</v>
      </c>
      <c r="D625">
        <v>40.682209800000003</v>
      </c>
      <c r="E625">
        <v>-73.918574899999996</v>
      </c>
      <c r="F625" t="s">
        <v>21</v>
      </c>
      <c r="G625">
        <v>4</v>
      </c>
      <c r="H625">
        <v>2.5</v>
      </c>
      <c r="I625">
        <v>2</v>
      </c>
      <c r="J625">
        <v>2</v>
      </c>
      <c r="K625">
        <v>30</v>
      </c>
      <c r="L625">
        <v>284</v>
      </c>
      <c r="M625">
        <v>7</v>
      </c>
      <c r="N625">
        <v>0.33</v>
      </c>
      <c r="O625">
        <f t="shared" si="18"/>
        <v>0</v>
      </c>
      <c r="P625">
        <f t="shared" si="19"/>
        <v>2</v>
      </c>
      <c r="Q625" s="2">
        <v>268</v>
      </c>
      <c r="R625" s="1">
        <v>45721</v>
      </c>
      <c r="S625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177.68000000000004</v>
      </c>
    </row>
    <row r="626" spans="1:19" x14ac:dyDescent="0.3">
      <c r="A626" t="s">
        <v>831</v>
      </c>
      <c r="B626" t="s">
        <v>67</v>
      </c>
      <c r="C626" t="s">
        <v>17</v>
      </c>
      <c r="D626">
        <v>40.699680000000001</v>
      </c>
      <c r="E626">
        <v>-73.938569999999999</v>
      </c>
      <c r="F626" t="s">
        <v>18</v>
      </c>
      <c r="G626">
        <v>1</v>
      </c>
      <c r="H626">
        <v>1</v>
      </c>
      <c r="I626">
        <v>1</v>
      </c>
      <c r="J626">
        <v>1</v>
      </c>
      <c r="K626">
        <v>30</v>
      </c>
      <c r="L626">
        <v>142</v>
      </c>
      <c r="M626">
        <v>3</v>
      </c>
      <c r="N626">
        <v>0.43</v>
      </c>
      <c r="O626">
        <f t="shared" si="18"/>
        <v>1</v>
      </c>
      <c r="P626">
        <f t="shared" si="19"/>
        <v>2</v>
      </c>
      <c r="Q626" s="2">
        <v>61</v>
      </c>
      <c r="R626" s="1">
        <v>45741</v>
      </c>
      <c r="S626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66.289999999999992</v>
      </c>
    </row>
    <row r="627" spans="1:19" x14ac:dyDescent="0.3">
      <c r="A627" t="s">
        <v>832</v>
      </c>
      <c r="B627" t="s">
        <v>101</v>
      </c>
      <c r="C627" t="s">
        <v>30</v>
      </c>
      <c r="D627">
        <v>40.767060000000001</v>
      </c>
      <c r="E627">
        <v>-73.879779999999997</v>
      </c>
      <c r="F627" t="s">
        <v>21</v>
      </c>
      <c r="G627">
        <v>4</v>
      </c>
      <c r="H627">
        <v>2</v>
      </c>
      <c r="I627">
        <v>2</v>
      </c>
      <c r="J627">
        <v>2</v>
      </c>
      <c r="K627">
        <v>30</v>
      </c>
      <c r="L627">
        <v>279</v>
      </c>
      <c r="M627">
        <v>63</v>
      </c>
      <c r="N627">
        <v>2.15</v>
      </c>
      <c r="O627">
        <f t="shared" si="18"/>
        <v>0</v>
      </c>
      <c r="P627">
        <f t="shared" si="19"/>
        <v>0</v>
      </c>
      <c r="Q627" s="2">
        <v>275</v>
      </c>
      <c r="R627" s="1">
        <v>45726</v>
      </c>
      <c r="S627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141.81000000000003</v>
      </c>
    </row>
    <row r="628" spans="1:19" x14ac:dyDescent="0.3">
      <c r="A628" t="s">
        <v>833</v>
      </c>
      <c r="B628" t="s">
        <v>104</v>
      </c>
      <c r="C628" t="s">
        <v>17</v>
      </c>
      <c r="D628">
        <v>40.688496299999997</v>
      </c>
      <c r="E628">
        <v>-73.995743399999995</v>
      </c>
      <c r="F628" t="s">
        <v>21</v>
      </c>
      <c r="G628">
        <v>3</v>
      </c>
      <c r="H628">
        <v>1</v>
      </c>
      <c r="I628">
        <v>1</v>
      </c>
      <c r="J628">
        <v>1</v>
      </c>
      <c r="K628">
        <v>30</v>
      </c>
      <c r="L628">
        <v>220</v>
      </c>
      <c r="M628">
        <v>11</v>
      </c>
      <c r="N628">
        <v>0.42</v>
      </c>
      <c r="O628">
        <f t="shared" si="18"/>
        <v>0</v>
      </c>
      <c r="P628">
        <f t="shared" si="19"/>
        <v>2</v>
      </c>
      <c r="Q628" s="2">
        <v>120</v>
      </c>
      <c r="R628" s="1">
        <v>45747</v>
      </c>
      <c r="S628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144.43</v>
      </c>
    </row>
    <row r="629" spans="1:19" x14ac:dyDescent="0.3">
      <c r="A629" t="s">
        <v>835</v>
      </c>
      <c r="B629" t="s">
        <v>122</v>
      </c>
      <c r="C629" t="s">
        <v>17</v>
      </c>
      <c r="D629">
        <v>40.638199999999998</v>
      </c>
      <c r="E629">
        <v>-74.025859999999994</v>
      </c>
      <c r="F629" t="s">
        <v>18</v>
      </c>
      <c r="G629">
        <v>2</v>
      </c>
      <c r="H629">
        <v>1.5</v>
      </c>
      <c r="I629">
        <v>1</v>
      </c>
      <c r="J629">
        <v>1</v>
      </c>
      <c r="K629">
        <v>30</v>
      </c>
      <c r="L629">
        <v>306</v>
      </c>
      <c r="M629">
        <v>5</v>
      </c>
      <c r="N629">
        <v>0.18</v>
      </c>
      <c r="O629">
        <f t="shared" si="18"/>
        <v>1</v>
      </c>
      <c r="P629">
        <f t="shared" si="19"/>
        <v>2</v>
      </c>
      <c r="Q629" s="2">
        <v>58</v>
      </c>
      <c r="R629" s="1">
        <v>45742</v>
      </c>
      <c r="S629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84.32000000000005</v>
      </c>
    </row>
    <row r="630" spans="1:19" x14ac:dyDescent="0.3">
      <c r="A630" t="s">
        <v>836</v>
      </c>
      <c r="B630" t="s">
        <v>29</v>
      </c>
      <c r="C630" t="s">
        <v>30</v>
      </c>
      <c r="D630">
        <v>40.708509999999997</v>
      </c>
      <c r="E630">
        <v>-73.897840000000002</v>
      </c>
      <c r="F630" t="s">
        <v>21</v>
      </c>
      <c r="G630">
        <v>4</v>
      </c>
      <c r="H630">
        <v>1</v>
      </c>
      <c r="I630">
        <v>1</v>
      </c>
      <c r="J630">
        <v>2</v>
      </c>
      <c r="K630">
        <v>30</v>
      </c>
      <c r="L630">
        <v>360</v>
      </c>
      <c r="M630">
        <v>32</v>
      </c>
      <c r="N630">
        <v>1.05</v>
      </c>
      <c r="O630">
        <f t="shared" si="18"/>
        <v>0</v>
      </c>
      <c r="P630">
        <f t="shared" si="19"/>
        <v>0</v>
      </c>
      <c r="Q630" s="2">
        <v>286</v>
      </c>
      <c r="R630" s="1">
        <v>45747</v>
      </c>
      <c r="S630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127.35000000000002</v>
      </c>
    </row>
    <row r="631" spans="1:19" x14ac:dyDescent="0.3">
      <c r="A631" t="s">
        <v>837</v>
      </c>
      <c r="B631" t="s">
        <v>51</v>
      </c>
      <c r="C631" t="s">
        <v>17</v>
      </c>
      <c r="D631">
        <v>40.682780000000001</v>
      </c>
      <c r="E631">
        <v>-73.991510000000005</v>
      </c>
      <c r="F631" t="s">
        <v>21</v>
      </c>
      <c r="G631">
        <v>3</v>
      </c>
      <c r="H631">
        <v>1</v>
      </c>
      <c r="I631">
        <v>1</v>
      </c>
      <c r="J631">
        <v>3</v>
      </c>
      <c r="K631">
        <v>30</v>
      </c>
      <c r="L631">
        <v>32</v>
      </c>
      <c r="M631">
        <v>58</v>
      </c>
      <c r="N631">
        <v>2.0099999999999998</v>
      </c>
      <c r="O631">
        <f t="shared" si="18"/>
        <v>0</v>
      </c>
      <c r="P631">
        <f t="shared" si="19"/>
        <v>2</v>
      </c>
      <c r="Q631" s="2">
        <v>120</v>
      </c>
      <c r="R631" s="1">
        <v>45745</v>
      </c>
      <c r="S631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151.95000000000002</v>
      </c>
    </row>
    <row r="632" spans="1:19" x14ac:dyDescent="0.3">
      <c r="A632" t="s">
        <v>838</v>
      </c>
      <c r="B632" t="s">
        <v>275</v>
      </c>
      <c r="C632" t="s">
        <v>30</v>
      </c>
      <c r="D632">
        <v>40.695430000000002</v>
      </c>
      <c r="E632">
        <v>-73.740369999999999</v>
      </c>
      <c r="F632" t="s">
        <v>21</v>
      </c>
      <c r="G632">
        <v>4</v>
      </c>
      <c r="H632">
        <v>1</v>
      </c>
      <c r="I632">
        <v>2</v>
      </c>
      <c r="J632">
        <v>2</v>
      </c>
      <c r="K632">
        <v>30</v>
      </c>
      <c r="L632">
        <v>147</v>
      </c>
      <c r="M632">
        <v>21</v>
      </c>
      <c r="N632">
        <v>0.7</v>
      </c>
      <c r="O632">
        <f t="shared" si="18"/>
        <v>0</v>
      </c>
      <c r="P632">
        <f t="shared" si="19"/>
        <v>0</v>
      </c>
      <c r="Q632" s="2">
        <v>222</v>
      </c>
      <c r="R632" s="1">
        <v>45727</v>
      </c>
      <c r="S632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135.87000000000003</v>
      </c>
    </row>
    <row r="633" spans="1:19" x14ac:dyDescent="0.3">
      <c r="A633" t="s">
        <v>839</v>
      </c>
      <c r="B633" t="s">
        <v>72</v>
      </c>
      <c r="C633" t="s">
        <v>20</v>
      </c>
      <c r="D633">
        <v>40.736600000000003</v>
      </c>
      <c r="E633">
        <v>-73.985839999999996</v>
      </c>
      <c r="F633" t="s">
        <v>21</v>
      </c>
      <c r="G633">
        <v>2</v>
      </c>
      <c r="H633">
        <v>1</v>
      </c>
      <c r="I633">
        <v>1</v>
      </c>
      <c r="J633">
        <v>1</v>
      </c>
      <c r="K633">
        <v>30</v>
      </c>
      <c r="L633">
        <v>197</v>
      </c>
      <c r="M633">
        <v>41</v>
      </c>
      <c r="N633">
        <v>1.41</v>
      </c>
      <c r="O633">
        <f t="shared" si="18"/>
        <v>0</v>
      </c>
      <c r="P633">
        <f t="shared" si="19"/>
        <v>4</v>
      </c>
      <c r="Q633" s="2">
        <v>171</v>
      </c>
      <c r="R633" s="1">
        <v>45726</v>
      </c>
      <c r="S633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156.83000000000004</v>
      </c>
    </row>
    <row r="634" spans="1:19" x14ac:dyDescent="0.3">
      <c r="A634" t="s">
        <v>840</v>
      </c>
      <c r="B634" t="s">
        <v>37</v>
      </c>
      <c r="C634" t="s">
        <v>30</v>
      </c>
      <c r="D634">
        <v>40.775449999999999</v>
      </c>
      <c r="E634">
        <v>-73.907629999999997</v>
      </c>
      <c r="F634" t="s">
        <v>18</v>
      </c>
      <c r="G634">
        <v>1</v>
      </c>
      <c r="H634">
        <v>1</v>
      </c>
      <c r="I634">
        <v>1</v>
      </c>
      <c r="J634">
        <v>1</v>
      </c>
      <c r="K634">
        <v>3</v>
      </c>
      <c r="L634">
        <v>156</v>
      </c>
      <c r="M634">
        <v>44</v>
      </c>
      <c r="N634">
        <v>1.51</v>
      </c>
      <c r="O634">
        <f t="shared" si="18"/>
        <v>1</v>
      </c>
      <c r="P634">
        <f t="shared" si="19"/>
        <v>0</v>
      </c>
      <c r="Q634" s="2">
        <v>97</v>
      </c>
      <c r="R634" s="1">
        <v>45744</v>
      </c>
      <c r="S634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125.71999999999998</v>
      </c>
    </row>
    <row r="635" spans="1:19" x14ac:dyDescent="0.3">
      <c r="A635" t="s">
        <v>841</v>
      </c>
      <c r="B635" t="s">
        <v>48</v>
      </c>
      <c r="C635" t="s">
        <v>20</v>
      </c>
      <c r="D635">
        <v>40.734459999999999</v>
      </c>
      <c r="E635">
        <v>-73.997150000000005</v>
      </c>
      <c r="F635" t="s">
        <v>21</v>
      </c>
      <c r="G635">
        <v>2</v>
      </c>
      <c r="H635">
        <v>1</v>
      </c>
      <c r="I635">
        <v>1</v>
      </c>
      <c r="J635">
        <v>1</v>
      </c>
      <c r="K635">
        <v>30</v>
      </c>
      <c r="L635">
        <v>281</v>
      </c>
      <c r="M635">
        <v>7</v>
      </c>
      <c r="N635">
        <v>0.26</v>
      </c>
      <c r="O635">
        <f t="shared" si="18"/>
        <v>0</v>
      </c>
      <c r="P635">
        <f t="shared" si="19"/>
        <v>4</v>
      </c>
      <c r="Q635" s="2">
        <v>159</v>
      </c>
      <c r="R635" s="1">
        <v>45739</v>
      </c>
      <c r="S635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153.47000000000003</v>
      </c>
    </row>
    <row r="636" spans="1:19" x14ac:dyDescent="0.3">
      <c r="A636" t="s">
        <v>842</v>
      </c>
      <c r="B636" t="s">
        <v>28</v>
      </c>
      <c r="C636" t="s">
        <v>20</v>
      </c>
      <c r="D636">
        <v>40.832062999999998</v>
      </c>
      <c r="E636">
        <v>-73.948585699999995</v>
      </c>
      <c r="F636" t="s">
        <v>21</v>
      </c>
      <c r="G636">
        <v>2</v>
      </c>
      <c r="H636">
        <v>1</v>
      </c>
      <c r="I636">
        <v>1</v>
      </c>
      <c r="J636">
        <v>2</v>
      </c>
      <c r="K636">
        <v>30</v>
      </c>
      <c r="L636">
        <v>234</v>
      </c>
      <c r="M636">
        <v>32</v>
      </c>
      <c r="N636">
        <v>1.1000000000000001</v>
      </c>
      <c r="O636">
        <f t="shared" si="18"/>
        <v>0</v>
      </c>
      <c r="P636">
        <f t="shared" si="19"/>
        <v>4</v>
      </c>
      <c r="Q636" s="2">
        <v>79</v>
      </c>
      <c r="R636" s="1">
        <v>45728</v>
      </c>
      <c r="S636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155.35000000000002</v>
      </c>
    </row>
    <row r="637" spans="1:19" x14ac:dyDescent="0.3">
      <c r="A637" t="s">
        <v>843</v>
      </c>
      <c r="B637" t="s">
        <v>27</v>
      </c>
      <c r="C637" t="s">
        <v>17</v>
      </c>
      <c r="D637">
        <v>40.690219999999997</v>
      </c>
      <c r="E637">
        <v>-73.931950000000001</v>
      </c>
      <c r="F637" t="s">
        <v>18</v>
      </c>
      <c r="G637">
        <v>2</v>
      </c>
      <c r="H637">
        <v>2</v>
      </c>
      <c r="I637">
        <v>1</v>
      </c>
      <c r="J637">
        <v>1</v>
      </c>
      <c r="K637">
        <v>30</v>
      </c>
      <c r="L637">
        <v>55</v>
      </c>
      <c r="M637">
        <v>54</v>
      </c>
      <c r="N637">
        <v>1.86</v>
      </c>
      <c r="O637">
        <f t="shared" si="18"/>
        <v>1</v>
      </c>
      <c r="P637">
        <f t="shared" si="19"/>
        <v>2</v>
      </c>
      <c r="Q637" s="2">
        <v>50</v>
      </c>
      <c r="R637" s="1">
        <v>45747</v>
      </c>
      <c r="S637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99.970000000000027</v>
      </c>
    </row>
    <row r="638" spans="1:19" x14ac:dyDescent="0.3">
      <c r="A638" t="s">
        <v>844</v>
      </c>
      <c r="B638" t="s">
        <v>23</v>
      </c>
      <c r="C638" t="s">
        <v>17</v>
      </c>
      <c r="D638">
        <v>40.714531366084103</v>
      </c>
      <c r="E638">
        <v>-73.939348938383205</v>
      </c>
      <c r="F638" t="s">
        <v>18</v>
      </c>
      <c r="G638">
        <v>2</v>
      </c>
      <c r="H638">
        <v>1</v>
      </c>
      <c r="I638">
        <v>3</v>
      </c>
      <c r="J638">
        <v>1</v>
      </c>
      <c r="K638">
        <v>30</v>
      </c>
      <c r="L638">
        <v>94</v>
      </c>
      <c r="M638">
        <v>31</v>
      </c>
      <c r="N638">
        <v>1.05</v>
      </c>
      <c r="O638">
        <f t="shared" si="18"/>
        <v>1</v>
      </c>
      <c r="P638">
        <f t="shared" si="19"/>
        <v>2</v>
      </c>
      <c r="Q638" s="2">
        <v>78</v>
      </c>
      <c r="R638" s="1">
        <v>45726</v>
      </c>
      <c r="S638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87.190000000000026</v>
      </c>
    </row>
    <row r="639" spans="1:19" x14ac:dyDescent="0.3">
      <c r="A639" t="s">
        <v>845</v>
      </c>
      <c r="B639" t="s">
        <v>106</v>
      </c>
      <c r="C639" t="s">
        <v>31</v>
      </c>
      <c r="D639">
        <v>40.819000000000003</v>
      </c>
      <c r="E639">
        <v>-73.914000000000001</v>
      </c>
      <c r="F639" t="s">
        <v>18</v>
      </c>
      <c r="G639">
        <v>2</v>
      </c>
      <c r="H639">
        <v>1.5</v>
      </c>
      <c r="I639">
        <v>1</v>
      </c>
      <c r="J639">
        <v>1</v>
      </c>
      <c r="K639">
        <v>2</v>
      </c>
      <c r="L639">
        <v>144</v>
      </c>
      <c r="M639">
        <v>85</v>
      </c>
      <c r="N639">
        <v>3.07</v>
      </c>
      <c r="O639">
        <f t="shared" si="18"/>
        <v>1</v>
      </c>
      <c r="P639">
        <f t="shared" si="19"/>
        <v>0</v>
      </c>
      <c r="Q639" s="2">
        <v>94</v>
      </c>
      <c r="R639" s="1">
        <v>45732</v>
      </c>
      <c r="S639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154.14000000000004</v>
      </c>
    </row>
    <row r="640" spans="1:19" x14ac:dyDescent="0.3">
      <c r="A640" t="s">
        <v>846</v>
      </c>
      <c r="B640" t="s">
        <v>27</v>
      </c>
      <c r="C640" t="s">
        <v>17</v>
      </c>
      <c r="D640">
        <v>40.681049999999999</v>
      </c>
      <c r="E640">
        <v>-73.93871</v>
      </c>
      <c r="F640" t="s">
        <v>21</v>
      </c>
      <c r="G640">
        <v>2</v>
      </c>
      <c r="H640">
        <v>1</v>
      </c>
      <c r="I640">
        <v>1</v>
      </c>
      <c r="J640">
        <v>1</v>
      </c>
      <c r="K640">
        <v>30</v>
      </c>
      <c r="L640">
        <v>157</v>
      </c>
      <c r="M640">
        <v>51</v>
      </c>
      <c r="N640">
        <v>1.74</v>
      </c>
      <c r="O640">
        <f t="shared" si="18"/>
        <v>0</v>
      </c>
      <c r="P640">
        <f t="shared" si="19"/>
        <v>2</v>
      </c>
      <c r="Q640" s="2">
        <v>300</v>
      </c>
      <c r="R640" s="1">
        <v>45734</v>
      </c>
      <c r="S640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127.97000000000003</v>
      </c>
    </row>
    <row r="641" spans="1:19" x14ac:dyDescent="0.3">
      <c r="A641" t="s">
        <v>847</v>
      </c>
      <c r="B641" t="s">
        <v>89</v>
      </c>
      <c r="C641" t="s">
        <v>30</v>
      </c>
      <c r="D641">
        <v>40.740482800000002</v>
      </c>
      <c r="E641">
        <v>-73.883906299999893</v>
      </c>
      <c r="F641" t="s">
        <v>18</v>
      </c>
      <c r="G641">
        <v>2</v>
      </c>
      <c r="H641">
        <v>1</v>
      </c>
      <c r="I641">
        <v>1</v>
      </c>
      <c r="J641">
        <v>1</v>
      </c>
      <c r="K641">
        <v>30</v>
      </c>
      <c r="L641">
        <v>364</v>
      </c>
      <c r="M641">
        <v>8</v>
      </c>
      <c r="N641">
        <v>0.28999999999999998</v>
      </c>
      <c r="O641">
        <f t="shared" si="18"/>
        <v>1</v>
      </c>
      <c r="P641">
        <f t="shared" si="19"/>
        <v>0</v>
      </c>
      <c r="Q641" s="2">
        <v>90</v>
      </c>
      <c r="R641" s="1">
        <v>45726</v>
      </c>
      <c r="S641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45.930000000000021</v>
      </c>
    </row>
    <row r="642" spans="1:19" x14ac:dyDescent="0.3">
      <c r="A642" t="s">
        <v>848</v>
      </c>
      <c r="B642" t="s">
        <v>28</v>
      </c>
      <c r="C642" t="s">
        <v>20</v>
      </c>
      <c r="D642">
        <v>40.80988</v>
      </c>
      <c r="E642">
        <v>-73.953890000000001</v>
      </c>
      <c r="F642" t="s">
        <v>18</v>
      </c>
      <c r="G642">
        <v>3</v>
      </c>
      <c r="H642">
        <v>2</v>
      </c>
      <c r="I642">
        <v>1</v>
      </c>
      <c r="J642">
        <v>1</v>
      </c>
      <c r="K642">
        <v>30</v>
      </c>
      <c r="L642">
        <v>334</v>
      </c>
      <c r="M642">
        <v>39</v>
      </c>
      <c r="N642">
        <v>1.34</v>
      </c>
      <c r="O642">
        <f t="shared" si="18"/>
        <v>1</v>
      </c>
      <c r="P642">
        <f t="shared" si="19"/>
        <v>4</v>
      </c>
      <c r="Q642" s="2">
        <v>55</v>
      </c>
      <c r="R642" s="1">
        <v>45740</v>
      </c>
      <c r="S642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138.25</v>
      </c>
    </row>
    <row r="643" spans="1:19" x14ac:dyDescent="0.3">
      <c r="A643" t="s">
        <v>849</v>
      </c>
      <c r="B643" t="s">
        <v>40</v>
      </c>
      <c r="C643" t="s">
        <v>17</v>
      </c>
      <c r="D643">
        <v>40.65034</v>
      </c>
      <c r="E643">
        <v>-73.959069999999997</v>
      </c>
      <c r="F643" t="s">
        <v>18</v>
      </c>
      <c r="G643">
        <v>1</v>
      </c>
      <c r="H643">
        <v>1</v>
      </c>
      <c r="I643">
        <v>1</v>
      </c>
      <c r="J643">
        <v>1</v>
      </c>
      <c r="K643">
        <v>5</v>
      </c>
      <c r="L643">
        <v>223</v>
      </c>
      <c r="M643">
        <v>25</v>
      </c>
      <c r="N643">
        <v>0.86</v>
      </c>
      <c r="O643">
        <f t="shared" ref="O643:O706" si="20">IF(F643="Private room",1,0)</f>
        <v>1</v>
      </c>
      <c r="P643">
        <f t="shared" ref="P643:P706" si="21">IF(C643="Manhattan",4,IF(C643="Brooklyn",2,0))</f>
        <v>2</v>
      </c>
      <c r="Q643" s="2">
        <v>89</v>
      </c>
      <c r="R643" s="1">
        <v>45731</v>
      </c>
      <c r="S643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146.80000000000001</v>
      </c>
    </row>
    <row r="644" spans="1:19" x14ac:dyDescent="0.3">
      <c r="A644" t="s">
        <v>850</v>
      </c>
      <c r="B644" t="s">
        <v>36</v>
      </c>
      <c r="C644" t="s">
        <v>20</v>
      </c>
      <c r="D644">
        <v>40.774790000000003</v>
      </c>
      <c r="E644">
        <v>-73.948890000000006</v>
      </c>
      <c r="F644" t="s">
        <v>18</v>
      </c>
      <c r="G644">
        <v>2</v>
      </c>
      <c r="H644">
        <v>2</v>
      </c>
      <c r="I644">
        <v>1</v>
      </c>
      <c r="J644">
        <v>1</v>
      </c>
      <c r="K644">
        <v>30</v>
      </c>
      <c r="L644">
        <v>335</v>
      </c>
      <c r="M644">
        <v>46</v>
      </c>
      <c r="N644">
        <v>1.59</v>
      </c>
      <c r="O644">
        <f t="shared" si="20"/>
        <v>1</v>
      </c>
      <c r="P644">
        <f t="shared" si="21"/>
        <v>4</v>
      </c>
      <c r="Q644" s="2">
        <v>65</v>
      </c>
      <c r="R644" s="1">
        <v>45718</v>
      </c>
      <c r="S644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119.23000000000002</v>
      </c>
    </row>
    <row r="645" spans="1:19" x14ac:dyDescent="0.3">
      <c r="A645" t="s">
        <v>851</v>
      </c>
      <c r="B645" t="s">
        <v>60</v>
      </c>
      <c r="C645" t="s">
        <v>17</v>
      </c>
      <c r="D645">
        <v>40.65457</v>
      </c>
      <c r="E645">
        <v>-73.917410000000004</v>
      </c>
      <c r="F645" t="s">
        <v>18</v>
      </c>
      <c r="G645">
        <v>1</v>
      </c>
      <c r="H645">
        <v>1</v>
      </c>
      <c r="I645">
        <v>1</v>
      </c>
      <c r="J645">
        <v>1</v>
      </c>
      <c r="K645">
        <v>30</v>
      </c>
      <c r="L645">
        <v>354</v>
      </c>
      <c r="M645">
        <v>5</v>
      </c>
      <c r="N645">
        <v>0.18</v>
      </c>
      <c r="O645">
        <f t="shared" si="20"/>
        <v>1</v>
      </c>
      <c r="P645">
        <f t="shared" si="21"/>
        <v>2</v>
      </c>
      <c r="Q645" s="2">
        <v>58</v>
      </c>
      <c r="R645" s="1">
        <v>45730</v>
      </c>
      <c r="S645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57.810000000000009</v>
      </c>
    </row>
    <row r="646" spans="1:19" x14ac:dyDescent="0.3">
      <c r="A646" t="s">
        <v>852</v>
      </c>
      <c r="B646" t="s">
        <v>278</v>
      </c>
      <c r="C646" t="s">
        <v>17</v>
      </c>
      <c r="D646" s="3" t="s">
        <v>853</v>
      </c>
      <c r="E646">
        <v>-74.006836999999905</v>
      </c>
      <c r="F646" t="s">
        <v>21</v>
      </c>
      <c r="G646">
        <v>2</v>
      </c>
      <c r="H646">
        <v>1</v>
      </c>
      <c r="I646">
        <v>1</v>
      </c>
      <c r="J646">
        <v>1</v>
      </c>
      <c r="K646">
        <v>30</v>
      </c>
      <c r="L646">
        <v>98</v>
      </c>
      <c r="M646">
        <v>9</v>
      </c>
      <c r="N646">
        <v>0.46</v>
      </c>
      <c r="O646">
        <f t="shared" si="20"/>
        <v>0</v>
      </c>
      <c r="P646">
        <f t="shared" si="21"/>
        <v>2</v>
      </c>
      <c r="Q646" s="2">
        <v>98</v>
      </c>
      <c r="R646" s="1">
        <v>45741</v>
      </c>
      <c r="S646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130.33000000000001</v>
      </c>
    </row>
    <row r="647" spans="1:19" x14ac:dyDescent="0.3">
      <c r="A647" t="s">
        <v>854</v>
      </c>
      <c r="B647" t="s">
        <v>22</v>
      </c>
      <c r="C647" t="s">
        <v>17</v>
      </c>
      <c r="D647" s="3" t="s">
        <v>855</v>
      </c>
      <c r="E647">
        <v>-74.003509135938302</v>
      </c>
      <c r="F647" t="s">
        <v>18</v>
      </c>
      <c r="G647">
        <v>1</v>
      </c>
      <c r="H647">
        <v>1</v>
      </c>
      <c r="I647">
        <v>1</v>
      </c>
      <c r="J647">
        <v>1</v>
      </c>
      <c r="K647">
        <v>30</v>
      </c>
      <c r="L647">
        <v>81</v>
      </c>
      <c r="M647">
        <v>65</v>
      </c>
      <c r="N647">
        <v>2.34</v>
      </c>
      <c r="O647">
        <f t="shared" si="20"/>
        <v>1</v>
      </c>
      <c r="P647">
        <f t="shared" si="21"/>
        <v>2</v>
      </c>
      <c r="Q647" s="2">
        <v>90</v>
      </c>
      <c r="R647" s="1">
        <v>45737</v>
      </c>
      <c r="S647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68.730000000000018</v>
      </c>
    </row>
    <row r="648" spans="1:19" x14ac:dyDescent="0.3">
      <c r="A648" t="s">
        <v>856</v>
      </c>
      <c r="B648" t="s">
        <v>56</v>
      </c>
      <c r="C648" t="s">
        <v>17</v>
      </c>
      <c r="D648">
        <v>40.676811299999997</v>
      </c>
      <c r="E648">
        <v>-73.930897000000002</v>
      </c>
      <c r="F648" t="s">
        <v>21</v>
      </c>
      <c r="G648">
        <v>2</v>
      </c>
      <c r="H648">
        <v>1</v>
      </c>
      <c r="I648">
        <v>1</v>
      </c>
      <c r="J648">
        <v>1</v>
      </c>
      <c r="K648">
        <v>3</v>
      </c>
      <c r="L648">
        <v>152</v>
      </c>
      <c r="M648">
        <v>33</v>
      </c>
      <c r="N648">
        <v>1.21</v>
      </c>
      <c r="O648">
        <f t="shared" si="20"/>
        <v>0</v>
      </c>
      <c r="P648">
        <f t="shared" si="21"/>
        <v>2</v>
      </c>
      <c r="Q648" s="2">
        <v>180</v>
      </c>
      <c r="R648" s="1">
        <v>45719</v>
      </c>
      <c r="S648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218.62</v>
      </c>
    </row>
    <row r="649" spans="1:19" x14ac:dyDescent="0.3">
      <c r="A649" t="s">
        <v>857</v>
      </c>
      <c r="B649" t="s">
        <v>19</v>
      </c>
      <c r="C649" t="s">
        <v>20</v>
      </c>
      <c r="D649" s="3" t="s">
        <v>858</v>
      </c>
      <c r="E649">
        <v>-73.962373784116394</v>
      </c>
      <c r="F649" t="s">
        <v>21</v>
      </c>
      <c r="G649">
        <v>3</v>
      </c>
      <c r="H649">
        <v>1</v>
      </c>
      <c r="I649">
        <v>0</v>
      </c>
      <c r="J649">
        <v>1</v>
      </c>
      <c r="K649">
        <v>30</v>
      </c>
      <c r="L649">
        <v>305</v>
      </c>
      <c r="M649">
        <v>4</v>
      </c>
      <c r="N649">
        <v>0.19</v>
      </c>
      <c r="O649">
        <f t="shared" si="20"/>
        <v>0</v>
      </c>
      <c r="P649">
        <f t="shared" si="21"/>
        <v>4</v>
      </c>
      <c r="Q649" s="2">
        <v>276</v>
      </c>
      <c r="R649" s="1">
        <v>45746</v>
      </c>
      <c r="S649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171.49</v>
      </c>
    </row>
    <row r="650" spans="1:19" x14ac:dyDescent="0.3">
      <c r="A650" t="s">
        <v>859</v>
      </c>
      <c r="B650" t="s">
        <v>66</v>
      </c>
      <c r="C650" t="s">
        <v>30</v>
      </c>
      <c r="D650" s="3" t="s">
        <v>860</v>
      </c>
      <c r="E650">
        <v>-73.918072428310396</v>
      </c>
      <c r="F650" t="s">
        <v>18</v>
      </c>
      <c r="G650">
        <v>1</v>
      </c>
      <c r="H650">
        <v>1</v>
      </c>
      <c r="I650">
        <v>1</v>
      </c>
      <c r="J650">
        <v>1</v>
      </c>
      <c r="K650">
        <v>30</v>
      </c>
      <c r="L650">
        <v>344</v>
      </c>
      <c r="M650">
        <v>6</v>
      </c>
      <c r="N650">
        <v>0.26</v>
      </c>
      <c r="O650">
        <f t="shared" si="20"/>
        <v>1</v>
      </c>
      <c r="P650">
        <f t="shared" si="21"/>
        <v>0</v>
      </c>
      <c r="Q650" s="2">
        <v>52</v>
      </c>
      <c r="R650" s="1">
        <v>45721</v>
      </c>
      <c r="S650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27.75</v>
      </c>
    </row>
    <row r="651" spans="1:19" x14ac:dyDescent="0.3">
      <c r="A651" t="s">
        <v>240</v>
      </c>
      <c r="B651" t="s">
        <v>501</v>
      </c>
      <c r="C651" t="s">
        <v>31</v>
      </c>
      <c r="D651">
        <v>40.9006185</v>
      </c>
      <c r="E651">
        <v>-73.863442800000001</v>
      </c>
      <c r="F651" t="s">
        <v>18</v>
      </c>
      <c r="G651">
        <v>1</v>
      </c>
      <c r="H651">
        <v>1</v>
      </c>
      <c r="I651">
        <v>1</v>
      </c>
      <c r="J651">
        <v>1</v>
      </c>
      <c r="K651">
        <v>3</v>
      </c>
      <c r="L651">
        <v>358</v>
      </c>
      <c r="M651">
        <v>30</v>
      </c>
      <c r="N651">
        <v>1.1200000000000001</v>
      </c>
      <c r="O651">
        <f t="shared" si="20"/>
        <v>1</v>
      </c>
      <c r="P651">
        <f t="shared" si="21"/>
        <v>0</v>
      </c>
      <c r="Q651" s="2">
        <v>84</v>
      </c>
      <c r="R651" s="1">
        <v>45719</v>
      </c>
      <c r="S651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117.64</v>
      </c>
    </row>
    <row r="652" spans="1:19" x14ac:dyDescent="0.3">
      <c r="A652" t="s">
        <v>861</v>
      </c>
      <c r="B652" t="s">
        <v>19</v>
      </c>
      <c r="C652" t="s">
        <v>20</v>
      </c>
      <c r="D652">
        <v>40.749139999999997</v>
      </c>
      <c r="E652">
        <v>-73.982420000000005</v>
      </c>
      <c r="F652" t="s">
        <v>21</v>
      </c>
      <c r="G652">
        <v>2</v>
      </c>
      <c r="H652">
        <v>1</v>
      </c>
      <c r="I652">
        <v>1</v>
      </c>
      <c r="J652">
        <v>1</v>
      </c>
      <c r="K652">
        <v>30</v>
      </c>
      <c r="L652">
        <v>75</v>
      </c>
      <c r="M652">
        <v>4</v>
      </c>
      <c r="N652">
        <v>0.2</v>
      </c>
      <c r="O652">
        <f t="shared" si="20"/>
        <v>0</v>
      </c>
      <c r="P652">
        <f t="shared" si="21"/>
        <v>4</v>
      </c>
      <c r="Q652" s="2">
        <v>132</v>
      </c>
      <c r="R652" s="1">
        <v>45747</v>
      </c>
      <c r="S652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161.71000000000004</v>
      </c>
    </row>
    <row r="653" spans="1:19" x14ac:dyDescent="0.3">
      <c r="A653" t="s">
        <v>862</v>
      </c>
      <c r="B653" t="s">
        <v>46</v>
      </c>
      <c r="C653" t="s">
        <v>17</v>
      </c>
      <c r="D653" s="3" t="s">
        <v>863</v>
      </c>
      <c r="E653">
        <v>-73.993297336032995</v>
      </c>
      <c r="F653" t="s">
        <v>21</v>
      </c>
      <c r="G653">
        <v>2</v>
      </c>
      <c r="H653">
        <v>1</v>
      </c>
      <c r="I653">
        <v>1</v>
      </c>
      <c r="J653">
        <v>1</v>
      </c>
      <c r="K653">
        <v>30</v>
      </c>
      <c r="L653">
        <v>173</v>
      </c>
      <c r="M653">
        <v>4</v>
      </c>
      <c r="N653">
        <v>0.15</v>
      </c>
      <c r="O653">
        <f t="shared" si="20"/>
        <v>0</v>
      </c>
      <c r="P653">
        <f t="shared" si="21"/>
        <v>2</v>
      </c>
      <c r="Q653" s="2">
        <v>215</v>
      </c>
      <c r="R653" s="1">
        <v>45719</v>
      </c>
      <c r="S653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127.33000000000001</v>
      </c>
    </row>
    <row r="654" spans="1:19" x14ac:dyDescent="0.3">
      <c r="A654" t="s">
        <v>864</v>
      </c>
      <c r="B654" t="s">
        <v>94</v>
      </c>
      <c r="C654" t="s">
        <v>17</v>
      </c>
      <c r="D654" s="3" t="s">
        <v>865</v>
      </c>
      <c r="E654">
        <v>-73.879142721430796</v>
      </c>
      <c r="F654" t="s">
        <v>21</v>
      </c>
      <c r="G654">
        <v>4</v>
      </c>
      <c r="H654">
        <v>1</v>
      </c>
      <c r="I654">
        <v>2</v>
      </c>
      <c r="J654">
        <v>2</v>
      </c>
      <c r="K654">
        <v>30</v>
      </c>
      <c r="L654">
        <v>233</v>
      </c>
      <c r="M654">
        <v>31</v>
      </c>
      <c r="N654">
        <v>1.23</v>
      </c>
      <c r="O654">
        <f t="shared" si="20"/>
        <v>0</v>
      </c>
      <c r="P654">
        <f t="shared" si="21"/>
        <v>2</v>
      </c>
      <c r="Q654" s="2">
        <v>96</v>
      </c>
      <c r="R654" s="1">
        <v>45747</v>
      </c>
      <c r="S654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162.89000000000004</v>
      </c>
    </row>
    <row r="655" spans="1:19" x14ac:dyDescent="0.3">
      <c r="A655" t="s">
        <v>866</v>
      </c>
      <c r="B655" t="s">
        <v>36</v>
      </c>
      <c r="C655" t="s">
        <v>20</v>
      </c>
      <c r="D655">
        <v>40.770940000000003</v>
      </c>
      <c r="E655">
        <v>-73.962789999999998</v>
      </c>
      <c r="F655" t="s">
        <v>21</v>
      </c>
      <c r="G655">
        <v>2</v>
      </c>
      <c r="H655">
        <v>2</v>
      </c>
      <c r="I655">
        <v>1</v>
      </c>
      <c r="J655">
        <v>1</v>
      </c>
      <c r="K655">
        <v>7</v>
      </c>
      <c r="L655">
        <v>118</v>
      </c>
      <c r="M655">
        <v>32</v>
      </c>
      <c r="N655">
        <v>1.22</v>
      </c>
      <c r="O655">
        <f t="shared" si="20"/>
        <v>0</v>
      </c>
      <c r="P655">
        <f t="shared" si="21"/>
        <v>4</v>
      </c>
      <c r="Q655" s="2">
        <v>405</v>
      </c>
      <c r="R655" s="1">
        <v>45744</v>
      </c>
      <c r="S655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248.26000000000005</v>
      </c>
    </row>
    <row r="656" spans="1:19" x14ac:dyDescent="0.3">
      <c r="A656" t="s">
        <v>867</v>
      </c>
      <c r="B656" t="s">
        <v>61</v>
      </c>
      <c r="C656" t="s">
        <v>30</v>
      </c>
      <c r="D656" s="3" t="s">
        <v>868</v>
      </c>
      <c r="E656">
        <v>-73.925178799999998</v>
      </c>
      <c r="F656" t="s">
        <v>21</v>
      </c>
      <c r="G656">
        <v>3</v>
      </c>
      <c r="H656">
        <v>1</v>
      </c>
      <c r="I656">
        <v>1</v>
      </c>
      <c r="J656">
        <v>2</v>
      </c>
      <c r="K656">
        <v>30</v>
      </c>
      <c r="L656">
        <v>201</v>
      </c>
      <c r="M656">
        <v>65</v>
      </c>
      <c r="N656">
        <v>2.36</v>
      </c>
      <c r="O656">
        <f t="shared" si="20"/>
        <v>0</v>
      </c>
      <c r="P656">
        <f t="shared" si="21"/>
        <v>0</v>
      </c>
      <c r="Q656" s="2">
        <v>143</v>
      </c>
      <c r="R656" s="1">
        <v>45717</v>
      </c>
      <c r="S656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114.73</v>
      </c>
    </row>
    <row r="657" spans="1:19" x14ac:dyDescent="0.3">
      <c r="A657" t="s">
        <v>869</v>
      </c>
      <c r="B657" t="s">
        <v>157</v>
      </c>
      <c r="C657" t="s">
        <v>17</v>
      </c>
      <c r="D657" s="3" t="s">
        <v>870</v>
      </c>
      <c r="E657">
        <v>-73.970319315344199</v>
      </c>
      <c r="F657" t="s">
        <v>21</v>
      </c>
      <c r="G657">
        <v>2</v>
      </c>
      <c r="H657">
        <v>1</v>
      </c>
      <c r="I657">
        <v>1</v>
      </c>
      <c r="J657">
        <v>1</v>
      </c>
      <c r="K657">
        <v>30</v>
      </c>
      <c r="L657">
        <v>297</v>
      </c>
      <c r="M657">
        <v>9</v>
      </c>
      <c r="N657">
        <v>0.37</v>
      </c>
      <c r="O657">
        <f t="shared" si="20"/>
        <v>0</v>
      </c>
      <c r="P657">
        <f t="shared" si="21"/>
        <v>2</v>
      </c>
      <c r="Q657" s="2">
        <v>120</v>
      </c>
      <c r="R657" s="1">
        <v>45744</v>
      </c>
      <c r="S657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122.37000000000003</v>
      </c>
    </row>
    <row r="658" spans="1:19" x14ac:dyDescent="0.3">
      <c r="A658" t="s">
        <v>871</v>
      </c>
      <c r="B658" t="s">
        <v>128</v>
      </c>
      <c r="C658" t="s">
        <v>30</v>
      </c>
      <c r="D658">
        <v>40.704779021714799</v>
      </c>
      <c r="E658">
        <v>-73.890465468203999</v>
      </c>
      <c r="F658" t="s">
        <v>18</v>
      </c>
      <c r="G658">
        <v>2</v>
      </c>
      <c r="H658">
        <v>1</v>
      </c>
      <c r="I658">
        <v>1</v>
      </c>
      <c r="J658">
        <v>1</v>
      </c>
      <c r="K658">
        <v>30</v>
      </c>
      <c r="L658">
        <v>315</v>
      </c>
      <c r="M658">
        <v>4</v>
      </c>
      <c r="N658">
        <v>0.19</v>
      </c>
      <c r="O658">
        <f t="shared" si="20"/>
        <v>1</v>
      </c>
      <c r="P658">
        <f t="shared" si="21"/>
        <v>0</v>
      </c>
      <c r="Q658" s="2">
        <v>89</v>
      </c>
      <c r="R658" s="1">
        <v>45721</v>
      </c>
      <c r="S658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47.890000000000029</v>
      </c>
    </row>
    <row r="659" spans="1:19" x14ac:dyDescent="0.3">
      <c r="A659" t="s">
        <v>872</v>
      </c>
      <c r="B659" t="s">
        <v>189</v>
      </c>
      <c r="C659" t="s">
        <v>30</v>
      </c>
      <c r="D659" s="3" t="s">
        <v>873</v>
      </c>
      <c r="E659">
        <v>-73.815530723564294</v>
      </c>
      <c r="F659" t="s">
        <v>18</v>
      </c>
      <c r="G659">
        <v>8</v>
      </c>
      <c r="H659">
        <v>2</v>
      </c>
      <c r="I659">
        <v>3</v>
      </c>
      <c r="J659">
        <v>4</v>
      </c>
      <c r="K659">
        <v>2</v>
      </c>
      <c r="L659">
        <v>308</v>
      </c>
      <c r="M659">
        <v>57</v>
      </c>
      <c r="N659">
        <v>2.1800000000000002</v>
      </c>
      <c r="O659">
        <f t="shared" si="20"/>
        <v>1</v>
      </c>
      <c r="P659">
        <f t="shared" si="21"/>
        <v>0</v>
      </c>
      <c r="Q659" s="2">
        <v>280</v>
      </c>
      <c r="R659" s="1">
        <v>45746</v>
      </c>
      <c r="S659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267.07000000000005</v>
      </c>
    </row>
    <row r="660" spans="1:19" x14ac:dyDescent="0.3">
      <c r="A660" t="s">
        <v>874</v>
      </c>
      <c r="B660" t="s">
        <v>28</v>
      </c>
      <c r="C660" t="s">
        <v>20</v>
      </c>
      <c r="D660" s="3" t="s">
        <v>875</v>
      </c>
      <c r="E660">
        <v>-73.941159971194594</v>
      </c>
      <c r="F660" t="s">
        <v>18</v>
      </c>
      <c r="G660">
        <v>4</v>
      </c>
      <c r="H660">
        <v>1</v>
      </c>
      <c r="I660">
        <v>1</v>
      </c>
      <c r="J660">
        <v>1</v>
      </c>
      <c r="K660">
        <v>30</v>
      </c>
      <c r="L660">
        <v>361</v>
      </c>
      <c r="M660">
        <v>25</v>
      </c>
      <c r="N660">
        <v>0.96</v>
      </c>
      <c r="O660">
        <f t="shared" si="20"/>
        <v>1</v>
      </c>
      <c r="P660">
        <f t="shared" si="21"/>
        <v>4</v>
      </c>
      <c r="Q660" s="2">
        <v>50</v>
      </c>
      <c r="R660" s="1">
        <v>45732</v>
      </c>
      <c r="S660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144.93000000000004</v>
      </c>
    </row>
    <row r="661" spans="1:19" x14ac:dyDescent="0.3">
      <c r="A661" t="s">
        <v>876</v>
      </c>
      <c r="B661" t="s">
        <v>24</v>
      </c>
      <c r="C661" t="s">
        <v>20</v>
      </c>
      <c r="D661">
        <v>40.788373700000001</v>
      </c>
      <c r="E661">
        <v>-73.953685100000001</v>
      </c>
      <c r="F661" t="s">
        <v>21</v>
      </c>
      <c r="G661">
        <v>3</v>
      </c>
      <c r="H661">
        <v>1</v>
      </c>
      <c r="I661">
        <v>1</v>
      </c>
      <c r="J661">
        <v>2</v>
      </c>
      <c r="K661">
        <v>30</v>
      </c>
      <c r="L661">
        <v>189</v>
      </c>
      <c r="M661">
        <v>8</v>
      </c>
      <c r="N661">
        <v>0.32</v>
      </c>
      <c r="O661">
        <f t="shared" si="20"/>
        <v>0</v>
      </c>
      <c r="P661">
        <f t="shared" si="21"/>
        <v>4</v>
      </c>
      <c r="Q661" s="2">
        <v>130</v>
      </c>
      <c r="R661" s="1">
        <v>45725</v>
      </c>
      <c r="S661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176.13</v>
      </c>
    </row>
    <row r="662" spans="1:19" x14ac:dyDescent="0.3">
      <c r="A662" t="s">
        <v>877</v>
      </c>
      <c r="B662" t="s">
        <v>53</v>
      </c>
      <c r="C662" t="s">
        <v>20</v>
      </c>
      <c r="D662">
        <v>40.77816</v>
      </c>
      <c r="E662">
        <v>-73.980099999999993</v>
      </c>
      <c r="F662" t="s">
        <v>21</v>
      </c>
      <c r="G662">
        <v>4</v>
      </c>
      <c r="H662">
        <v>1</v>
      </c>
      <c r="I662">
        <v>1</v>
      </c>
      <c r="J662">
        <v>2</v>
      </c>
      <c r="K662">
        <v>30</v>
      </c>
      <c r="L662">
        <v>266</v>
      </c>
      <c r="M662">
        <v>9</v>
      </c>
      <c r="N662">
        <v>0.39</v>
      </c>
      <c r="O662">
        <f t="shared" si="20"/>
        <v>0</v>
      </c>
      <c r="P662">
        <f t="shared" si="21"/>
        <v>4</v>
      </c>
      <c r="Q662" s="2">
        <v>204</v>
      </c>
      <c r="R662" s="1">
        <v>45727</v>
      </c>
      <c r="S662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192.03000000000003</v>
      </c>
    </row>
    <row r="663" spans="1:19" x14ac:dyDescent="0.3">
      <c r="A663" t="s">
        <v>878</v>
      </c>
      <c r="B663" t="s">
        <v>19</v>
      </c>
      <c r="C663" t="s">
        <v>20</v>
      </c>
      <c r="D663" s="3" t="s">
        <v>879</v>
      </c>
      <c r="E663">
        <v>-73.980292168173804</v>
      </c>
      <c r="F663" t="s">
        <v>18</v>
      </c>
      <c r="G663">
        <v>4</v>
      </c>
      <c r="H663">
        <v>2</v>
      </c>
      <c r="I663">
        <v>1</v>
      </c>
      <c r="J663">
        <v>2</v>
      </c>
      <c r="K663">
        <v>1</v>
      </c>
      <c r="L663">
        <v>348</v>
      </c>
      <c r="M663">
        <v>16</v>
      </c>
      <c r="N663">
        <v>0.63</v>
      </c>
      <c r="O663">
        <f t="shared" si="20"/>
        <v>1</v>
      </c>
      <c r="P663">
        <f t="shared" si="21"/>
        <v>4</v>
      </c>
      <c r="Q663" s="2">
        <v>291</v>
      </c>
      <c r="R663" s="1">
        <v>45731</v>
      </c>
      <c r="S663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253.82000000000005</v>
      </c>
    </row>
    <row r="664" spans="1:19" x14ac:dyDescent="0.3">
      <c r="A664" t="s">
        <v>880</v>
      </c>
      <c r="B664" t="s">
        <v>28</v>
      </c>
      <c r="C664" t="s">
        <v>20</v>
      </c>
      <c r="D664" s="3" t="s">
        <v>881</v>
      </c>
      <c r="E664">
        <v>-73.942094301736603</v>
      </c>
      <c r="F664" t="s">
        <v>21</v>
      </c>
      <c r="G664">
        <v>4</v>
      </c>
      <c r="H664">
        <v>1</v>
      </c>
      <c r="I664">
        <v>2</v>
      </c>
      <c r="J664">
        <v>3</v>
      </c>
      <c r="K664">
        <v>30</v>
      </c>
      <c r="L664">
        <v>312</v>
      </c>
      <c r="M664">
        <v>48</v>
      </c>
      <c r="N664">
        <v>1.79</v>
      </c>
      <c r="O664">
        <f t="shared" si="20"/>
        <v>0</v>
      </c>
      <c r="P664">
        <f t="shared" si="21"/>
        <v>4</v>
      </c>
      <c r="Q664" s="2">
        <v>110</v>
      </c>
      <c r="R664" s="1">
        <v>45742</v>
      </c>
      <c r="S664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190.19000000000005</v>
      </c>
    </row>
    <row r="665" spans="1:19" x14ac:dyDescent="0.3">
      <c r="A665" t="s">
        <v>882</v>
      </c>
      <c r="B665" t="s">
        <v>23</v>
      </c>
      <c r="C665" t="s">
        <v>17</v>
      </c>
      <c r="D665" s="3" t="s">
        <v>883</v>
      </c>
      <c r="E665">
        <v>-73.964573356554595</v>
      </c>
      <c r="F665" t="s">
        <v>21</v>
      </c>
      <c r="G665">
        <v>2</v>
      </c>
      <c r="H665">
        <v>1</v>
      </c>
      <c r="I665">
        <v>1</v>
      </c>
      <c r="J665">
        <v>1</v>
      </c>
      <c r="K665">
        <v>30</v>
      </c>
      <c r="L665">
        <v>262</v>
      </c>
      <c r="M665">
        <v>7</v>
      </c>
      <c r="N665">
        <v>0.38</v>
      </c>
      <c r="O665">
        <f t="shared" si="20"/>
        <v>0</v>
      </c>
      <c r="P665">
        <f t="shared" si="21"/>
        <v>2</v>
      </c>
      <c r="Q665" s="2">
        <v>221</v>
      </c>
      <c r="R665" s="1">
        <v>45719</v>
      </c>
      <c r="S665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123.77000000000001</v>
      </c>
    </row>
    <row r="666" spans="1:19" x14ac:dyDescent="0.3">
      <c r="A666" t="s">
        <v>884</v>
      </c>
      <c r="B666" t="s">
        <v>27</v>
      </c>
      <c r="C666" t="s">
        <v>17</v>
      </c>
      <c r="D666">
        <v>40.683129999999998</v>
      </c>
      <c r="E666">
        <v>-73.914850000000001</v>
      </c>
      <c r="F666" t="s">
        <v>18</v>
      </c>
      <c r="G666">
        <v>2</v>
      </c>
      <c r="H666">
        <v>1</v>
      </c>
      <c r="I666">
        <v>1</v>
      </c>
      <c r="J666">
        <v>1</v>
      </c>
      <c r="K666">
        <v>2</v>
      </c>
      <c r="L666">
        <v>77</v>
      </c>
      <c r="M666">
        <v>22</v>
      </c>
      <c r="N666">
        <v>0.88</v>
      </c>
      <c r="O666">
        <f t="shared" si="20"/>
        <v>1</v>
      </c>
      <c r="P666">
        <f t="shared" si="21"/>
        <v>2</v>
      </c>
      <c r="Q666" s="2">
        <v>169</v>
      </c>
      <c r="R666" s="1">
        <v>45740</v>
      </c>
      <c r="S666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181.67000000000004</v>
      </c>
    </row>
    <row r="667" spans="1:19" x14ac:dyDescent="0.3">
      <c r="A667" t="s">
        <v>885</v>
      </c>
      <c r="B667" t="s">
        <v>38</v>
      </c>
      <c r="C667" t="s">
        <v>20</v>
      </c>
      <c r="D667" s="3" t="s">
        <v>886</v>
      </c>
      <c r="E667">
        <v>-73.995894165908595</v>
      </c>
      <c r="F667" t="s">
        <v>21</v>
      </c>
      <c r="G667">
        <v>2</v>
      </c>
      <c r="H667">
        <v>1</v>
      </c>
      <c r="I667">
        <v>0</v>
      </c>
      <c r="J667">
        <v>1</v>
      </c>
      <c r="K667">
        <v>30</v>
      </c>
      <c r="L667">
        <v>305</v>
      </c>
      <c r="M667">
        <v>1</v>
      </c>
      <c r="N667">
        <v>0.57999999999999996</v>
      </c>
      <c r="O667">
        <f t="shared" si="20"/>
        <v>0</v>
      </c>
      <c r="P667">
        <f t="shared" si="21"/>
        <v>4</v>
      </c>
      <c r="Q667" s="2">
        <v>132</v>
      </c>
      <c r="R667" s="1">
        <v>45727</v>
      </c>
      <c r="S667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152.51000000000002</v>
      </c>
    </row>
    <row r="668" spans="1:19" x14ac:dyDescent="0.3">
      <c r="A668" t="s">
        <v>887</v>
      </c>
      <c r="B668" t="s">
        <v>27</v>
      </c>
      <c r="C668" t="s">
        <v>17</v>
      </c>
      <c r="D668" s="3" t="s">
        <v>888</v>
      </c>
      <c r="E668">
        <v>-73.935486874475302</v>
      </c>
      <c r="F668" t="s">
        <v>21</v>
      </c>
      <c r="G668">
        <v>3</v>
      </c>
      <c r="H668">
        <v>1</v>
      </c>
      <c r="I668">
        <v>1</v>
      </c>
      <c r="J668">
        <v>2</v>
      </c>
      <c r="K668">
        <v>30</v>
      </c>
      <c r="L668">
        <v>214</v>
      </c>
      <c r="M668">
        <v>25</v>
      </c>
      <c r="N668">
        <v>0.94</v>
      </c>
      <c r="O668">
        <f t="shared" si="20"/>
        <v>0</v>
      </c>
      <c r="P668">
        <f t="shared" si="21"/>
        <v>2</v>
      </c>
      <c r="Q668" s="2">
        <v>100</v>
      </c>
      <c r="R668" s="1">
        <v>45717</v>
      </c>
      <c r="S668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144.67000000000002</v>
      </c>
    </row>
    <row r="669" spans="1:19" x14ac:dyDescent="0.3">
      <c r="A669" t="s">
        <v>889</v>
      </c>
      <c r="B669" t="s">
        <v>149</v>
      </c>
      <c r="C669" t="s">
        <v>30</v>
      </c>
      <c r="D669" s="3" t="s">
        <v>890</v>
      </c>
      <c r="E669">
        <v>-73.862410474009707</v>
      </c>
      <c r="F669" t="s">
        <v>18</v>
      </c>
      <c r="G669">
        <v>1</v>
      </c>
      <c r="H669">
        <v>1</v>
      </c>
      <c r="I669">
        <v>1</v>
      </c>
      <c r="J669">
        <v>1</v>
      </c>
      <c r="K669">
        <v>30</v>
      </c>
      <c r="L669">
        <v>190</v>
      </c>
      <c r="M669">
        <v>1</v>
      </c>
      <c r="N669">
        <v>0.53</v>
      </c>
      <c r="O669">
        <f t="shared" si="20"/>
        <v>1</v>
      </c>
      <c r="P669">
        <f t="shared" si="21"/>
        <v>0</v>
      </c>
      <c r="Q669" s="2">
        <v>55</v>
      </c>
      <c r="R669" s="1">
        <v>45723</v>
      </c>
      <c r="S669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33.910000000000011</v>
      </c>
    </row>
    <row r="670" spans="1:19" x14ac:dyDescent="0.3">
      <c r="A670" t="s">
        <v>891</v>
      </c>
      <c r="B670" t="s">
        <v>50</v>
      </c>
      <c r="C670" t="s">
        <v>20</v>
      </c>
      <c r="D670" s="3" t="s">
        <v>892</v>
      </c>
      <c r="E670">
        <v>-74.000969710007197</v>
      </c>
      <c r="F670" t="s">
        <v>21</v>
      </c>
      <c r="G670">
        <v>2</v>
      </c>
      <c r="H670">
        <v>1</v>
      </c>
      <c r="I670">
        <v>1</v>
      </c>
      <c r="J670">
        <v>1</v>
      </c>
      <c r="K670">
        <v>30</v>
      </c>
      <c r="L670">
        <v>259</v>
      </c>
      <c r="M670">
        <v>6</v>
      </c>
      <c r="N670">
        <v>0.25</v>
      </c>
      <c r="O670">
        <f t="shared" si="20"/>
        <v>0</v>
      </c>
      <c r="P670">
        <f t="shared" si="21"/>
        <v>4</v>
      </c>
      <c r="Q670" s="2">
        <v>149</v>
      </c>
      <c r="R670" s="1">
        <v>45721</v>
      </c>
      <c r="S670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154.35000000000002</v>
      </c>
    </row>
    <row r="671" spans="1:19" x14ac:dyDescent="0.3">
      <c r="A671" t="s">
        <v>893</v>
      </c>
      <c r="B671" t="s">
        <v>60</v>
      </c>
      <c r="C671" t="s">
        <v>17</v>
      </c>
      <c r="D671">
        <v>40.636637899999997</v>
      </c>
      <c r="E671">
        <v>-73.949767399999999</v>
      </c>
      <c r="F671" t="s">
        <v>21</v>
      </c>
      <c r="G671">
        <v>2</v>
      </c>
      <c r="H671">
        <v>1</v>
      </c>
      <c r="I671">
        <v>1</v>
      </c>
      <c r="J671">
        <v>1</v>
      </c>
      <c r="K671">
        <v>30</v>
      </c>
      <c r="L671">
        <v>271</v>
      </c>
      <c r="M671">
        <v>36</v>
      </c>
      <c r="N671">
        <v>1.37</v>
      </c>
      <c r="O671">
        <f t="shared" si="20"/>
        <v>0</v>
      </c>
      <c r="P671">
        <f t="shared" si="21"/>
        <v>2</v>
      </c>
      <c r="Q671" s="2">
        <v>126</v>
      </c>
      <c r="R671" s="1">
        <v>45744</v>
      </c>
      <c r="S671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123.41000000000003</v>
      </c>
    </row>
    <row r="672" spans="1:19" x14ac:dyDescent="0.3">
      <c r="A672" t="s">
        <v>894</v>
      </c>
      <c r="B672" t="s">
        <v>134</v>
      </c>
      <c r="C672" t="s">
        <v>30</v>
      </c>
      <c r="D672">
        <v>40.710129999999999</v>
      </c>
      <c r="E672">
        <v>-73.749939999999995</v>
      </c>
      <c r="F672" t="s">
        <v>18</v>
      </c>
      <c r="G672">
        <v>3</v>
      </c>
      <c r="H672">
        <v>1</v>
      </c>
      <c r="I672">
        <v>1</v>
      </c>
      <c r="J672">
        <v>2</v>
      </c>
      <c r="K672">
        <v>30</v>
      </c>
      <c r="L672">
        <v>265</v>
      </c>
      <c r="M672">
        <v>72</v>
      </c>
      <c r="N672">
        <v>2.71</v>
      </c>
      <c r="O672">
        <f t="shared" si="20"/>
        <v>1</v>
      </c>
      <c r="P672">
        <f t="shared" si="21"/>
        <v>0</v>
      </c>
      <c r="Q672" s="2">
        <v>80</v>
      </c>
      <c r="R672" s="1">
        <v>45733</v>
      </c>
      <c r="S672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68.870000000000019</v>
      </c>
    </row>
    <row r="673" spans="1:19" x14ac:dyDescent="0.3">
      <c r="A673" t="s">
        <v>895</v>
      </c>
      <c r="B673" t="s">
        <v>89</v>
      </c>
      <c r="C673" t="s">
        <v>30</v>
      </c>
      <c r="D673">
        <v>40.747970000000002</v>
      </c>
      <c r="E673">
        <v>-73.873589999999993</v>
      </c>
      <c r="F673" t="s">
        <v>18</v>
      </c>
      <c r="G673">
        <v>2</v>
      </c>
      <c r="H673">
        <v>1</v>
      </c>
      <c r="I673">
        <v>1</v>
      </c>
      <c r="J673">
        <v>1</v>
      </c>
      <c r="K673">
        <v>30</v>
      </c>
      <c r="L673">
        <v>327</v>
      </c>
      <c r="M673">
        <v>11</v>
      </c>
      <c r="N673">
        <v>0.45</v>
      </c>
      <c r="O673">
        <f t="shared" si="20"/>
        <v>1</v>
      </c>
      <c r="P673">
        <f t="shared" si="21"/>
        <v>0</v>
      </c>
      <c r="Q673" s="2">
        <v>70</v>
      </c>
      <c r="R673" s="1">
        <v>45726</v>
      </c>
      <c r="S673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47.410000000000025</v>
      </c>
    </row>
    <row r="674" spans="1:19" x14ac:dyDescent="0.3">
      <c r="A674" t="s">
        <v>896</v>
      </c>
      <c r="B674" t="s">
        <v>27</v>
      </c>
      <c r="C674" t="s">
        <v>17</v>
      </c>
      <c r="D674">
        <v>40.691680499999997</v>
      </c>
      <c r="E674">
        <v>-73.950149299999893</v>
      </c>
      <c r="F674" t="s">
        <v>21</v>
      </c>
      <c r="G674">
        <v>4</v>
      </c>
      <c r="H674">
        <v>1</v>
      </c>
      <c r="I674">
        <v>2</v>
      </c>
      <c r="J674">
        <v>2</v>
      </c>
      <c r="K674">
        <v>30</v>
      </c>
      <c r="L674">
        <v>109</v>
      </c>
      <c r="M674">
        <v>19</v>
      </c>
      <c r="N674">
        <v>0.74</v>
      </c>
      <c r="O674">
        <f t="shared" si="20"/>
        <v>0</v>
      </c>
      <c r="P674">
        <f t="shared" si="21"/>
        <v>2</v>
      </c>
      <c r="Q674" s="2">
        <v>158</v>
      </c>
      <c r="R674" s="1">
        <v>45718</v>
      </c>
      <c r="S674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167.85000000000002</v>
      </c>
    </row>
    <row r="675" spans="1:19" x14ac:dyDescent="0.3">
      <c r="A675" t="s">
        <v>897</v>
      </c>
      <c r="B675" t="s">
        <v>219</v>
      </c>
      <c r="C675" t="s">
        <v>30</v>
      </c>
      <c r="D675" s="3" t="s">
        <v>898</v>
      </c>
      <c r="E675">
        <v>-73.777792328046104</v>
      </c>
      <c r="F675" t="s">
        <v>21</v>
      </c>
      <c r="G675">
        <v>2</v>
      </c>
      <c r="H675">
        <v>1</v>
      </c>
      <c r="I675">
        <v>1</v>
      </c>
      <c r="J675">
        <v>2</v>
      </c>
      <c r="K675">
        <v>30</v>
      </c>
      <c r="L675">
        <v>248</v>
      </c>
      <c r="M675">
        <v>23</v>
      </c>
      <c r="N675">
        <v>0.88</v>
      </c>
      <c r="O675">
        <f t="shared" si="20"/>
        <v>0</v>
      </c>
      <c r="P675">
        <f t="shared" si="21"/>
        <v>0</v>
      </c>
      <c r="Q675" s="2">
        <v>71</v>
      </c>
      <c r="R675" s="1">
        <v>45741</v>
      </c>
      <c r="S675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93.870000000000019</v>
      </c>
    </row>
    <row r="676" spans="1:19" x14ac:dyDescent="0.3">
      <c r="A676" t="s">
        <v>899</v>
      </c>
      <c r="B676" t="s">
        <v>38</v>
      </c>
      <c r="C676" t="s">
        <v>20</v>
      </c>
      <c r="D676">
        <v>40.7630537</v>
      </c>
      <c r="E676">
        <v>-73.9903446</v>
      </c>
      <c r="F676" t="s">
        <v>21</v>
      </c>
      <c r="G676">
        <v>2</v>
      </c>
      <c r="H676">
        <v>1</v>
      </c>
      <c r="I676">
        <v>1</v>
      </c>
      <c r="J676">
        <v>1</v>
      </c>
      <c r="K676">
        <v>30</v>
      </c>
      <c r="L676">
        <v>305</v>
      </c>
      <c r="M676">
        <v>5</v>
      </c>
      <c r="N676">
        <v>0.2</v>
      </c>
      <c r="O676">
        <f t="shared" si="20"/>
        <v>0</v>
      </c>
      <c r="P676">
        <f t="shared" si="21"/>
        <v>4</v>
      </c>
      <c r="Q676" s="2">
        <v>120</v>
      </c>
      <c r="R676" s="1">
        <v>45719</v>
      </c>
      <c r="S676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152.51000000000002</v>
      </c>
    </row>
    <row r="677" spans="1:19" x14ac:dyDescent="0.3">
      <c r="A677" t="s">
        <v>900</v>
      </c>
      <c r="B677" t="s">
        <v>481</v>
      </c>
      <c r="C677" t="s">
        <v>91</v>
      </c>
      <c r="D677" s="3" t="s">
        <v>901</v>
      </c>
      <c r="E677">
        <v>-74.1657963954991</v>
      </c>
      <c r="F677" t="s">
        <v>18</v>
      </c>
      <c r="G677">
        <v>2</v>
      </c>
      <c r="H677">
        <v>1</v>
      </c>
      <c r="I677">
        <v>1</v>
      </c>
      <c r="J677">
        <v>2</v>
      </c>
      <c r="K677">
        <v>3</v>
      </c>
      <c r="L677">
        <v>358</v>
      </c>
      <c r="M677">
        <v>28</v>
      </c>
      <c r="N677">
        <v>1.1100000000000001</v>
      </c>
      <c r="O677">
        <f t="shared" si="20"/>
        <v>1</v>
      </c>
      <c r="P677">
        <f t="shared" si="21"/>
        <v>0</v>
      </c>
      <c r="Q677" s="2">
        <v>86</v>
      </c>
      <c r="R677" s="1">
        <v>45745</v>
      </c>
      <c r="S677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136.62</v>
      </c>
    </row>
    <row r="678" spans="1:19" x14ac:dyDescent="0.3">
      <c r="A678" t="s">
        <v>902</v>
      </c>
      <c r="B678" t="s">
        <v>44</v>
      </c>
      <c r="C678" t="s">
        <v>30</v>
      </c>
      <c r="D678">
        <v>40.668940999999997</v>
      </c>
      <c r="E678">
        <v>-73.779067999999995</v>
      </c>
      <c r="F678" t="s">
        <v>18</v>
      </c>
      <c r="G678">
        <v>2</v>
      </c>
      <c r="H678">
        <v>1</v>
      </c>
      <c r="I678">
        <v>1</v>
      </c>
      <c r="J678">
        <v>1</v>
      </c>
      <c r="K678">
        <v>3</v>
      </c>
      <c r="L678">
        <v>364</v>
      </c>
      <c r="M678">
        <v>25</v>
      </c>
      <c r="N678">
        <v>1.1100000000000001</v>
      </c>
      <c r="O678">
        <f t="shared" si="20"/>
        <v>1</v>
      </c>
      <c r="P678">
        <f t="shared" si="21"/>
        <v>0</v>
      </c>
      <c r="Q678" s="2">
        <v>130</v>
      </c>
      <c r="R678" s="1">
        <v>45719</v>
      </c>
      <c r="S678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136.38</v>
      </c>
    </row>
    <row r="679" spans="1:19" x14ac:dyDescent="0.3">
      <c r="A679" t="s">
        <v>903</v>
      </c>
      <c r="B679" t="s">
        <v>27</v>
      </c>
      <c r="C679" t="s">
        <v>17</v>
      </c>
      <c r="D679" s="3" t="s">
        <v>904</v>
      </c>
      <c r="E679">
        <v>-73.933061067265498</v>
      </c>
      <c r="F679" t="s">
        <v>18</v>
      </c>
      <c r="G679">
        <v>1</v>
      </c>
      <c r="H679">
        <v>1</v>
      </c>
      <c r="I679">
        <v>1</v>
      </c>
      <c r="J679">
        <v>1</v>
      </c>
      <c r="K679">
        <v>30</v>
      </c>
      <c r="L679">
        <v>61</v>
      </c>
      <c r="M679">
        <v>2</v>
      </c>
      <c r="N679">
        <v>0.09</v>
      </c>
      <c r="O679">
        <f t="shared" si="20"/>
        <v>1</v>
      </c>
      <c r="P679">
        <f t="shared" si="21"/>
        <v>2</v>
      </c>
      <c r="Q679" s="2">
        <v>57</v>
      </c>
      <c r="R679" s="1">
        <v>45717</v>
      </c>
      <c r="S679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69.53</v>
      </c>
    </row>
    <row r="680" spans="1:19" x14ac:dyDescent="0.3">
      <c r="A680" t="s">
        <v>905</v>
      </c>
      <c r="B680" t="s">
        <v>50</v>
      </c>
      <c r="C680" t="s">
        <v>20</v>
      </c>
      <c r="D680">
        <v>40.7399737</v>
      </c>
      <c r="E680">
        <v>-74.003553799999906</v>
      </c>
      <c r="F680" t="s">
        <v>21</v>
      </c>
      <c r="G680">
        <v>2</v>
      </c>
      <c r="H680">
        <v>1</v>
      </c>
      <c r="I680">
        <v>0</v>
      </c>
      <c r="J680">
        <v>1</v>
      </c>
      <c r="K680">
        <v>30</v>
      </c>
      <c r="L680">
        <v>335</v>
      </c>
      <c r="M680">
        <v>8</v>
      </c>
      <c r="N680">
        <v>0.36</v>
      </c>
      <c r="O680">
        <f t="shared" si="20"/>
        <v>0</v>
      </c>
      <c r="P680">
        <f t="shared" si="21"/>
        <v>4</v>
      </c>
      <c r="Q680" s="2">
        <v>155</v>
      </c>
      <c r="R680" s="1">
        <v>45717</v>
      </c>
      <c r="S680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151.31</v>
      </c>
    </row>
    <row r="681" spans="1:19" x14ac:dyDescent="0.3">
      <c r="A681" t="s">
        <v>906</v>
      </c>
      <c r="B681" t="s">
        <v>132</v>
      </c>
      <c r="C681" t="s">
        <v>17</v>
      </c>
      <c r="D681" s="3" t="s">
        <v>907</v>
      </c>
      <c r="E681">
        <v>-73.908955388282493</v>
      </c>
      <c r="F681" t="s">
        <v>21</v>
      </c>
      <c r="G681">
        <v>4</v>
      </c>
      <c r="H681">
        <v>1.5</v>
      </c>
      <c r="I681">
        <v>2</v>
      </c>
      <c r="J681">
        <v>2</v>
      </c>
      <c r="K681">
        <v>2</v>
      </c>
      <c r="L681">
        <v>348</v>
      </c>
      <c r="M681">
        <v>71</v>
      </c>
      <c r="N681">
        <v>2.8</v>
      </c>
      <c r="O681">
        <f t="shared" si="20"/>
        <v>0</v>
      </c>
      <c r="P681">
        <f t="shared" si="21"/>
        <v>2</v>
      </c>
      <c r="Q681" s="2">
        <v>342</v>
      </c>
      <c r="R681" s="1">
        <v>45746</v>
      </c>
      <c r="S681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257.70000000000005</v>
      </c>
    </row>
    <row r="682" spans="1:19" x14ac:dyDescent="0.3">
      <c r="A682" t="s">
        <v>834</v>
      </c>
      <c r="B682" t="s">
        <v>68</v>
      </c>
      <c r="C682" t="s">
        <v>20</v>
      </c>
      <c r="D682">
        <v>40.838741629000602</v>
      </c>
      <c r="E682">
        <v>-73.938241552341793</v>
      </c>
      <c r="F682" t="s">
        <v>18</v>
      </c>
      <c r="G682">
        <v>1</v>
      </c>
      <c r="H682">
        <v>1</v>
      </c>
      <c r="I682">
        <v>1</v>
      </c>
      <c r="J682">
        <v>1</v>
      </c>
      <c r="K682">
        <v>30</v>
      </c>
      <c r="L682">
        <v>360</v>
      </c>
      <c r="M682">
        <v>14</v>
      </c>
      <c r="N682">
        <v>0.54</v>
      </c>
      <c r="O682">
        <f t="shared" si="20"/>
        <v>1</v>
      </c>
      <c r="P682">
        <f t="shared" si="21"/>
        <v>4</v>
      </c>
      <c r="Q682" s="2">
        <v>60</v>
      </c>
      <c r="R682" s="1">
        <v>45736</v>
      </c>
      <c r="S682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88.03</v>
      </c>
    </row>
    <row r="683" spans="1:19" x14ac:dyDescent="0.3">
      <c r="A683" t="s">
        <v>908</v>
      </c>
      <c r="B683" t="s">
        <v>19</v>
      </c>
      <c r="C683" t="s">
        <v>20</v>
      </c>
      <c r="D683">
        <v>40.755077499999999</v>
      </c>
      <c r="E683">
        <v>-73.981057100000001</v>
      </c>
      <c r="F683" t="s">
        <v>18</v>
      </c>
      <c r="G683">
        <v>2</v>
      </c>
      <c r="H683">
        <v>1</v>
      </c>
      <c r="I683">
        <v>1</v>
      </c>
      <c r="J683">
        <v>1</v>
      </c>
      <c r="K683">
        <v>30</v>
      </c>
      <c r="L683">
        <v>239</v>
      </c>
      <c r="M683">
        <v>5</v>
      </c>
      <c r="N683">
        <v>0.19</v>
      </c>
      <c r="O683">
        <f t="shared" si="20"/>
        <v>1</v>
      </c>
      <c r="P683">
        <f t="shared" si="21"/>
        <v>4</v>
      </c>
      <c r="Q683" s="2">
        <v>137</v>
      </c>
      <c r="R683" s="1">
        <v>45741</v>
      </c>
      <c r="S683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111.85000000000002</v>
      </c>
    </row>
    <row r="684" spans="1:19" x14ac:dyDescent="0.3">
      <c r="A684" t="s">
        <v>909</v>
      </c>
      <c r="B684" t="s">
        <v>38</v>
      </c>
      <c r="C684" t="s">
        <v>20</v>
      </c>
      <c r="D684">
        <v>40.763770000000001</v>
      </c>
      <c r="E684">
        <v>-73.995679999999993</v>
      </c>
      <c r="F684" t="s">
        <v>18</v>
      </c>
      <c r="G684">
        <v>2</v>
      </c>
      <c r="H684">
        <v>1</v>
      </c>
      <c r="I684">
        <v>0</v>
      </c>
      <c r="J684">
        <v>1</v>
      </c>
      <c r="K684">
        <v>1</v>
      </c>
      <c r="L684">
        <v>142</v>
      </c>
      <c r="M684">
        <v>18</v>
      </c>
      <c r="N684">
        <v>0.32</v>
      </c>
      <c r="O684">
        <f t="shared" si="20"/>
        <v>1</v>
      </c>
      <c r="P684">
        <f t="shared" si="21"/>
        <v>4</v>
      </c>
      <c r="Q684" s="2">
        <v>229</v>
      </c>
      <c r="R684" s="1">
        <v>45720</v>
      </c>
      <c r="S684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212.88000000000005</v>
      </c>
    </row>
    <row r="685" spans="1:19" x14ac:dyDescent="0.3">
      <c r="A685" t="s">
        <v>910</v>
      </c>
      <c r="B685" t="s">
        <v>28</v>
      </c>
      <c r="C685" t="s">
        <v>20</v>
      </c>
      <c r="D685">
        <v>40.817473300000003</v>
      </c>
      <c r="E685">
        <v>-73.944190899999995</v>
      </c>
      <c r="F685" t="s">
        <v>21</v>
      </c>
      <c r="G685">
        <v>7</v>
      </c>
      <c r="H685">
        <v>1</v>
      </c>
      <c r="I685">
        <v>3</v>
      </c>
      <c r="J685">
        <v>4</v>
      </c>
      <c r="K685">
        <v>1</v>
      </c>
      <c r="L685">
        <v>332</v>
      </c>
      <c r="M685">
        <v>75</v>
      </c>
      <c r="N685">
        <v>2.96</v>
      </c>
      <c r="O685">
        <f t="shared" si="20"/>
        <v>0</v>
      </c>
      <c r="P685">
        <f t="shared" si="21"/>
        <v>4</v>
      </c>
      <c r="Q685" s="2">
        <v>403</v>
      </c>
      <c r="R685" s="1">
        <v>45726</v>
      </c>
      <c r="S685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343.48000000000008</v>
      </c>
    </row>
    <row r="686" spans="1:19" x14ac:dyDescent="0.3">
      <c r="A686" t="s">
        <v>911</v>
      </c>
      <c r="B686" t="s">
        <v>73</v>
      </c>
      <c r="C686" t="s">
        <v>30</v>
      </c>
      <c r="D686">
        <v>40.752299353384899</v>
      </c>
      <c r="E686">
        <v>-73.932129888984093</v>
      </c>
      <c r="F686" t="s">
        <v>18</v>
      </c>
      <c r="G686">
        <v>2</v>
      </c>
      <c r="H686">
        <v>2</v>
      </c>
      <c r="I686">
        <v>1</v>
      </c>
      <c r="J686">
        <v>1</v>
      </c>
      <c r="K686">
        <v>30</v>
      </c>
      <c r="L686">
        <v>57</v>
      </c>
      <c r="M686">
        <v>23</v>
      </c>
      <c r="N686">
        <v>0.89</v>
      </c>
      <c r="O686">
        <f t="shared" si="20"/>
        <v>1</v>
      </c>
      <c r="P686">
        <f t="shared" si="21"/>
        <v>0</v>
      </c>
      <c r="Q686" s="2">
        <v>68</v>
      </c>
      <c r="R686" s="1">
        <v>45720</v>
      </c>
      <c r="S686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69.430000000000021</v>
      </c>
    </row>
    <row r="687" spans="1:19" x14ac:dyDescent="0.3">
      <c r="A687" t="s">
        <v>912</v>
      </c>
      <c r="B687" t="s">
        <v>29</v>
      </c>
      <c r="C687" t="s">
        <v>30</v>
      </c>
      <c r="D687" s="3" t="s">
        <v>913</v>
      </c>
      <c r="E687">
        <v>-73.902009556233395</v>
      </c>
      <c r="F687" t="s">
        <v>21</v>
      </c>
      <c r="G687">
        <v>2</v>
      </c>
      <c r="H687">
        <v>1</v>
      </c>
      <c r="I687">
        <v>1</v>
      </c>
      <c r="J687">
        <v>1</v>
      </c>
      <c r="K687">
        <v>30</v>
      </c>
      <c r="L687">
        <v>118</v>
      </c>
      <c r="M687">
        <v>3</v>
      </c>
      <c r="N687">
        <v>0.13</v>
      </c>
      <c r="O687">
        <f t="shared" si="20"/>
        <v>0</v>
      </c>
      <c r="P687">
        <f t="shared" si="21"/>
        <v>0</v>
      </c>
      <c r="Q687" s="2">
        <v>115</v>
      </c>
      <c r="R687" s="1">
        <v>45724</v>
      </c>
      <c r="S687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99.070000000000022</v>
      </c>
    </row>
    <row r="688" spans="1:19" x14ac:dyDescent="0.3">
      <c r="A688" t="s">
        <v>914</v>
      </c>
      <c r="B688" t="s">
        <v>38</v>
      </c>
      <c r="C688" t="s">
        <v>20</v>
      </c>
      <c r="D688">
        <v>40.766351</v>
      </c>
      <c r="E688">
        <v>-73.987112099999905</v>
      </c>
      <c r="F688" t="s">
        <v>21</v>
      </c>
      <c r="G688">
        <v>3</v>
      </c>
      <c r="H688">
        <v>1</v>
      </c>
      <c r="I688">
        <v>1</v>
      </c>
      <c r="J688">
        <v>1</v>
      </c>
      <c r="K688">
        <v>30</v>
      </c>
      <c r="L688">
        <v>310</v>
      </c>
      <c r="M688">
        <v>10</v>
      </c>
      <c r="N688">
        <v>0.41</v>
      </c>
      <c r="O688">
        <f t="shared" si="20"/>
        <v>0</v>
      </c>
      <c r="P688">
        <f t="shared" si="21"/>
        <v>4</v>
      </c>
      <c r="Q688" s="2">
        <v>130</v>
      </c>
      <c r="R688" s="1">
        <v>45719</v>
      </c>
      <c r="S688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171.29000000000002</v>
      </c>
    </row>
    <row r="689" spans="1:19" x14ac:dyDescent="0.3">
      <c r="A689" t="s">
        <v>915</v>
      </c>
      <c r="B689" t="s">
        <v>43</v>
      </c>
      <c r="C689" t="s">
        <v>20</v>
      </c>
      <c r="D689">
        <v>40.712670000000003</v>
      </c>
      <c r="E689">
        <v>-73.980689999999996</v>
      </c>
      <c r="F689" t="s">
        <v>21</v>
      </c>
      <c r="G689">
        <v>3</v>
      </c>
      <c r="H689">
        <v>1</v>
      </c>
      <c r="I689">
        <v>2</v>
      </c>
      <c r="J689">
        <v>2</v>
      </c>
      <c r="K689">
        <v>30</v>
      </c>
      <c r="L689">
        <v>112</v>
      </c>
      <c r="M689">
        <v>9</v>
      </c>
      <c r="N689">
        <v>0.35</v>
      </c>
      <c r="O689">
        <f t="shared" si="20"/>
        <v>0</v>
      </c>
      <c r="P689">
        <f t="shared" si="21"/>
        <v>4</v>
      </c>
      <c r="Q689" s="2">
        <v>272</v>
      </c>
      <c r="R689" s="1">
        <v>45731</v>
      </c>
      <c r="S689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179.21</v>
      </c>
    </row>
    <row r="690" spans="1:19" x14ac:dyDescent="0.3">
      <c r="A690" t="s">
        <v>916</v>
      </c>
      <c r="B690" t="s">
        <v>86</v>
      </c>
      <c r="C690" t="s">
        <v>20</v>
      </c>
      <c r="D690" s="3" t="s">
        <v>917</v>
      </c>
      <c r="E690">
        <v>-74.001136289867603</v>
      </c>
      <c r="F690" t="s">
        <v>18</v>
      </c>
      <c r="G690">
        <v>4</v>
      </c>
      <c r="H690">
        <v>1</v>
      </c>
      <c r="I690">
        <v>0</v>
      </c>
      <c r="J690">
        <v>2</v>
      </c>
      <c r="K690">
        <v>1</v>
      </c>
      <c r="L690">
        <v>198</v>
      </c>
      <c r="M690">
        <v>11</v>
      </c>
      <c r="N690">
        <v>0.46</v>
      </c>
      <c r="O690">
        <f t="shared" si="20"/>
        <v>1</v>
      </c>
      <c r="P690">
        <f t="shared" si="21"/>
        <v>4</v>
      </c>
      <c r="Q690" s="2">
        <v>286</v>
      </c>
      <c r="R690" s="1">
        <v>45740</v>
      </c>
      <c r="S690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248.60000000000008</v>
      </c>
    </row>
    <row r="691" spans="1:19" x14ac:dyDescent="0.3">
      <c r="A691" t="s">
        <v>918</v>
      </c>
      <c r="B691" t="s">
        <v>86</v>
      </c>
      <c r="C691" t="s">
        <v>20</v>
      </c>
      <c r="D691" s="3" t="s">
        <v>919</v>
      </c>
      <c r="E691">
        <v>-73.999591281912203</v>
      </c>
      <c r="F691" t="s">
        <v>18</v>
      </c>
      <c r="G691">
        <v>2</v>
      </c>
      <c r="H691">
        <v>1</v>
      </c>
      <c r="I691">
        <v>0</v>
      </c>
      <c r="J691">
        <v>1</v>
      </c>
      <c r="K691">
        <v>1</v>
      </c>
      <c r="L691">
        <v>204</v>
      </c>
      <c r="M691">
        <v>30</v>
      </c>
      <c r="N691">
        <v>1.38</v>
      </c>
      <c r="O691">
        <f t="shared" si="20"/>
        <v>1</v>
      </c>
      <c r="P691">
        <f t="shared" si="21"/>
        <v>4</v>
      </c>
      <c r="Q691" s="2">
        <v>238</v>
      </c>
      <c r="R691" s="1">
        <v>45739</v>
      </c>
      <c r="S691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210.40000000000003</v>
      </c>
    </row>
    <row r="692" spans="1:19" x14ac:dyDescent="0.3">
      <c r="A692" t="s">
        <v>920</v>
      </c>
      <c r="B692" t="s">
        <v>33</v>
      </c>
      <c r="C692" t="s">
        <v>17</v>
      </c>
      <c r="D692" s="3" t="s">
        <v>921</v>
      </c>
      <c r="E692">
        <v>-73.979206105227803</v>
      </c>
      <c r="F692" t="s">
        <v>21</v>
      </c>
      <c r="G692">
        <v>4</v>
      </c>
      <c r="H692">
        <v>1</v>
      </c>
      <c r="I692">
        <v>2</v>
      </c>
      <c r="J692">
        <v>2</v>
      </c>
      <c r="K692">
        <v>30</v>
      </c>
      <c r="L692">
        <v>225</v>
      </c>
      <c r="M692">
        <v>2</v>
      </c>
      <c r="N692">
        <v>0.17</v>
      </c>
      <c r="O692">
        <f t="shared" si="20"/>
        <v>0</v>
      </c>
      <c r="P692">
        <f t="shared" si="21"/>
        <v>2</v>
      </c>
      <c r="Q692" s="2">
        <v>272</v>
      </c>
      <c r="R692" s="1">
        <v>45724</v>
      </c>
      <c r="S692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163.21000000000004</v>
      </c>
    </row>
    <row r="693" spans="1:19" x14ac:dyDescent="0.3">
      <c r="A693" t="s">
        <v>922</v>
      </c>
      <c r="B693" t="s">
        <v>241</v>
      </c>
      <c r="C693" t="s">
        <v>31</v>
      </c>
      <c r="D693">
        <v>40.872296300000002</v>
      </c>
      <c r="E693">
        <v>-73.848212399999994</v>
      </c>
      <c r="F693" t="s">
        <v>21</v>
      </c>
      <c r="G693">
        <v>4</v>
      </c>
      <c r="H693">
        <v>1</v>
      </c>
      <c r="I693">
        <v>1</v>
      </c>
      <c r="J693">
        <v>1</v>
      </c>
      <c r="K693">
        <v>30</v>
      </c>
      <c r="L693">
        <v>75</v>
      </c>
      <c r="M693">
        <v>29</v>
      </c>
      <c r="N693">
        <v>1.1399999999999999</v>
      </c>
      <c r="O693">
        <f t="shared" si="20"/>
        <v>0</v>
      </c>
      <c r="P693">
        <f t="shared" si="21"/>
        <v>0</v>
      </c>
      <c r="Q693" s="2">
        <v>100</v>
      </c>
      <c r="R693" s="1">
        <v>45731</v>
      </c>
      <c r="S693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138.75000000000003</v>
      </c>
    </row>
    <row r="694" spans="1:19" x14ac:dyDescent="0.3">
      <c r="A694" t="s">
        <v>923</v>
      </c>
      <c r="B694" t="s">
        <v>72</v>
      </c>
      <c r="C694" t="s">
        <v>20</v>
      </c>
      <c r="D694" s="3" t="s">
        <v>924</v>
      </c>
      <c r="E694">
        <v>-73.980339485147894</v>
      </c>
      <c r="F694" t="s">
        <v>21</v>
      </c>
      <c r="G694">
        <v>3</v>
      </c>
      <c r="H694">
        <v>1</v>
      </c>
      <c r="I694">
        <v>1</v>
      </c>
      <c r="J694">
        <v>3</v>
      </c>
      <c r="K694">
        <v>30</v>
      </c>
      <c r="L694">
        <v>117</v>
      </c>
      <c r="M694">
        <v>5</v>
      </c>
      <c r="N694">
        <v>0.21</v>
      </c>
      <c r="O694">
        <f t="shared" si="20"/>
        <v>0</v>
      </c>
      <c r="P694">
        <f t="shared" si="21"/>
        <v>4</v>
      </c>
      <c r="Q694" s="2">
        <v>380</v>
      </c>
      <c r="R694" s="1">
        <v>45724</v>
      </c>
      <c r="S694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179.01</v>
      </c>
    </row>
    <row r="695" spans="1:19" x14ac:dyDescent="0.3">
      <c r="A695" t="s">
        <v>925</v>
      </c>
      <c r="B695" t="s">
        <v>202</v>
      </c>
      <c r="C695" t="s">
        <v>20</v>
      </c>
      <c r="D695" s="3" t="s">
        <v>926</v>
      </c>
      <c r="E695">
        <v>-73.9100468000467</v>
      </c>
      <c r="F695" t="s">
        <v>21</v>
      </c>
      <c r="G695">
        <v>2</v>
      </c>
      <c r="H695">
        <v>1</v>
      </c>
      <c r="I695">
        <v>0</v>
      </c>
      <c r="J695">
        <v>1</v>
      </c>
      <c r="K695">
        <v>30</v>
      </c>
      <c r="L695">
        <v>117</v>
      </c>
      <c r="M695">
        <v>3</v>
      </c>
      <c r="N695">
        <v>0.14000000000000001</v>
      </c>
      <c r="O695">
        <f t="shared" si="20"/>
        <v>0</v>
      </c>
      <c r="P695">
        <f t="shared" si="21"/>
        <v>4</v>
      </c>
      <c r="Q695" s="2">
        <v>92</v>
      </c>
      <c r="R695" s="1">
        <v>45730</v>
      </c>
      <c r="S695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160.03000000000003</v>
      </c>
    </row>
    <row r="696" spans="1:19" x14ac:dyDescent="0.3">
      <c r="A696" t="s">
        <v>927</v>
      </c>
      <c r="B696" t="s">
        <v>36</v>
      </c>
      <c r="C696" t="s">
        <v>20</v>
      </c>
      <c r="D696" s="3" t="s">
        <v>928</v>
      </c>
      <c r="E696">
        <v>-73.945527780233803</v>
      </c>
      <c r="F696" t="s">
        <v>21</v>
      </c>
      <c r="G696">
        <v>4</v>
      </c>
      <c r="H696">
        <v>1</v>
      </c>
      <c r="I696">
        <v>2</v>
      </c>
      <c r="J696">
        <v>3</v>
      </c>
      <c r="K696">
        <v>30</v>
      </c>
      <c r="L696">
        <v>262</v>
      </c>
      <c r="M696">
        <v>4</v>
      </c>
      <c r="N696">
        <v>0.24</v>
      </c>
      <c r="O696">
        <f t="shared" si="20"/>
        <v>0</v>
      </c>
      <c r="P696">
        <f t="shared" si="21"/>
        <v>4</v>
      </c>
      <c r="Q696" s="2">
        <v>155</v>
      </c>
      <c r="R696" s="1">
        <v>45726</v>
      </c>
      <c r="S696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192.19000000000005</v>
      </c>
    </row>
    <row r="697" spans="1:19" x14ac:dyDescent="0.3">
      <c r="A697" t="s">
        <v>240</v>
      </c>
      <c r="B697" t="s">
        <v>60</v>
      </c>
      <c r="C697" t="s">
        <v>17</v>
      </c>
      <c r="D697" s="3" t="s">
        <v>929</v>
      </c>
      <c r="E697">
        <v>-73.934788097324002</v>
      </c>
      <c r="F697" t="s">
        <v>18</v>
      </c>
      <c r="G697">
        <v>1</v>
      </c>
      <c r="H697">
        <v>2</v>
      </c>
      <c r="I697">
        <v>1</v>
      </c>
      <c r="J697">
        <v>1</v>
      </c>
      <c r="K697">
        <v>2</v>
      </c>
      <c r="L697">
        <v>314</v>
      </c>
      <c r="M697">
        <v>48</v>
      </c>
      <c r="N697">
        <v>2.0299999999999998</v>
      </c>
      <c r="O697">
        <f t="shared" si="20"/>
        <v>1</v>
      </c>
      <c r="P697">
        <f t="shared" si="21"/>
        <v>2</v>
      </c>
      <c r="Q697" s="2">
        <v>84</v>
      </c>
      <c r="R697" s="1">
        <v>45739</v>
      </c>
      <c r="S697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164.43000000000004</v>
      </c>
    </row>
    <row r="698" spans="1:19" x14ac:dyDescent="0.3">
      <c r="A698" t="s">
        <v>930</v>
      </c>
      <c r="B698" t="s">
        <v>189</v>
      </c>
      <c r="C698" t="s">
        <v>30</v>
      </c>
      <c r="D698">
        <v>40.676932299999997</v>
      </c>
      <c r="E698">
        <v>-73.804835599999905</v>
      </c>
      <c r="F698" t="s">
        <v>21</v>
      </c>
      <c r="G698">
        <v>4</v>
      </c>
      <c r="H698">
        <v>1</v>
      </c>
      <c r="I698">
        <v>2</v>
      </c>
      <c r="J698">
        <v>3</v>
      </c>
      <c r="K698">
        <v>2</v>
      </c>
      <c r="L698">
        <v>354</v>
      </c>
      <c r="M698">
        <v>35</v>
      </c>
      <c r="N698">
        <v>1.5</v>
      </c>
      <c r="O698">
        <f t="shared" si="20"/>
        <v>0</v>
      </c>
      <c r="P698">
        <f t="shared" si="21"/>
        <v>0</v>
      </c>
      <c r="Q698" s="2">
        <v>245</v>
      </c>
      <c r="R698" s="1">
        <v>45746</v>
      </c>
      <c r="S698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221.39000000000004</v>
      </c>
    </row>
    <row r="699" spans="1:19" x14ac:dyDescent="0.3">
      <c r="A699" t="s">
        <v>931</v>
      </c>
      <c r="B699" t="s">
        <v>41</v>
      </c>
      <c r="C699" t="s">
        <v>20</v>
      </c>
      <c r="D699">
        <v>40.722189999999998</v>
      </c>
      <c r="E699">
        <v>-73.979410000000001</v>
      </c>
      <c r="F699" t="s">
        <v>21</v>
      </c>
      <c r="G699">
        <v>6</v>
      </c>
      <c r="H699">
        <v>1</v>
      </c>
      <c r="I699">
        <v>2</v>
      </c>
      <c r="J699">
        <v>4</v>
      </c>
      <c r="K699">
        <v>30</v>
      </c>
      <c r="L699">
        <v>70</v>
      </c>
      <c r="M699">
        <v>28</v>
      </c>
      <c r="N699">
        <v>1.1499999999999999</v>
      </c>
      <c r="O699">
        <f t="shared" si="20"/>
        <v>0</v>
      </c>
      <c r="P699">
        <f t="shared" si="21"/>
        <v>4</v>
      </c>
      <c r="Q699" s="2">
        <v>150</v>
      </c>
      <c r="R699" s="1">
        <v>45736</v>
      </c>
      <c r="S699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237.83000000000004</v>
      </c>
    </row>
    <row r="700" spans="1:19" x14ac:dyDescent="0.3">
      <c r="A700" t="s">
        <v>932</v>
      </c>
      <c r="B700" t="s">
        <v>68</v>
      </c>
      <c r="C700" t="s">
        <v>20</v>
      </c>
      <c r="D700">
        <v>40.845660000000002</v>
      </c>
      <c r="E700">
        <v>-73.940380000000005</v>
      </c>
      <c r="F700" t="s">
        <v>18</v>
      </c>
      <c r="G700">
        <v>2</v>
      </c>
      <c r="H700">
        <v>1</v>
      </c>
      <c r="I700">
        <v>1</v>
      </c>
      <c r="J700">
        <v>1</v>
      </c>
      <c r="K700">
        <v>30</v>
      </c>
      <c r="L700">
        <v>195</v>
      </c>
      <c r="M700">
        <v>12</v>
      </c>
      <c r="N700">
        <v>0.52</v>
      </c>
      <c r="O700">
        <f t="shared" si="20"/>
        <v>1</v>
      </c>
      <c r="P700">
        <f t="shared" si="21"/>
        <v>4</v>
      </c>
      <c r="Q700" s="2">
        <v>60</v>
      </c>
      <c r="R700" s="1">
        <v>45717</v>
      </c>
      <c r="S700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113.61000000000003</v>
      </c>
    </row>
    <row r="701" spans="1:19" x14ac:dyDescent="0.3">
      <c r="A701" t="s">
        <v>933</v>
      </c>
      <c r="B701" t="s">
        <v>72</v>
      </c>
      <c r="C701" t="s">
        <v>20</v>
      </c>
      <c r="D701">
        <v>40.734720000000003</v>
      </c>
      <c r="E701">
        <v>-73.986969999999999</v>
      </c>
      <c r="F701" t="s">
        <v>21</v>
      </c>
      <c r="G701">
        <v>3</v>
      </c>
      <c r="H701">
        <v>1</v>
      </c>
      <c r="I701">
        <v>1</v>
      </c>
      <c r="J701">
        <v>2</v>
      </c>
      <c r="K701">
        <v>1</v>
      </c>
      <c r="L701">
        <v>92</v>
      </c>
      <c r="M701">
        <v>68</v>
      </c>
      <c r="N701">
        <v>2.72</v>
      </c>
      <c r="O701">
        <f t="shared" si="20"/>
        <v>0</v>
      </c>
      <c r="P701">
        <f t="shared" si="21"/>
        <v>4</v>
      </c>
      <c r="Q701" s="2">
        <v>148</v>
      </c>
      <c r="R701" s="1">
        <v>45739</v>
      </c>
      <c r="S701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277.16000000000003</v>
      </c>
    </row>
    <row r="702" spans="1:19" x14ac:dyDescent="0.3">
      <c r="A702" t="s">
        <v>934</v>
      </c>
      <c r="B702" t="s">
        <v>49</v>
      </c>
      <c r="C702" t="s">
        <v>20</v>
      </c>
      <c r="D702">
        <v>40.739738799999998</v>
      </c>
      <c r="E702">
        <v>-73.984338899999997</v>
      </c>
      <c r="F702" t="s">
        <v>18</v>
      </c>
      <c r="G702">
        <v>3</v>
      </c>
      <c r="H702">
        <v>1</v>
      </c>
      <c r="I702">
        <v>1</v>
      </c>
      <c r="J702">
        <v>2</v>
      </c>
      <c r="K702">
        <v>1</v>
      </c>
      <c r="L702">
        <v>327</v>
      </c>
      <c r="M702">
        <v>213</v>
      </c>
      <c r="N702">
        <v>9.09</v>
      </c>
      <c r="O702">
        <f t="shared" si="20"/>
        <v>1</v>
      </c>
      <c r="P702">
        <f t="shared" si="21"/>
        <v>4</v>
      </c>
      <c r="Q702" s="2">
        <v>363</v>
      </c>
      <c r="R702" s="1">
        <v>45743</v>
      </c>
      <c r="S702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224.46000000000004</v>
      </c>
    </row>
    <row r="703" spans="1:19" x14ac:dyDescent="0.3">
      <c r="A703" t="s">
        <v>935</v>
      </c>
      <c r="B703" t="s">
        <v>36</v>
      </c>
      <c r="C703" t="s">
        <v>20</v>
      </c>
      <c r="D703">
        <v>40.774768600000002</v>
      </c>
      <c r="E703">
        <v>-73.949965599999999</v>
      </c>
      <c r="F703" t="s">
        <v>21</v>
      </c>
      <c r="G703">
        <v>3</v>
      </c>
      <c r="H703">
        <v>1</v>
      </c>
      <c r="I703">
        <v>1</v>
      </c>
      <c r="J703">
        <v>1</v>
      </c>
      <c r="K703">
        <v>30</v>
      </c>
      <c r="L703">
        <v>293</v>
      </c>
      <c r="M703">
        <v>7</v>
      </c>
      <c r="N703">
        <v>0.31</v>
      </c>
      <c r="O703">
        <f t="shared" si="20"/>
        <v>0</v>
      </c>
      <c r="P703">
        <f t="shared" si="21"/>
        <v>4</v>
      </c>
      <c r="Q703" s="2">
        <v>160</v>
      </c>
      <c r="R703" s="1">
        <v>45732</v>
      </c>
      <c r="S703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171.97000000000003</v>
      </c>
    </row>
    <row r="704" spans="1:19" x14ac:dyDescent="0.3">
      <c r="A704" t="s">
        <v>936</v>
      </c>
      <c r="B704" t="s">
        <v>27</v>
      </c>
      <c r="C704" t="s">
        <v>17</v>
      </c>
      <c r="D704" s="3" t="s">
        <v>937</v>
      </c>
      <c r="E704">
        <v>-73.935354394073201</v>
      </c>
      <c r="F704" t="s">
        <v>18</v>
      </c>
      <c r="G704">
        <v>1</v>
      </c>
      <c r="H704">
        <v>1</v>
      </c>
      <c r="I704">
        <v>1</v>
      </c>
      <c r="J704">
        <v>1</v>
      </c>
      <c r="K704">
        <v>30</v>
      </c>
      <c r="L704">
        <v>211</v>
      </c>
      <c r="M704">
        <v>2</v>
      </c>
      <c r="N704">
        <v>0.09</v>
      </c>
      <c r="O704">
        <f t="shared" si="20"/>
        <v>1</v>
      </c>
      <c r="P704">
        <f t="shared" si="21"/>
        <v>2</v>
      </c>
      <c r="Q704" s="2">
        <v>57</v>
      </c>
      <c r="R704" s="1">
        <v>45746</v>
      </c>
      <c r="S704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63.530000000000008</v>
      </c>
    </row>
    <row r="705" spans="1:19" x14ac:dyDescent="0.3">
      <c r="A705" t="s">
        <v>939</v>
      </c>
      <c r="B705" t="s">
        <v>28</v>
      </c>
      <c r="C705" t="s">
        <v>20</v>
      </c>
      <c r="D705" s="3" t="s">
        <v>940</v>
      </c>
      <c r="E705">
        <v>-73.958456214933406</v>
      </c>
      <c r="F705" t="s">
        <v>18</v>
      </c>
      <c r="G705">
        <v>1</v>
      </c>
      <c r="H705">
        <v>1</v>
      </c>
      <c r="I705">
        <v>1</v>
      </c>
      <c r="J705">
        <v>1</v>
      </c>
      <c r="K705">
        <v>5</v>
      </c>
      <c r="L705">
        <v>36</v>
      </c>
      <c r="M705">
        <v>30</v>
      </c>
      <c r="N705">
        <v>1.31</v>
      </c>
      <c r="O705">
        <f t="shared" si="20"/>
        <v>1</v>
      </c>
      <c r="P705">
        <f t="shared" si="21"/>
        <v>4</v>
      </c>
      <c r="Q705" s="2">
        <v>80</v>
      </c>
      <c r="R705" s="1">
        <v>45744</v>
      </c>
      <c r="S705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184.74</v>
      </c>
    </row>
    <row r="706" spans="1:19" x14ac:dyDescent="0.3">
      <c r="A706" t="s">
        <v>941</v>
      </c>
      <c r="B706" t="s">
        <v>46</v>
      </c>
      <c r="C706" t="s">
        <v>17</v>
      </c>
      <c r="D706">
        <v>40.692970000000003</v>
      </c>
      <c r="E706">
        <v>-73.99427</v>
      </c>
      <c r="F706" t="s">
        <v>21</v>
      </c>
      <c r="G706">
        <v>2</v>
      </c>
      <c r="H706">
        <v>1</v>
      </c>
      <c r="I706">
        <v>1</v>
      </c>
      <c r="J706">
        <v>1</v>
      </c>
      <c r="K706">
        <v>30</v>
      </c>
      <c r="L706">
        <v>30</v>
      </c>
      <c r="M706">
        <v>6</v>
      </c>
      <c r="N706">
        <v>0.26</v>
      </c>
      <c r="O706">
        <f t="shared" si="20"/>
        <v>0</v>
      </c>
      <c r="P706">
        <f t="shared" si="21"/>
        <v>2</v>
      </c>
      <c r="Q706" s="2">
        <v>125</v>
      </c>
      <c r="R706" s="1">
        <v>45731</v>
      </c>
      <c r="S706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133.05000000000001</v>
      </c>
    </row>
    <row r="707" spans="1:19" x14ac:dyDescent="0.3">
      <c r="A707" t="s">
        <v>942</v>
      </c>
      <c r="B707" t="s">
        <v>23</v>
      </c>
      <c r="C707" t="s">
        <v>17</v>
      </c>
      <c r="D707" s="3" t="s">
        <v>943</v>
      </c>
      <c r="E707">
        <v>-73.941421785263003</v>
      </c>
      <c r="F707" t="s">
        <v>21</v>
      </c>
      <c r="G707">
        <v>2</v>
      </c>
      <c r="H707">
        <v>1</v>
      </c>
      <c r="I707">
        <v>1</v>
      </c>
      <c r="J707">
        <v>1</v>
      </c>
      <c r="K707">
        <v>30</v>
      </c>
      <c r="L707">
        <v>121</v>
      </c>
      <c r="M707">
        <v>17</v>
      </c>
      <c r="N707">
        <v>0.71</v>
      </c>
      <c r="O707">
        <f t="shared" ref="O707:O770" si="22">IF(F707="Private room",1,0)</f>
        <v>0</v>
      </c>
      <c r="P707">
        <f t="shared" ref="P707:P770" si="23">IF(C707="Manhattan",4,IF(C707="Brooklyn",2,0))</f>
        <v>2</v>
      </c>
      <c r="Q707" s="2">
        <v>79</v>
      </c>
      <c r="R707" s="1">
        <v>45744</v>
      </c>
      <c r="S707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129.41000000000003</v>
      </c>
    </row>
    <row r="708" spans="1:19" x14ac:dyDescent="0.3">
      <c r="A708" t="s">
        <v>944</v>
      </c>
      <c r="B708" t="s">
        <v>27</v>
      </c>
      <c r="C708" t="s">
        <v>17</v>
      </c>
      <c r="D708" s="3" t="s">
        <v>945</v>
      </c>
      <c r="E708">
        <v>-73.9131007519576</v>
      </c>
      <c r="F708" t="s">
        <v>18</v>
      </c>
      <c r="G708">
        <v>1</v>
      </c>
      <c r="H708">
        <v>2</v>
      </c>
      <c r="I708">
        <v>1</v>
      </c>
      <c r="J708">
        <v>2</v>
      </c>
      <c r="K708">
        <v>30</v>
      </c>
      <c r="L708">
        <v>59</v>
      </c>
      <c r="M708">
        <v>4</v>
      </c>
      <c r="N708">
        <v>0.26</v>
      </c>
      <c r="O708">
        <f t="shared" si="22"/>
        <v>1</v>
      </c>
      <c r="P708">
        <f t="shared" si="23"/>
        <v>2</v>
      </c>
      <c r="Q708" s="2">
        <v>67</v>
      </c>
      <c r="R708" s="1">
        <v>45747</v>
      </c>
      <c r="S708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80.830000000000013</v>
      </c>
    </row>
    <row r="709" spans="1:19" x14ac:dyDescent="0.3">
      <c r="A709" t="s">
        <v>946</v>
      </c>
      <c r="B709" t="s">
        <v>68</v>
      </c>
      <c r="C709" t="s">
        <v>20</v>
      </c>
      <c r="D709" s="3" t="s">
        <v>947</v>
      </c>
      <c r="E709">
        <v>-73.933513858347297</v>
      </c>
      <c r="F709" t="s">
        <v>21</v>
      </c>
      <c r="G709">
        <v>4</v>
      </c>
      <c r="H709">
        <v>1</v>
      </c>
      <c r="I709">
        <v>2</v>
      </c>
      <c r="J709">
        <v>2</v>
      </c>
      <c r="K709">
        <v>30</v>
      </c>
      <c r="L709">
        <v>153</v>
      </c>
      <c r="M709">
        <v>7</v>
      </c>
      <c r="N709">
        <v>0.33</v>
      </c>
      <c r="O709">
        <f t="shared" si="22"/>
        <v>0</v>
      </c>
      <c r="P709">
        <f t="shared" si="23"/>
        <v>4</v>
      </c>
      <c r="Q709" s="2">
        <v>135</v>
      </c>
      <c r="R709" s="1">
        <v>45718</v>
      </c>
      <c r="S709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196.55</v>
      </c>
    </row>
    <row r="710" spans="1:19" x14ac:dyDescent="0.3">
      <c r="A710" t="s">
        <v>948</v>
      </c>
      <c r="B710" t="s">
        <v>37</v>
      </c>
      <c r="C710" t="s">
        <v>30</v>
      </c>
      <c r="D710">
        <v>40.772170000000003</v>
      </c>
      <c r="E710">
        <v>-73.903729999999996</v>
      </c>
      <c r="F710" t="s">
        <v>21</v>
      </c>
      <c r="G710">
        <v>4</v>
      </c>
      <c r="H710">
        <v>1</v>
      </c>
      <c r="I710">
        <v>1</v>
      </c>
      <c r="J710">
        <v>2</v>
      </c>
      <c r="K710">
        <v>30</v>
      </c>
      <c r="L710">
        <v>300</v>
      </c>
      <c r="M710">
        <v>19</v>
      </c>
      <c r="N710">
        <v>0.8</v>
      </c>
      <c r="O710">
        <f t="shared" si="22"/>
        <v>0</v>
      </c>
      <c r="P710">
        <f t="shared" si="23"/>
        <v>0</v>
      </c>
      <c r="Q710" s="2">
        <v>119</v>
      </c>
      <c r="R710" s="1">
        <v>45745</v>
      </c>
      <c r="S710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129.75000000000003</v>
      </c>
    </row>
    <row r="711" spans="1:19" x14ac:dyDescent="0.3">
      <c r="A711" t="s">
        <v>949</v>
      </c>
      <c r="B711" t="s">
        <v>50</v>
      </c>
      <c r="C711" t="s">
        <v>20</v>
      </c>
      <c r="D711" s="3" t="s">
        <v>950</v>
      </c>
      <c r="E711">
        <v>-74.0047311142105</v>
      </c>
      <c r="F711" t="s">
        <v>21</v>
      </c>
      <c r="G711">
        <v>2</v>
      </c>
      <c r="H711">
        <v>1</v>
      </c>
      <c r="I711">
        <v>1</v>
      </c>
      <c r="J711">
        <v>1</v>
      </c>
      <c r="K711">
        <v>8</v>
      </c>
      <c r="L711">
        <v>59</v>
      </c>
      <c r="M711">
        <v>65</v>
      </c>
      <c r="N711">
        <v>2.77</v>
      </c>
      <c r="O711">
        <f t="shared" si="22"/>
        <v>0</v>
      </c>
      <c r="P711">
        <f t="shared" si="23"/>
        <v>4</v>
      </c>
      <c r="Q711" s="2">
        <v>378</v>
      </c>
      <c r="R711" s="1">
        <v>45735</v>
      </c>
      <c r="S711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236.05</v>
      </c>
    </row>
    <row r="712" spans="1:19" x14ac:dyDescent="0.3">
      <c r="A712" t="s">
        <v>951</v>
      </c>
      <c r="B712" t="s">
        <v>19</v>
      </c>
      <c r="C712" t="s">
        <v>20</v>
      </c>
      <c r="D712" s="3" t="s">
        <v>952</v>
      </c>
      <c r="E712">
        <v>-73.987102978053997</v>
      </c>
      <c r="F712" t="s">
        <v>21</v>
      </c>
      <c r="G712">
        <v>5</v>
      </c>
      <c r="H712">
        <v>1</v>
      </c>
      <c r="I712">
        <v>1</v>
      </c>
      <c r="J712">
        <v>3</v>
      </c>
      <c r="K712">
        <v>1</v>
      </c>
      <c r="L712">
        <v>314</v>
      </c>
      <c r="M712">
        <v>35</v>
      </c>
      <c r="N712">
        <v>1.5</v>
      </c>
      <c r="O712">
        <f t="shared" si="22"/>
        <v>0</v>
      </c>
      <c r="P712">
        <f t="shared" si="23"/>
        <v>4</v>
      </c>
      <c r="Q712" s="2">
        <v>322</v>
      </c>
      <c r="R712" s="1">
        <v>45732</v>
      </c>
      <c r="S712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306.24</v>
      </c>
    </row>
    <row r="713" spans="1:19" x14ac:dyDescent="0.3">
      <c r="A713" t="s">
        <v>953</v>
      </c>
      <c r="B713" t="s">
        <v>56</v>
      </c>
      <c r="C713" t="s">
        <v>17</v>
      </c>
      <c r="D713">
        <v>40.672519999999999</v>
      </c>
      <c r="E713">
        <v>-73.932239999999993</v>
      </c>
      <c r="F713" t="s">
        <v>21</v>
      </c>
      <c r="G713">
        <v>6</v>
      </c>
      <c r="H713">
        <v>1</v>
      </c>
      <c r="I713">
        <v>3</v>
      </c>
      <c r="J713">
        <v>3</v>
      </c>
      <c r="K713">
        <v>2</v>
      </c>
      <c r="L713">
        <v>112</v>
      </c>
      <c r="M713">
        <v>40</v>
      </c>
      <c r="N713">
        <v>1.77</v>
      </c>
      <c r="O713">
        <f t="shared" si="22"/>
        <v>0</v>
      </c>
      <c r="P713">
        <f t="shared" si="23"/>
        <v>2</v>
      </c>
      <c r="Q713" s="2">
        <v>268</v>
      </c>
      <c r="R713" s="1">
        <v>45746</v>
      </c>
      <c r="S713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299.49</v>
      </c>
    </row>
    <row r="714" spans="1:19" x14ac:dyDescent="0.3">
      <c r="A714" t="s">
        <v>954</v>
      </c>
      <c r="B714" t="s">
        <v>27</v>
      </c>
      <c r="C714" t="s">
        <v>17</v>
      </c>
      <c r="D714">
        <v>40.689590000000003</v>
      </c>
      <c r="E714">
        <v>-73.944900000000004</v>
      </c>
      <c r="F714" t="s">
        <v>18</v>
      </c>
      <c r="G714">
        <v>2</v>
      </c>
      <c r="H714">
        <v>1</v>
      </c>
      <c r="I714">
        <v>1</v>
      </c>
      <c r="J714">
        <v>1</v>
      </c>
      <c r="K714">
        <v>30</v>
      </c>
      <c r="L714">
        <v>102</v>
      </c>
      <c r="M714">
        <v>8</v>
      </c>
      <c r="N714">
        <v>0.34</v>
      </c>
      <c r="O714">
        <f t="shared" si="22"/>
        <v>1</v>
      </c>
      <c r="P714">
        <f t="shared" si="23"/>
        <v>2</v>
      </c>
      <c r="Q714" s="2">
        <v>85</v>
      </c>
      <c r="R714" s="1">
        <v>45747</v>
      </c>
      <c r="S714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86.870000000000033</v>
      </c>
    </row>
    <row r="715" spans="1:19" x14ac:dyDescent="0.3">
      <c r="A715" t="s">
        <v>955</v>
      </c>
      <c r="B715" t="s">
        <v>28</v>
      </c>
      <c r="C715" t="s">
        <v>20</v>
      </c>
      <c r="D715" s="3" t="s">
        <v>956</v>
      </c>
      <c r="E715">
        <v>-73.948745120028903</v>
      </c>
      <c r="F715" t="s">
        <v>21</v>
      </c>
      <c r="G715">
        <v>2</v>
      </c>
      <c r="H715">
        <v>1</v>
      </c>
      <c r="I715">
        <v>1</v>
      </c>
      <c r="J715">
        <v>1</v>
      </c>
      <c r="K715">
        <v>30</v>
      </c>
      <c r="L715">
        <v>242</v>
      </c>
      <c r="M715">
        <v>4</v>
      </c>
      <c r="N715">
        <v>0.19</v>
      </c>
      <c r="O715">
        <f t="shared" si="22"/>
        <v>0</v>
      </c>
      <c r="P715">
        <f t="shared" si="23"/>
        <v>4</v>
      </c>
      <c r="Q715" s="2">
        <v>115</v>
      </c>
      <c r="R715" s="1">
        <v>45747</v>
      </c>
      <c r="S715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155.03000000000003</v>
      </c>
    </row>
    <row r="716" spans="1:19" x14ac:dyDescent="0.3">
      <c r="A716" t="s">
        <v>957</v>
      </c>
      <c r="B716" t="s">
        <v>28</v>
      </c>
      <c r="C716" t="s">
        <v>20</v>
      </c>
      <c r="D716">
        <v>40.808070000000001</v>
      </c>
      <c r="E716">
        <v>-73.952439999999996</v>
      </c>
      <c r="F716" t="s">
        <v>18</v>
      </c>
      <c r="G716">
        <v>2</v>
      </c>
      <c r="H716">
        <v>1</v>
      </c>
      <c r="I716">
        <v>1</v>
      </c>
      <c r="J716">
        <v>1</v>
      </c>
      <c r="K716">
        <v>30</v>
      </c>
      <c r="L716">
        <v>269</v>
      </c>
      <c r="M716">
        <v>4</v>
      </c>
      <c r="N716">
        <v>0.39</v>
      </c>
      <c r="O716">
        <f t="shared" si="22"/>
        <v>1</v>
      </c>
      <c r="P716">
        <f t="shared" si="23"/>
        <v>4</v>
      </c>
      <c r="Q716" s="2">
        <v>51</v>
      </c>
      <c r="R716" s="1">
        <v>45717</v>
      </c>
      <c r="S716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110.65000000000002</v>
      </c>
    </row>
    <row r="717" spans="1:19" x14ac:dyDescent="0.3">
      <c r="A717" t="s">
        <v>958</v>
      </c>
      <c r="B717" t="s">
        <v>37</v>
      </c>
      <c r="C717" t="s">
        <v>30</v>
      </c>
      <c r="D717" s="3" t="s">
        <v>959</v>
      </c>
      <c r="E717">
        <v>-73.904080830960993</v>
      </c>
      <c r="F717" t="s">
        <v>18</v>
      </c>
      <c r="G717">
        <v>1</v>
      </c>
      <c r="H717">
        <v>1</v>
      </c>
      <c r="I717">
        <v>1</v>
      </c>
      <c r="J717">
        <v>1</v>
      </c>
      <c r="K717">
        <v>5</v>
      </c>
      <c r="L717">
        <v>169</v>
      </c>
      <c r="M717">
        <v>43</v>
      </c>
      <c r="N717">
        <v>2.14</v>
      </c>
      <c r="O717">
        <f t="shared" si="22"/>
        <v>1</v>
      </c>
      <c r="P717">
        <f t="shared" si="23"/>
        <v>0</v>
      </c>
      <c r="Q717" s="2">
        <v>127</v>
      </c>
      <c r="R717" s="1">
        <v>45744</v>
      </c>
      <c r="S717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118.50000000000001</v>
      </c>
    </row>
    <row r="718" spans="1:19" x14ac:dyDescent="0.3">
      <c r="A718" t="s">
        <v>960</v>
      </c>
      <c r="B718" t="s">
        <v>64</v>
      </c>
      <c r="C718" t="s">
        <v>17</v>
      </c>
      <c r="D718" s="3" t="s">
        <v>961</v>
      </c>
      <c r="E718">
        <v>-73.963425576044898</v>
      </c>
      <c r="F718" t="s">
        <v>21</v>
      </c>
      <c r="G718">
        <v>2</v>
      </c>
      <c r="H718">
        <v>1</v>
      </c>
      <c r="I718">
        <v>1</v>
      </c>
      <c r="J718">
        <v>1</v>
      </c>
      <c r="K718">
        <v>30</v>
      </c>
      <c r="L718">
        <v>212</v>
      </c>
      <c r="M718">
        <v>8</v>
      </c>
      <c r="N718">
        <v>0.51</v>
      </c>
      <c r="O718">
        <f t="shared" si="22"/>
        <v>0</v>
      </c>
      <c r="P718">
        <f t="shared" si="23"/>
        <v>2</v>
      </c>
      <c r="Q718" s="2">
        <v>175</v>
      </c>
      <c r="R718" s="1">
        <v>45719</v>
      </c>
      <c r="S718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125.77000000000001</v>
      </c>
    </row>
    <row r="719" spans="1:19" x14ac:dyDescent="0.3">
      <c r="A719" t="s">
        <v>962</v>
      </c>
      <c r="B719" t="s">
        <v>45</v>
      </c>
      <c r="C719" t="s">
        <v>20</v>
      </c>
      <c r="D719">
        <v>40.745370000000001</v>
      </c>
      <c r="E719">
        <v>-74.003200000000007</v>
      </c>
      <c r="F719" t="s">
        <v>21</v>
      </c>
      <c r="G719">
        <v>2</v>
      </c>
      <c r="H719">
        <v>1</v>
      </c>
      <c r="I719">
        <v>1</v>
      </c>
      <c r="J719">
        <v>1</v>
      </c>
      <c r="K719">
        <v>30</v>
      </c>
      <c r="L719">
        <v>280</v>
      </c>
      <c r="M719">
        <v>4</v>
      </c>
      <c r="N719">
        <v>0.45</v>
      </c>
      <c r="O719">
        <f t="shared" si="22"/>
        <v>0</v>
      </c>
      <c r="P719">
        <f t="shared" si="23"/>
        <v>4</v>
      </c>
      <c r="Q719" s="2">
        <v>227</v>
      </c>
      <c r="R719" s="1">
        <v>45747</v>
      </c>
      <c r="S719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153.51000000000002</v>
      </c>
    </row>
    <row r="720" spans="1:19" x14ac:dyDescent="0.3">
      <c r="A720" t="s">
        <v>963</v>
      </c>
      <c r="B720" t="s">
        <v>56</v>
      </c>
      <c r="C720" t="s">
        <v>17</v>
      </c>
      <c r="D720" s="3" t="s">
        <v>964</v>
      </c>
      <c r="E720">
        <v>-73.961492191640303</v>
      </c>
      <c r="F720" t="s">
        <v>21</v>
      </c>
      <c r="G720">
        <v>4</v>
      </c>
      <c r="H720">
        <v>1</v>
      </c>
      <c r="I720">
        <v>2</v>
      </c>
      <c r="J720">
        <v>2</v>
      </c>
      <c r="K720">
        <v>30</v>
      </c>
      <c r="L720">
        <v>304</v>
      </c>
      <c r="M720">
        <v>3</v>
      </c>
      <c r="N720">
        <v>0.27</v>
      </c>
      <c r="O720">
        <f t="shared" si="22"/>
        <v>0</v>
      </c>
      <c r="P720">
        <f t="shared" si="23"/>
        <v>2</v>
      </c>
      <c r="Q720" s="2">
        <v>222</v>
      </c>
      <c r="R720" s="1">
        <v>45721</v>
      </c>
      <c r="S720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160.05000000000004</v>
      </c>
    </row>
    <row r="721" spans="1:19" x14ac:dyDescent="0.3">
      <c r="A721" t="s">
        <v>965</v>
      </c>
      <c r="B721" t="s">
        <v>28</v>
      </c>
      <c r="C721" t="s">
        <v>20</v>
      </c>
      <c r="D721" s="3" t="s">
        <v>966</v>
      </c>
      <c r="E721">
        <v>-73.943140103540401</v>
      </c>
      <c r="F721" t="s">
        <v>18</v>
      </c>
      <c r="G721">
        <v>1</v>
      </c>
      <c r="H721">
        <v>1</v>
      </c>
      <c r="I721">
        <v>1</v>
      </c>
      <c r="J721">
        <v>1</v>
      </c>
      <c r="K721">
        <v>30</v>
      </c>
      <c r="L721">
        <v>364</v>
      </c>
      <c r="M721">
        <v>3</v>
      </c>
      <c r="N721">
        <v>0.14000000000000001</v>
      </c>
      <c r="O721">
        <f t="shared" si="22"/>
        <v>1</v>
      </c>
      <c r="P721">
        <f t="shared" si="23"/>
        <v>4</v>
      </c>
      <c r="Q721" s="2">
        <v>54</v>
      </c>
      <c r="R721" s="1">
        <v>45729</v>
      </c>
      <c r="S721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87.87</v>
      </c>
    </row>
    <row r="722" spans="1:19" x14ac:dyDescent="0.3">
      <c r="A722" t="s">
        <v>967</v>
      </c>
      <c r="B722" t="s">
        <v>196</v>
      </c>
      <c r="C722" t="s">
        <v>17</v>
      </c>
      <c r="D722" s="3" t="s">
        <v>968</v>
      </c>
      <c r="E722">
        <v>-73.871630765497599</v>
      </c>
      <c r="F722" t="s">
        <v>18</v>
      </c>
      <c r="G722">
        <v>2</v>
      </c>
      <c r="H722">
        <v>1</v>
      </c>
      <c r="I722">
        <v>1</v>
      </c>
      <c r="J722">
        <v>1</v>
      </c>
      <c r="K722">
        <v>2</v>
      </c>
      <c r="L722">
        <v>163</v>
      </c>
      <c r="M722">
        <v>53</v>
      </c>
      <c r="N722">
        <v>2.39</v>
      </c>
      <c r="O722">
        <f t="shared" si="22"/>
        <v>1</v>
      </c>
      <c r="P722">
        <f t="shared" si="23"/>
        <v>2</v>
      </c>
      <c r="Q722" s="2">
        <v>85</v>
      </c>
      <c r="R722" s="1">
        <v>45739</v>
      </c>
      <c r="S722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178.23000000000005</v>
      </c>
    </row>
    <row r="723" spans="1:19" x14ac:dyDescent="0.3">
      <c r="A723" t="s">
        <v>969</v>
      </c>
      <c r="B723" t="s">
        <v>24</v>
      </c>
      <c r="C723" t="s">
        <v>20</v>
      </c>
      <c r="D723" s="3" t="s">
        <v>970</v>
      </c>
      <c r="E723">
        <v>-73.943708853970605</v>
      </c>
      <c r="F723" t="s">
        <v>21</v>
      </c>
      <c r="G723">
        <v>4</v>
      </c>
      <c r="H723">
        <v>1</v>
      </c>
      <c r="I723">
        <v>2</v>
      </c>
      <c r="J723">
        <v>2</v>
      </c>
      <c r="K723">
        <v>30</v>
      </c>
      <c r="L723">
        <v>269</v>
      </c>
      <c r="M723">
        <v>3</v>
      </c>
      <c r="N723">
        <v>0.16</v>
      </c>
      <c r="O723">
        <f t="shared" si="22"/>
        <v>0</v>
      </c>
      <c r="P723">
        <f t="shared" si="23"/>
        <v>4</v>
      </c>
      <c r="Q723" s="2">
        <v>110</v>
      </c>
      <c r="R723" s="1">
        <v>45729</v>
      </c>
      <c r="S723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191.91000000000003</v>
      </c>
    </row>
    <row r="724" spans="1:19" x14ac:dyDescent="0.3">
      <c r="A724" t="s">
        <v>971</v>
      </c>
      <c r="B724" t="s">
        <v>45</v>
      </c>
      <c r="C724" t="s">
        <v>20</v>
      </c>
      <c r="D724" s="3" t="s">
        <v>972</v>
      </c>
      <c r="E724">
        <v>-74.005361299999905</v>
      </c>
      <c r="F724" t="s">
        <v>21</v>
      </c>
      <c r="G724">
        <v>2</v>
      </c>
      <c r="H724">
        <v>1</v>
      </c>
      <c r="I724">
        <v>0</v>
      </c>
      <c r="J724">
        <v>1</v>
      </c>
      <c r="K724">
        <v>30</v>
      </c>
      <c r="L724">
        <v>345</v>
      </c>
      <c r="M724">
        <v>9</v>
      </c>
      <c r="N724">
        <v>0.52</v>
      </c>
      <c r="O724">
        <f t="shared" si="22"/>
        <v>0</v>
      </c>
      <c r="P724">
        <f t="shared" si="23"/>
        <v>4</v>
      </c>
      <c r="Q724" s="2">
        <v>192</v>
      </c>
      <c r="R724" s="1">
        <v>45728</v>
      </c>
      <c r="S724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150.91000000000003</v>
      </c>
    </row>
    <row r="725" spans="1:19" x14ac:dyDescent="0.3">
      <c r="A725" t="s">
        <v>973</v>
      </c>
      <c r="B725" t="s">
        <v>36</v>
      </c>
      <c r="C725" t="s">
        <v>20</v>
      </c>
      <c r="D725">
        <v>40.7708224</v>
      </c>
      <c r="E725">
        <v>-73.957562600000003</v>
      </c>
      <c r="F725" t="s">
        <v>21</v>
      </c>
      <c r="G725">
        <v>2</v>
      </c>
      <c r="H725">
        <v>1</v>
      </c>
      <c r="I725">
        <v>0</v>
      </c>
      <c r="J725">
        <v>1</v>
      </c>
      <c r="K725">
        <v>30</v>
      </c>
      <c r="L725">
        <v>260</v>
      </c>
      <c r="M725">
        <v>6</v>
      </c>
      <c r="N725">
        <v>0.42</v>
      </c>
      <c r="O725">
        <f t="shared" si="22"/>
        <v>0</v>
      </c>
      <c r="P725">
        <f t="shared" si="23"/>
        <v>4</v>
      </c>
      <c r="Q725" s="2">
        <v>118</v>
      </c>
      <c r="R725" s="1">
        <v>45741</v>
      </c>
      <c r="S725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154.31</v>
      </c>
    </row>
    <row r="726" spans="1:19" x14ac:dyDescent="0.3">
      <c r="A726" t="s">
        <v>974</v>
      </c>
      <c r="B726" t="s">
        <v>19</v>
      </c>
      <c r="C726" t="s">
        <v>20</v>
      </c>
      <c r="D726" s="3" t="s">
        <v>975</v>
      </c>
      <c r="E726">
        <v>-73.988705845210902</v>
      </c>
      <c r="F726" t="s">
        <v>21</v>
      </c>
      <c r="G726">
        <v>5</v>
      </c>
      <c r="H726">
        <v>1</v>
      </c>
      <c r="I726">
        <v>1</v>
      </c>
      <c r="J726">
        <v>3</v>
      </c>
      <c r="K726">
        <v>1</v>
      </c>
      <c r="L726">
        <v>290</v>
      </c>
      <c r="M726">
        <v>20</v>
      </c>
      <c r="N726">
        <v>0.89</v>
      </c>
      <c r="O726">
        <f t="shared" si="22"/>
        <v>0</v>
      </c>
      <c r="P726">
        <f t="shared" si="23"/>
        <v>4</v>
      </c>
      <c r="Q726" s="2">
        <v>264</v>
      </c>
      <c r="R726" s="1">
        <v>45744</v>
      </c>
      <c r="S726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307.2</v>
      </c>
    </row>
    <row r="727" spans="1:19" x14ac:dyDescent="0.3">
      <c r="A727" t="s">
        <v>976</v>
      </c>
      <c r="B727" t="s">
        <v>38</v>
      </c>
      <c r="C727" t="s">
        <v>20</v>
      </c>
      <c r="D727">
        <v>40.759960900000003</v>
      </c>
      <c r="E727">
        <v>-73.990870999999999</v>
      </c>
      <c r="F727" t="s">
        <v>21</v>
      </c>
      <c r="G727">
        <v>1</v>
      </c>
      <c r="H727">
        <v>1</v>
      </c>
      <c r="I727">
        <v>1</v>
      </c>
      <c r="J727">
        <v>1</v>
      </c>
      <c r="K727">
        <v>30</v>
      </c>
      <c r="L727">
        <v>247</v>
      </c>
      <c r="M727">
        <v>2</v>
      </c>
      <c r="N727">
        <v>0.83</v>
      </c>
      <c r="O727">
        <f t="shared" si="22"/>
        <v>0</v>
      </c>
      <c r="P727">
        <f t="shared" si="23"/>
        <v>4</v>
      </c>
      <c r="Q727" s="2">
        <v>53</v>
      </c>
      <c r="R727" s="1">
        <v>45747</v>
      </c>
      <c r="S727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135.85000000000002</v>
      </c>
    </row>
    <row r="728" spans="1:19" x14ac:dyDescent="0.3">
      <c r="A728" t="s">
        <v>977</v>
      </c>
      <c r="B728" t="s">
        <v>131</v>
      </c>
      <c r="C728" t="s">
        <v>20</v>
      </c>
      <c r="D728">
        <v>40.704644500000001</v>
      </c>
      <c r="E728">
        <v>-74.010319299999907</v>
      </c>
      <c r="F728" t="s">
        <v>18</v>
      </c>
      <c r="G728">
        <v>5</v>
      </c>
      <c r="H728">
        <v>1</v>
      </c>
      <c r="I728">
        <v>1</v>
      </c>
      <c r="J728">
        <v>3</v>
      </c>
      <c r="K728">
        <v>1</v>
      </c>
      <c r="L728">
        <v>73</v>
      </c>
      <c r="M728">
        <v>62</v>
      </c>
      <c r="N728">
        <v>2.94</v>
      </c>
      <c r="O728">
        <f t="shared" si="22"/>
        <v>1</v>
      </c>
      <c r="P728">
        <f t="shared" si="23"/>
        <v>4</v>
      </c>
      <c r="Q728" s="2">
        <v>412</v>
      </c>
      <c r="R728" s="1">
        <v>45744</v>
      </c>
      <c r="S728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272.58000000000004</v>
      </c>
    </row>
    <row r="729" spans="1:19" x14ac:dyDescent="0.3">
      <c r="A729" t="s">
        <v>978</v>
      </c>
      <c r="B729" t="s">
        <v>85</v>
      </c>
      <c r="C729" t="s">
        <v>20</v>
      </c>
      <c r="D729">
        <v>40.718910000000001</v>
      </c>
      <c r="E729">
        <v>-73.996070000000003</v>
      </c>
      <c r="F729" t="s">
        <v>21</v>
      </c>
      <c r="G729">
        <v>2</v>
      </c>
      <c r="H729">
        <v>1</v>
      </c>
      <c r="I729">
        <v>1</v>
      </c>
      <c r="J729">
        <v>1</v>
      </c>
      <c r="K729">
        <v>30</v>
      </c>
      <c r="L729">
        <v>223</v>
      </c>
      <c r="M729">
        <v>2</v>
      </c>
      <c r="N729">
        <v>0.28000000000000003</v>
      </c>
      <c r="O729">
        <f t="shared" si="22"/>
        <v>0</v>
      </c>
      <c r="P729">
        <f t="shared" si="23"/>
        <v>4</v>
      </c>
      <c r="Q729" s="2">
        <v>150</v>
      </c>
      <c r="R729" s="1">
        <v>45746</v>
      </c>
      <c r="S729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155.79000000000002</v>
      </c>
    </row>
    <row r="730" spans="1:19" x14ac:dyDescent="0.3">
      <c r="A730" t="s">
        <v>979</v>
      </c>
      <c r="B730" t="s">
        <v>142</v>
      </c>
      <c r="C730" t="s">
        <v>17</v>
      </c>
      <c r="D730" s="3" t="s">
        <v>980</v>
      </c>
      <c r="E730">
        <v>-73.926041857262106</v>
      </c>
      <c r="F730" t="s">
        <v>21</v>
      </c>
      <c r="G730">
        <v>4</v>
      </c>
      <c r="H730">
        <v>1</v>
      </c>
      <c r="I730">
        <v>2</v>
      </c>
      <c r="J730">
        <v>2</v>
      </c>
      <c r="K730">
        <v>30</v>
      </c>
      <c r="L730">
        <v>151</v>
      </c>
      <c r="M730">
        <v>28</v>
      </c>
      <c r="N730">
        <v>1.28</v>
      </c>
      <c r="O730">
        <f t="shared" si="22"/>
        <v>0</v>
      </c>
      <c r="P730">
        <f t="shared" si="23"/>
        <v>2</v>
      </c>
      <c r="Q730" s="2">
        <v>99</v>
      </c>
      <c r="R730" s="1">
        <v>45723</v>
      </c>
      <c r="S730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166.17000000000004</v>
      </c>
    </row>
    <row r="731" spans="1:19" x14ac:dyDescent="0.3">
      <c r="A731" t="s">
        <v>981</v>
      </c>
      <c r="B731" t="s">
        <v>27</v>
      </c>
      <c r="C731" t="s">
        <v>17</v>
      </c>
      <c r="D731" s="3" t="s">
        <v>982</v>
      </c>
      <c r="E731">
        <v>-73.952988258065602</v>
      </c>
      <c r="F731" t="s">
        <v>21</v>
      </c>
      <c r="G731">
        <v>3</v>
      </c>
      <c r="H731">
        <v>1.5</v>
      </c>
      <c r="I731">
        <v>1</v>
      </c>
      <c r="J731">
        <v>2</v>
      </c>
      <c r="K731">
        <v>30</v>
      </c>
      <c r="L731">
        <v>137</v>
      </c>
      <c r="M731">
        <v>6</v>
      </c>
      <c r="N731">
        <v>0.28999999999999998</v>
      </c>
      <c r="O731">
        <f t="shared" si="22"/>
        <v>0</v>
      </c>
      <c r="P731">
        <f t="shared" si="23"/>
        <v>2</v>
      </c>
      <c r="Q731" s="2">
        <v>131</v>
      </c>
      <c r="R731" s="1">
        <v>45740</v>
      </c>
      <c r="S731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153.36000000000001</v>
      </c>
    </row>
    <row r="732" spans="1:19" x14ac:dyDescent="0.3">
      <c r="A732" t="s">
        <v>983</v>
      </c>
      <c r="B732" t="s">
        <v>19</v>
      </c>
      <c r="C732" t="s">
        <v>20</v>
      </c>
      <c r="D732">
        <v>40.746279999999999</v>
      </c>
      <c r="E732">
        <v>-73.988209999999995</v>
      </c>
      <c r="F732" t="s">
        <v>21</v>
      </c>
      <c r="G732">
        <v>5</v>
      </c>
      <c r="H732">
        <v>1</v>
      </c>
      <c r="I732">
        <v>1</v>
      </c>
      <c r="J732">
        <v>3</v>
      </c>
      <c r="K732">
        <v>1</v>
      </c>
      <c r="L732">
        <v>242</v>
      </c>
      <c r="M732">
        <v>26</v>
      </c>
      <c r="N732">
        <v>1.29</v>
      </c>
      <c r="O732">
        <f t="shared" si="22"/>
        <v>0</v>
      </c>
      <c r="P732">
        <f t="shared" si="23"/>
        <v>4</v>
      </c>
      <c r="Q732" s="2">
        <v>296</v>
      </c>
      <c r="R732" s="1">
        <v>45719</v>
      </c>
      <c r="S732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309.12</v>
      </c>
    </row>
    <row r="733" spans="1:19" x14ac:dyDescent="0.3">
      <c r="A733" t="s">
        <v>984</v>
      </c>
      <c r="B733" t="s">
        <v>272</v>
      </c>
      <c r="C733" t="s">
        <v>91</v>
      </c>
      <c r="D733">
        <v>40.582840027981298</v>
      </c>
      <c r="E733">
        <v>-74.082380641192998</v>
      </c>
      <c r="F733" t="s">
        <v>21</v>
      </c>
      <c r="G733">
        <v>2</v>
      </c>
      <c r="H733">
        <v>1</v>
      </c>
      <c r="I733">
        <v>1</v>
      </c>
      <c r="J733">
        <v>2</v>
      </c>
      <c r="K733">
        <v>30</v>
      </c>
      <c r="L733">
        <v>240</v>
      </c>
      <c r="M733">
        <v>6</v>
      </c>
      <c r="N733">
        <v>0.36</v>
      </c>
      <c r="O733">
        <f t="shared" si="22"/>
        <v>0</v>
      </c>
      <c r="P733">
        <f t="shared" si="23"/>
        <v>0</v>
      </c>
      <c r="Q733" s="2">
        <v>109</v>
      </c>
      <c r="R733" s="1">
        <v>45747</v>
      </c>
      <c r="S733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94.190000000000026</v>
      </c>
    </row>
    <row r="734" spans="1:19" x14ac:dyDescent="0.3">
      <c r="A734" t="s">
        <v>985</v>
      </c>
      <c r="B734" t="s">
        <v>49</v>
      </c>
      <c r="C734" t="s">
        <v>20</v>
      </c>
      <c r="D734" s="3" t="s">
        <v>986</v>
      </c>
      <c r="E734">
        <v>-73.978966037735603</v>
      </c>
      <c r="F734" t="s">
        <v>21</v>
      </c>
      <c r="G734">
        <v>3</v>
      </c>
      <c r="H734">
        <v>1</v>
      </c>
      <c r="I734">
        <v>1</v>
      </c>
      <c r="J734">
        <v>1</v>
      </c>
      <c r="K734">
        <v>30</v>
      </c>
      <c r="L734">
        <v>236</v>
      </c>
      <c r="M734">
        <v>2</v>
      </c>
      <c r="N734">
        <v>0.33</v>
      </c>
      <c r="O734">
        <f t="shared" si="22"/>
        <v>0</v>
      </c>
      <c r="P734">
        <f t="shared" si="23"/>
        <v>4</v>
      </c>
      <c r="Q734" s="2">
        <v>175</v>
      </c>
      <c r="R734" s="1">
        <v>45719</v>
      </c>
      <c r="S734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174.25</v>
      </c>
    </row>
    <row r="735" spans="1:19" x14ac:dyDescent="0.3">
      <c r="A735" t="s">
        <v>987</v>
      </c>
      <c r="B735" t="s">
        <v>23</v>
      </c>
      <c r="C735" t="s">
        <v>17</v>
      </c>
      <c r="D735" s="3" t="s">
        <v>988</v>
      </c>
      <c r="E735">
        <v>-73.950715791614797</v>
      </c>
      <c r="F735" t="s">
        <v>21</v>
      </c>
      <c r="G735">
        <v>2</v>
      </c>
      <c r="H735">
        <v>1</v>
      </c>
      <c r="I735">
        <v>2</v>
      </c>
      <c r="J735">
        <v>1</v>
      </c>
      <c r="K735">
        <v>30</v>
      </c>
      <c r="L735">
        <v>39</v>
      </c>
      <c r="M735">
        <v>10</v>
      </c>
      <c r="N735">
        <v>0.5</v>
      </c>
      <c r="O735">
        <f t="shared" si="22"/>
        <v>0</v>
      </c>
      <c r="P735">
        <f t="shared" si="23"/>
        <v>2</v>
      </c>
      <c r="Q735" s="2">
        <v>240</v>
      </c>
      <c r="R735" s="1">
        <v>45732</v>
      </c>
      <c r="S735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132.69000000000003</v>
      </c>
    </row>
    <row r="736" spans="1:19" x14ac:dyDescent="0.3">
      <c r="A736" t="s">
        <v>989</v>
      </c>
      <c r="B736" t="s">
        <v>278</v>
      </c>
      <c r="C736" t="s">
        <v>17</v>
      </c>
      <c r="D736">
        <v>40.625140000000002</v>
      </c>
      <c r="E736">
        <v>-74.0047</v>
      </c>
      <c r="F736" t="s">
        <v>18</v>
      </c>
      <c r="G736">
        <v>2</v>
      </c>
      <c r="H736">
        <v>1</v>
      </c>
      <c r="I736">
        <v>1</v>
      </c>
      <c r="J736">
        <v>1</v>
      </c>
      <c r="K736">
        <v>30</v>
      </c>
      <c r="L736">
        <v>107</v>
      </c>
      <c r="M736">
        <v>20</v>
      </c>
      <c r="N736">
        <v>0.96</v>
      </c>
      <c r="O736">
        <f t="shared" si="22"/>
        <v>1</v>
      </c>
      <c r="P736">
        <f t="shared" si="23"/>
        <v>2</v>
      </c>
      <c r="Q736" s="2">
        <v>77</v>
      </c>
      <c r="R736" s="1">
        <v>45741</v>
      </c>
      <c r="S736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86.670000000000016</v>
      </c>
    </row>
    <row r="737" spans="1:19" x14ac:dyDescent="0.3">
      <c r="A737" t="s">
        <v>990</v>
      </c>
      <c r="B737" t="s">
        <v>278</v>
      </c>
      <c r="C737" t="s">
        <v>17</v>
      </c>
      <c r="D737" s="3" t="s">
        <v>991</v>
      </c>
      <c r="E737">
        <v>-74.0028086937631</v>
      </c>
      <c r="F737" t="s">
        <v>18</v>
      </c>
      <c r="G737">
        <v>2</v>
      </c>
      <c r="H737">
        <v>1</v>
      </c>
      <c r="I737">
        <v>1</v>
      </c>
      <c r="J737">
        <v>1</v>
      </c>
      <c r="K737">
        <v>30</v>
      </c>
      <c r="L737">
        <v>213</v>
      </c>
      <c r="M737">
        <v>13</v>
      </c>
      <c r="N737">
        <v>0.62</v>
      </c>
      <c r="O737">
        <f t="shared" si="22"/>
        <v>1</v>
      </c>
      <c r="P737">
        <f t="shared" si="23"/>
        <v>2</v>
      </c>
      <c r="Q737" s="2">
        <v>81</v>
      </c>
      <c r="R737" s="1">
        <v>45747</v>
      </c>
      <c r="S737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82.430000000000035</v>
      </c>
    </row>
    <row r="738" spans="1:19" x14ac:dyDescent="0.3">
      <c r="A738" t="s">
        <v>992</v>
      </c>
      <c r="B738" t="s">
        <v>205</v>
      </c>
      <c r="C738" t="s">
        <v>17</v>
      </c>
      <c r="D738">
        <v>40.666459099999997</v>
      </c>
      <c r="E738">
        <v>-73.920424599999905</v>
      </c>
      <c r="F738" t="s">
        <v>21</v>
      </c>
      <c r="G738">
        <v>4</v>
      </c>
      <c r="H738">
        <v>1</v>
      </c>
      <c r="I738">
        <v>2</v>
      </c>
      <c r="J738">
        <v>2</v>
      </c>
      <c r="K738">
        <v>30</v>
      </c>
      <c r="L738">
        <v>285</v>
      </c>
      <c r="M738">
        <v>34</v>
      </c>
      <c r="N738">
        <v>1.6</v>
      </c>
      <c r="O738">
        <f t="shared" si="22"/>
        <v>0</v>
      </c>
      <c r="P738">
        <f t="shared" si="23"/>
        <v>2</v>
      </c>
      <c r="Q738" s="2">
        <v>90</v>
      </c>
      <c r="R738" s="1">
        <v>45739</v>
      </c>
      <c r="S738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160.81000000000003</v>
      </c>
    </row>
    <row r="739" spans="1:19" x14ac:dyDescent="0.3">
      <c r="A739" t="s">
        <v>993</v>
      </c>
      <c r="B739" t="s">
        <v>19</v>
      </c>
      <c r="C739" t="s">
        <v>20</v>
      </c>
      <c r="D739">
        <v>40.746393500000003</v>
      </c>
      <c r="E739">
        <v>-73.986457799999997</v>
      </c>
      <c r="F739" t="s">
        <v>21</v>
      </c>
      <c r="G739">
        <v>2</v>
      </c>
      <c r="H739">
        <v>1</v>
      </c>
      <c r="I739">
        <v>1</v>
      </c>
      <c r="J739">
        <v>1</v>
      </c>
      <c r="K739">
        <v>30</v>
      </c>
      <c r="L739">
        <v>337</v>
      </c>
      <c r="M739">
        <v>2</v>
      </c>
      <c r="N739">
        <v>0.8</v>
      </c>
      <c r="O739">
        <f t="shared" si="22"/>
        <v>0</v>
      </c>
      <c r="P739">
        <f t="shared" si="23"/>
        <v>4</v>
      </c>
      <c r="Q739" s="2">
        <v>146</v>
      </c>
      <c r="R739" s="1">
        <v>45746</v>
      </c>
      <c r="S739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151.23000000000002</v>
      </c>
    </row>
    <row r="740" spans="1:19" x14ac:dyDescent="0.3">
      <c r="A740" t="s">
        <v>994</v>
      </c>
      <c r="B740" t="s">
        <v>19</v>
      </c>
      <c r="C740" t="s">
        <v>20</v>
      </c>
      <c r="D740">
        <v>40.746393500000003</v>
      </c>
      <c r="E740">
        <v>-73.986457799999997</v>
      </c>
      <c r="F740" t="s">
        <v>21</v>
      </c>
      <c r="G740">
        <v>2</v>
      </c>
      <c r="H740">
        <v>1</v>
      </c>
      <c r="I740">
        <v>1</v>
      </c>
      <c r="J740">
        <v>1</v>
      </c>
      <c r="K740">
        <v>30</v>
      </c>
      <c r="L740">
        <v>310</v>
      </c>
      <c r="M740">
        <v>2</v>
      </c>
      <c r="N740">
        <v>0.49</v>
      </c>
      <c r="O740">
        <f t="shared" si="22"/>
        <v>0</v>
      </c>
      <c r="P740">
        <f t="shared" si="23"/>
        <v>4</v>
      </c>
      <c r="Q740" s="2">
        <v>150</v>
      </c>
      <c r="R740" s="1">
        <v>45725</v>
      </c>
      <c r="S740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152.31</v>
      </c>
    </row>
    <row r="741" spans="1:19" x14ac:dyDescent="0.3">
      <c r="A741" t="s">
        <v>995</v>
      </c>
      <c r="B741" t="s">
        <v>36</v>
      </c>
      <c r="C741" t="s">
        <v>20</v>
      </c>
      <c r="D741" s="3" t="s">
        <v>996</v>
      </c>
      <c r="E741">
        <v>-73.945037768136899</v>
      </c>
      <c r="F741" t="s">
        <v>21</v>
      </c>
      <c r="G741">
        <v>8</v>
      </c>
      <c r="H741">
        <v>2</v>
      </c>
      <c r="I741">
        <v>4</v>
      </c>
      <c r="J741">
        <v>4</v>
      </c>
      <c r="K741">
        <v>30</v>
      </c>
      <c r="L741">
        <v>43</v>
      </c>
      <c r="M741">
        <v>4</v>
      </c>
      <c r="N741">
        <v>0.21</v>
      </c>
      <c r="O741">
        <f t="shared" si="22"/>
        <v>0</v>
      </c>
      <c r="P741">
        <f t="shared" si="23"/>
        <v>4</v>
      </c>
      <c r="Q741" s="2">
        <v>200</v>
      </c>
      <c r="R741" s="1">
        <v>45722</v>
      </c>
      <c r="S741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288.09000000000003</v>
      </c>
    </row>
    <row r="742" spans="1:19" x14ac:dyDescent="0.3">
      <c r="A742" t="s">
        <v>997</v>
      </c>
      <c r="B742" t="s">
        <v>19</v>
      </c>
      <c r="C742" t="s">
        <v>20</v>
      </c>
      <c r="D742">
        <v>40.746393500000003</v>
      </c>
      <c r="E742">
        <v>-73.986457799999997</v>
      </c>
      <c r="F742" t="s">
        <v>21</v>
      </c>
      <c r="G742">
        <v>2</v>
      </c>
      <c r="H742">
        <v>1</v>
      </c>
      <c r="I742">
        <v>1</v>
      </c>
      <c r="J742">
        <v>1</v>
      </c>
      <c r="K742">
        <v>30</v>
      </c>
      <c r="L742">
        <v>329</v>
      </c>
      <c r="M742">
        <v>1</v>
      </c>
      <c r="N742">
        <v>0.68</v>
      </c>
      <c r="O742">
        <f t="shared" si="22"/>
        <v>0</v>
      </c>
      <c r="P742">
        <f t="shared" si="23"/>
        <v>4</v>
      </c>
      <c r="Q742" s="2">
        <v>88</v>
      </c>
      <c r="R742" s="1">
        <v>45736</v>
      </c>
      <c r="S742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151.55000000000001</v>
      </c>
    </row>
    <row r="743" spans="1:19" x14ac:dyDescent="0.3">
      <c r="A743" t="s">
        <v>998</v>
      </c>
      <c r="B743" t="s">
        <v>19</v>
      </c>
      <c r="C743" t="s">
        <v>20</v>
      </c>
      <c r="D743">
        <v>40.746383100000003</v>
      </c>
      <c r="E743">
        <v>-73.986426799999904</v>
      </c>
      <c r="F743" t="s">
        <v>21</v>
      </c>
      <c r="G743">
        <v>2</v>
      </c>
      <c r="H743">
        <v>1</v>
      </c>
      <c r="I743">
        <v>1</v>
      </c>
      <c r="J743">
        <v>1</v>
      </c>
      <c r="K743">
        <v>30</v>
      </c>
      <c r="L743">
        <v>189</v>
      </c>
      <c r="M743">
        <v>3</v>
      </c>
      <c r="N743">
        <v>0.86</v>
      </c>
      <c r="O743">
        <f t="shared" si="22"/>
        <v>0</v>
      </c>
      <c r="P743">
        <f t="shared" si="23"/>
        <v>4</v>
      </c>
      <c r="Q743" s="2">
        <v>140</v>
      </c>
      <c r="R743" s="1">
        <v>45740</v>
      </c>
      <c r="S743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157.15000000000003</v>
      </c>
    </row>
    <row r="744" spans="1:19" x14ac:dyDescent="0.3">
      <c r="A744" t="s">
        <v>999</v>
      </c>
      <c r="B744" t="s">
        <v>19</v>
      </c>
      <c r="C744" t="s">
        <v>20</v>
      </c>
      <c r="D744">
        <v>40.746393500000003</v>
      </c>
      <c r="E744">
        <v>-73.986457799999997</v>
      </c>
      <c r="F744" t="s">
        <v>21</v>
      </c>
      <c r="G744">
        <v>2</v>
      </c>
      <c r="H744">
        <v>1</v>
      </c>
      <c r="I744">
        <v>1</v>
      </c>
      <c r="J744">
        <v>1</v>
      </c>
      <c r="K744">
        <v>30</v>
      </c>
      <c r="L744">
        <v>337</v>
      </c>
      <c r="M744">
        <v>1</v>
      </c>
      <c r="N744">
        <v>0.91</v>
      </c>
      <c r="O744">
        <f t="shared" si="22"/>
        <v>0</v>
      </c>
      <c r="P744">
        <f t="shared" si="23"/>
        <v>4</v>
      </c>
      <c r="Q744" s="2">
        <v>112</v>
      </c>
      <c r="R744" s="1">
        <v>45747</v>
      </c>
      <c r="S744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151.23000000000002</v>
      </c>
    </row>
    <row r="745" spans="1:19" x14ac:dyDescent="0.3">
      <c r="A745" t="s">
        <v>1000</v>
      </c>
      <c r="B745" t="s">
        <v>53</v>
      </c>
      <c r="C745" t="s">
        <v>20</v>
      </c>
      <c r="D745" s="3" t="s">
        <v>1001</v>
      </c>
      <c r="E745">
        <v>-73.965923820440693</v>
      </c>
      <c r="F745" t="s">
        <v>18</v>
      </c>
      <c r="G745">
        <v>2</v>
      </c>
      <c r="H745">
        <v>2</v>
      </c>
      <c r="I745">
        <v>1</v>
      </c>
      <c r="J745">
        <v>1</v>
      </c>
      <c r="K745">
        <v>2</v>
      </c>
      <c r="L745">
        <v>237</v>
      </c>
      <c r="M745">
        <v>47</v>
      </c>
      <c r="N745">
        <v>3.58</v>
      </c>
      <c r="O745">
        <f t="shared" si="22"/>
        <v>1</v>
      </c>
      <c r="P745">
        <f t="shared" si="23"/>
        <v>4</v>
      </c>
      <c r="Q745" s="2">
        <v>147</v>
      </c>
      <c r="R745" s="1">
        <v>45736</v>
      </c>
      <c r="S745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216.95000000000005</v>
      </c>
    </row>
    <row r="746" spans="1:19" x14ac:dyDescent="0.3">
      <c r="A746" t="s">
        <v>1002</v>
      </c>
      <c r="B746" t="s">
        <v>19</v>
      </c>
      <c r="C746" t="s">
        <v>20</v>
      </c>
      <c r="D746">
        <v>40.752839999999999</v>
      </c>
      <c r="E746">
        <v>-73.971850000000003</v>
      </c>
      <c r="F746" t="s">
        <v>18</v>
      </c>
      <c r="G746">
        <v>4</v>
      </c>
      <c r="H746">
        <v>1</v>
      </c>
      <c r="I746">
        <v>1</v>
      </c>
      <c r="J746">
        <v>2</v>
      </c>
      <c r="K746">
        <v>1</v>
      </c>
      <c r="L746">
        <v>314</v>
      </c>
      <c r="M746">
        <v>13</v>
      </c>
      <c r="N746">
        <v>0.73</v>
      </c>
      <c r="O746">
        <f t="shared" si="22"/>
        <v>1</v>
      </c>
      <c r="P746">
        <f t="shared" si="23"/>
        <v>4</v>
      </c>
      <c r="Q746" s="2">
        <v>442</v>
      </c>
      <c r="R746" s="1">
        <v>45724</v>
      </c>
      <c r="S746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243.96000000000004</v>
      </c>
    </row>
    <row r="747" spans="1:19" x14ac:dyDescent="0.3">
      <c r="A747" t="s">
        <v>1003</v>
      </c>
      <c r="B747" t="s">
        <v>19</v>
      </c>
      <c r="C747" t="s">
        <v>20</v>
      </c>
      <c r="D747">
        <v>40.75553</v>
      </c>
      <c r="E747">
        <v>-73.982990000000001</v>
      </c>
      <c r="F747" t="s">
        <v>21</v>
      </c>
      <c r="G747">
        <v>4</v>
      </c>
      <c r="H747">
        <v>1</v>
      </c>
      <c r="I747">
        <v>2</v>
      </c>
      <c r="J747">
        <v>2</v>
      </c>
      <c r="K747">
        <v>30</v>
      </c>
      <c r="L747">
        <v>184</v>
      </c>
      <c r="M747">
        <v>1</v>
      </c>
      <c r="N747">
        <v>0.71</v>
      </c>
      <c r="O747">
        <f t="shared" si="22"/>
        <v>0</v>
      </c>
      <c r="P747">
        <f t="shared" si="23"/>
        <v>4</v>
      </c>
      <c r="Q747" s="2">
        <v>288</v>
      </c>
      <c r="R747" s="1">
        <v>45738</v>
      </c>
      <c r="S747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195.31</v>
      </c>
    </row>
    <row r="748" spans="1:19" x14ac:dyDescent="0.3">
      <c r="A748" t="s">
        <v>1004</v>
      </c>
      <c r="B748" t="s">
        <v>23</v>
      </c>
      <c r="C748" t="s">
        <v>17</v>
      </c>
      <c r="D748">
        <v>40.718240000000002</v>
      </c>
      <c r="E748">
        <v>-73.942149999999998</v>
      </c>
      <c r="F748" t="s">
        <v>21</v>
      </c>
      <c r="G748">
        <v>3</v>
      </c>
      <c r="H748">
        <v>1</v>
      </c>
      <c r="I748">
        <v>1</v>
      </c>
      <c r="J748">
        <v>1</v>
      </c>
      <c r="K748">
        <v>30</v>
      </c>
      <c r="L748">
        <v>184</v>
      </c>
      <c r="M748">
        <v>6</v>
      </c>
      <c r="N748">
        <v>0.45</v>
      </c>
      <c r="O748">
        <f t="shared" si="22"/>
        <v>0</v>
      </c>
      <c r="P748">
        <f t="shared" si="23"/>
        <v>2</v>
      </c>
      <c r="Q748" s="2">
        <v>201</v>
      </c>
      <c r="R748" s="1">
        <v>45717</v>
      </c>
      <c r="S748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145.87</v>
      </c>
    </row>
    <row r="749" spans="1:19" x14ac:dyDescent="0.3">
      <c r="A749" t="s">
        <v>1005</v>
      </c>
      <c r="B749" t="s">
        <v>27</v>
      </c>
      <c r="C749" t="s">
        <v>17</v>
      </c>
      <c r="D749" s="3" t="s">
        <v>1006</v>
      </c>
      <c r="E749">
        <v>-73.947090846306693</v>
      </c>
      <c r="F749" t="s">
        <v>18</v>
      </c>
      <c r="G749">
        <v>2</v>
      </c>
      <c r="H749">
        <v>2</v>
      </c>
      <c r="I749">
        <v>1</v>
      </c>
      <c r="J749">
        <v>1</v>
      </c>
      <c r="K749">
        <v>30</v>
      </c>
      <c r="L749">
        <v>82</v>
      </c>
      <c r="M749">
        <v>10</v>
      </c>
      <c r="N749">
        <v>0.54</v>
      </c>
      <c r="O749">
        <f t="shared" si="22"/>
        <v>1</v>
      </c>
      <c r="P749">
        <f t="shared" si="23"/>
        <v>2</v>
      </c>
      <c r="Q749" s="2">
        <v>52</v>
      </c>
      <c r="R749" s="1">
        <v>45719</v>
      </c>
      <c r="S749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98.890000000000015</v>
      </c>
    </row>
    <row r="750" spans="1:19" x14ac:dyDescent="0.3">
      <c r="A750" t="s">
        <v>1007</v>
      </c>
      <c r="B750" t="s">
        <v>296</v>
      </c>
      <c r="C750" t="s">
        <v>17</v>
      </c>
      <c r="D750" s="3" t="s">
        <v>1008</v>
      </c>
      <c r="E750">
        <v>-74.007609641071298</v>
      </c>
      <c r="F750" t="s">
        <v>18</v>
      </c>
      <c r="G750">
        <v>2</v>
      </c>
      <c r="H750">
        <v>1</v>
      </c>
      <c r="I750">
        <v>1</v>
      </c>
      <c r="J750">
        <v>1</v>
      </c>
      <c r="K750">
        <v>1</v>
      </c>
      <c r="L750">
        <v>223</v>
      </c>
      <c r="M750">
        <v>27</v>
      </c>
      <c r="N750">
        <v>1.32</v>
      </c>
      <c r="O750">
        <f t="shared" si="22"/>
        <v>1</v>
      </c>
      <c r="P750">
        <f t="shared" si="23"/>
        <v>2</v>
      </c>
      <c r="Q750" s="2">
        <v>90</v>
      </c>
      <c r="R750" s="1">
        <v>45747</v>
      </c>
      <c r="S750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179.18000000000004</v>
      </c>
    </row>
    <row r="751" spans="1:19" x14ac:dyDescent="0.3">
      <c r="A751" t="s">
        <v>1009</v>
      </c>
      <c r="B751" t="s">
        <v>19</v>
      </c>
      <c r="C751" t="s">
        <v>20</v>
      </c>
      <c r="D751" s="3" t="s">
        <v>1010</v>
      </c>
      <c r="E751">
        <v>-73.988983738494895</v>
      </c>
      <c r="F751" t="s">
        <v>18</v>
      </c>
      <c r="G751">
        <v>3</v>
      </c>
      <c r="H751">
        <v>2</v>
      </c>
      <c r="I751">
        <v>1</v>
      </c>
      <c r="J751">
        <v>2</v>
      </c>
      <c r="K751">
        <v>1</v>
      </c>
      <c r="L751">
        <v>291</v>
      </c>
      <c r="M751">
        <v>29</v>
      </c>
      <c r="N751">
        <v>1.49</v>
      </c>
      <c r="O751">
        <f t="shared" si="22"/>
        <v>1</v>
      </c>
      <c r="P751">
        <f t="shared" si="23"/>
        <v>4</v>
      </c>
      <c r="Q751" s="2">
        <v>192</v>
      </c>
      <c r="R751" s="1">
        <v>45747</v>
      </c>
      <c r="S751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237.12</v>
      </c>
    </row>
    <row r="752" spans="1:19" x14ac:dyDescent="0.3">
      <c r="A752" t="s">
        <v>1011</v>
      </c>
      <c r="B752" t="s">
        <v>129</v>
      </c>
      <c r="C752" t="s">
        <v>31</v>
      </c>
      <c r="D752">
        <v>40.818489999999997</v>
      </c>
      <c r="E752">
        <v>-73.908479999999997</v>
      </c>
      <c r="F752" t="s">
        <v>18</v>
      </c>
      <c r="G752">
        <v>2</v>
      </c>
      <c r="H752">
        <v>1</v>
      </c>
      <c r="I752">
        <v>1</v>
      </c>
      <c r="J752">
        <v>2</v>
      </c>
      <c r="K752">
        <v>2</v>
      </c>
      <c r="L752">
        <v>189</v>
      </c>
      <c r="M752">
        <v>25</v>
      </c>
      <c r="N752">
        <v>3.36</v>
      </c>
      <c r="O752">
        <f t="shared" si="22"/>
        <v>1</v>
      </c>
      <c r="P752">
        <f t="shared" si="23"/>
        <v>0</v>
      </c>
      <c r="Q752" s="2">
        <v>116</v>
      </c>
      <c r="R752" s="1">
        <v>45746</v>
      </c>
      <c r="S752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146.73000000000002</v>
      </c>
    </row>
    <row r="753" spans="1:19" x14ac:dyDescent="0.3">
      <c r="A753" t="s">
        <v>1012</v>
      </c>
      <c r="B753" t="s">
        <v>178</v>
      </c>
      <c r="C753" t="s">
        <v>30</v>
      </c>
      <c r="D753" s="3" t="s">
        <v>1013</v>
      </c>
      <c r="E753">
        <v>-73.730316032866398</v>
      </c>
      <c r="F753" t="s">
        <v>21</v>
      </c>
      <c r="G753">
        <v>2</v>
      </c>
      <c r="H753">
        <v>1</v>
      </c>
      <c r="I753">
        <v>1</v>
      </c>
      <c r="J753">
        <v>1</v>
      </c>
      <c r="K753">
        <v>1</v>
      </c>
      <c r="L753">
        <v>257</v>
      </c>
      <c r="M753">
        <v>48</v>
      </c>
      <c r="N753">
        <v>3.63</v>
      </c>
      <c r="O753">
        <f t="shared" si="22"/>
        <v>0</v>
      </c>
      <c r="P753">
        <f t="shared" si="23"/>
        <v>0</v>
      </c>
      <c r="Q753" s="2">
        <v>127</v>
      </c>
      <c r="R753" s="1">
        <v>45730</v>
      </c>
      <c r="S753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190.66000000000003</v>
      </c>
    </row>
    <row r="754" spans="1:19" x14ac:dyDescent="0.3">
      <c r="A754" t="s">
        <v>1014</v>
      </c>
      <c r="B754" t="s">
        <v>38</v>
      </c>
      <c r="C754" t="s">
        <v>20</v>
      </c>
      <c r="D754" s="3" t="s">
        <v>1015</v>
      </c>
      <c r="E754">
        <v>-73.990803415343805</v>
      </c>
      <c r="F754" t="s">
        <v>18</v>
      </c>
      <c r="G754">
        <v>1</v>
      </c>
      <c r="H754">
        <v>1</v>
      </c>
      <c r="I754">
        <v>1</v>
      </c>
      <c r="J754">
        <v>1</v>
      </c>
      <c r="K754">
        <v>30</v>
      </c>
      <c r="L754">
        <v>175</v>
      </c>
      <c r="M754">
        <v>7</v>
      </c>
      <c r="N754">
        <v>0.4</v>
      </c>
      <c r="O754">
        <f t="shared" si="22"/>
        <v>1</v>
      </c>
      <c r="P754">
        <f t="shared" si="23"/>
        <v>4</v>
      </c>
      <c r="Q754" s="2">
        <v>85</v>
      </c>
      <c r="R754" s="1">
        <v>45745</v>
      </c>
      <c r="S754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95.43</v>
      </c>
    </row>
    <row r="755" spans="1:19" x14ac:dyDescent="0.3">
      <c r="A755" t="s">
        <v>1016</v>
      </c>
      <c r="B755" t="s">
        <v>27</v>
      </c>
      <c r="C755" t="s">
        <v>17</v>
      </c>
      <c r="D755">
        <v>40.692279999999997</v>
      </c>
      <c r="E755">
        <v>-73.942779999999999</v>
      </c>
      <c r="F755" t="s">
        <v>18</v>
      </c>
      <c r="G755">
        <v>2</v>
      </c>
      <c r="H755">
        <v>2</v>
      </c>
      <c r="I755">
        <v>1</v>
      </c>
      <c r="J755">
        <v>1</v>
      </c>
      <c r="K755">
        <v>1</v>
      </c>
      <c r="L755">
        <v>264</v>
      </c>
      <c r="M755">
        <v>18</v>
      </c>
      <c r="N755">
        <v>1.68</v>
      </c>
      <c r="O755">
        <f t="shared" si="22"/>
        <v>1</v>
      </c>
      <c r="P755">
        <f t="shared" si="23"/>
        <v>2</v>
      </c>
      <c r="Q755" s="2">
        <v>115</v>
      </c>
      <c r="R755" s="1">
        <v>45719</v>
      </c>
      <c r="S755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188.76000000000002</v>
      </c>
    </row>
    <row r="756" spans="1:19" x14ac:dyDescent="0.3">
      <c r="A756" t="s">
        <v>1017</v>
      </c>
      <c r="B756" t="s">
        <v>36</v>
      </c>
      <c r="C756" t="s">
        <v>20</v>
      </c>
      <c r="D756">
        <v>40.771900000000002</v>
      </c>
      <c r="E756">
        <v>-73.957049999999995</v>
      </c>
      <c r="F756" t="s">
        <v>21</v>
      </c>
      <c r="G756">
        <v>6</v>
      </c>
      <c r="H756">
        <v>2</v>
      </c>
      <c r="I756">
        <v>3</v>
      </c>
      <c r="J756">
        <v>3</v>
      </c>
      <c r="K756">
        <v>30</v>
      </c>
      <c r="L756">
        <v>270</v>
      </c>
      <c r="M756">
        <v>5</v>
      </c>
      <c r="N756">
        <v>0.48</v>
      </c>
      <c r="O756">
        <f t="shared" si="22"/>
        <v>0</v>
      </c>
      <c r="P756">
        <f t="shared" si="23"/>
        <v>4</v>
      </c>
      <c r="Q756" s="2">
        <v>350</v>
      </c>
      <c r="R756" s="1">
        <v>45747</v>
      </c>
      <c r="S756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241.05</v>
      </c>
    </row>
    <row r="757" spans="1:19" x14ac:dyDescent="0.3">
      <c r="A757" t="s">
        <v>1018</v>
      </c>
      <c r="B757" t="s">
        <v>27</v>
      </c>
      <c r="C757" t="s">
        <v>17</v>
      </c>
      <c r="D757">
        <v>40.6937</v>
      </c>
      <c r="E757">
        <v>-73.941410000000005</v>
      </c>
      <c r="F757" t="s">
        <v>18</v>
      </c>
      <c r="G757">
        <v>2</v>
      </c>
      <c r="H757">
        <v>1</v>
      </c>
      <c r="I757">
        <v>1</v>
      </c>
      <c r="J757">
        <v>1</v>
      </c>
      <c r="K757">
        <v>1</v>
      </c>
      <c r="L757">
        <v>254</v>
      </c>
      <c r="M757">
        <v>13</v>
      </c>
      <c r="N757">
        <v>1.4</v>
      </c>
      <c r="O757">
        <f t="shared" si="22"/>
        <v>1</v>
      </c>
      <c r="P757">
        <f t="shared" si="23"/>
        <v>2</v>
      </c>
      <c r="Q757" s="2">
        <v>121</v>
      </c>
      <c r="R757" s="1">
        <v>45745</v>
      </c>
      <c r="S757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177.94000000000003</v>
      </c>
    </row>
    <row r="758" spans="1:19" x14ac:dyDescent="0.3">
      <c r="A758" t="s">
        <v>1019</v>
      </c>
      <c r="B758" t="s">
        <v>113</v>
      </c>
      <c r="C758" t="s">
        <v>30</v>
      </c>
      <c r="D758" s="3" t="s">
        <v>1020</v>
      </c>
      <c r="E758">
        <v>-73.793529818226304</v>
      </c>
      <c r="F758" t="s">
        <v>21</v>
      </c>
      <c r="G758">
        <v>4</v>
      </c>
      <c r="H758">
        <v>1</v>
      </c>
      <c r="I758">
        <v>1</v>
      </c>
      <c r="J758">
        <v>1</v>
      </c>
      <c r="K758">
        <v>30</v>
      </c>
      <c r="L758">
        <v>206</v>
      </c>
      <c r="M758">
        <v>3</v>
      </c>
      <c r="N758">
        <v>0.18</v>
      </c>
      <c r="O758">
        <f t="shared" si="22"/>
        <v>0</v>
      </c>
      <c r="P758">
        <f t="shared" si="23"/>
        <v>0</v>
      </c>
      <c r="Q758" s="2">
        <v>99</v>
      </c>
      <c r="R758" s="1">
        <v>45719</v>
      </c>
      <c r="S758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133.51000000000002</v>
      </c>
    </row>
    <row r="759" spans="1:19" x14ac:dyDescent="0.3">
      <c r="A759" t="s">
        <v>1021</v>
      </c>
      <c r="B759" t="s">
        <v>24</v>
      </c>
      <c r="C759" t="s">
        <v>20</v>
      </c>
      <c r="D759">
        <v>40.7929341708195</v>
      </c>
      <c r="E759">
        <v>-73.942119510818898</v>
      </c>
      <c r="F759" t="s">
        <v>21</v>
      </c>
      <c r="G759">
        <v>4</v>
      </c>
      <c r="H759">
        <v>2</v>
      </c>
      <c r="I759">
        <v>2</v>
      </c>
      <c r="J759">
        <v>2</v>
      </c>
      <c r="K759">
        <v>7</v>
      </c>
      <c r="L759">
        <v>235</v>
      </c>
      <c r="M759">
        <v>30</v>
      </c>
      <c r="N759">
        <v>1.52</v>
      </c>
      <c r="O759">
        <f t="shared" si="22"/>
        <v>0</v>
      </c>
      <c r="P759">
        <f t="shared" si="23"/>
        <v>4</v>
      </c>
      <c r="Q759" s="2">
        <v>280</v>
      </c>
      <c r="R759" s="1">
        <v>45738</v>
      </c>
      <c r="S759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281.54000000000002</v>
      </c>
    </row>
    <row r="760" spans="1:19" x14ac:dyDescent="0.3">
      <c r="A760" t="s">
        <v>1022</v>
      </c>
      <c r="B760" t="s">
        <v>95</v>
      </c>
      <c r="C760" t="s">
        <v>20</v>
      </c>
      <c r="D760">
        <v>40.748398288597897</v>
      </c>
      <c r="E760">
        <v>-73.973231837138201</v>
      </c>
      <c r="F760" t="s">
        <v>18</v>
      </c>
      <c r="G760">
        <v>4</v>
      </c>
      <c r="H760">
        <v>1</v>
      </c>
      <c r="I760">
        <v>1</v>
      </c>
      <c r="J760">
        <v>2</v>
      </c>
      <c r="K760">
        <v>1</v>
      </c>
      <c r="L760">
        <v>213</v>
      </c>
      <c r="M760">
        <v>21</v>
      </c>
      <c r="N760">
        <v>1.1000000000000001</v>
      </c>
      <c r="O760">
        <f t="shared" si="22"/>
        <v>1</v>
      </c>
      <c r="P760">
        <f t="shared" si="23"/>
        <v>4</v>
      </c>
      <c r="Q760" s="2">
        <v>449</v>
      </c>
      <c r="R760" s="1">
        <v>45739</v>
      </c>
      <c r="S760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248.00000000000006</v>
      </c>
    </row>
    <row r="761" spans="1:19" x14ac:dyDescent="0.3">
      <c r="A761" t="s">
        <v>1023</v>
      </c>
      <c r="B761" t="s">
        <v>56</v>
      </c>
      <c r="C761" t="s">
        <v>17</v>
      </c>
      <c r="D761" s="3" t="s">
        <v>1024</v>
      </c>
      <c r="E761">
        <v>-73.956003211435004</v>
      </c>
      <c r="F761" t="s">
        <v>21</v>
      </c>
      <c r="G761">
        <v>4</v>
      </c>
      <c r="H761">
        <v>1</v>
      </c>
      <c r="I761">
        <v>2</v>
      </c>
      <c r="J761">
        <v>2</v>
      </c>
      <c r="K761">
        <v>30</v>
      </c>
      <c r="L761">
        <v>339</v>
      </c>
      <c r="M761">
        <v>8</v>
      </c>
      <c r="N761">
        <v>0.45</v>
      </c>
      <c r="O761">
        <f t="shared" si="22"/>
        <v>0</v>
      </c>
      <c r="P761">
        <f t="shared" si="23"/>
        <v>2</v>
      </c>
      <c r="Q761" s="2">
        <v>178</v>
      </c>
      <c r="R761" s="1">
        <v>45720</v>
      </c>
      <c r="S761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158.65000000000003</v>
      </c>
    </row>
    <row r="762" spans="1:19" x14ac:dyDescent="0.3">
      <c r="A762" t="s">
        <v>1025</v>
      </c>
      <c r="B762" t="s">
        <v>28</v>
      </c>
      <c r="C762" t="s">
        <v>20</v>
      </c>
      <c r="D762">
        <v>40.8306957</v>
      </c>
      <c r="E762">
        <v>-73.946372199999999</v>
      </c>
      <c r="F762" t="s">
        <v>21</v>
      </c>
      <c r="G762">
        <v>2</v>
      </c>
      <c r="H762">
        <v>1</v>
      </c>
      <c r="I762">
        <v>1</v>
      </c>
      <c r="J762">
        <v>1</v>
      </c>
      <c r="K762">
        <v>30</v>
      </c>
      <c r="L762">
        <v>84</v>
      </c>
      <c r="M762">
        <v>3</v>
      </c>
      <c r="N762">
        <v>0.3</v>
      </c>
      <c r="O762">
        <f t="shared" si="22"/>
        <v>0</v>
      </c>
      <c r="P762">
        <f t="shared" si="23"/>
        <v>4</v>
      </c>
      <c r="Q762" s="2">
        <v>150</v>
      </c>
      <c r="R762" s="1">
        <v>45717</v>
      </c>
      <c r="S762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161.35000000000002</v>
      </c>
    </row>
    <row r="763" spans="1:19" x14ac:dyDescent="0.3">
      <c r="A763" t="s">
        <v>1026</v>
      </c>
      <c r="B763" t="s">
        <v>19</v>
      </c>
      <c r="C763" t="s">
        <v>20</v>
      </c>
      <c r="D763">
        <v>40.746130000000001</v>
      </c>
      <c r="E763">
        <v>-73.988600000000005</v>
      </c>
      <c r="F763" t="s">
        <v>21</v>
      </c>
      <c r="G763">
        <v>7</v>
      </c>
      <c r="H763">
        <v>1</v>
      </c>
      <c r="I763">
        <v>1</v>
      </c>
      <c r="J763">
        <v>4</v>
      </c>
      <c r="K763">
        <v>1</v>
      </c>
      <c r="L763">
        <v>229</v>
      </c>
      <c r="M763">
        <v>31</v>
      </c>
      <c r="N763">
        <v>1.65</v>
      </c>
      <c r="O763">
        <f t="shared" si="22"/>
        <v>0</v>
      </c>
      <c r="P763">
        <f t="shared" si="23"/>
        <v>4</v>
      </c>
      <c r="Q763" s="2">
        <v>378</v>
      </c>
      <c r="R763" s="1">
        <v>45744</v>
      </c>
      <c r="S763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347.6</v>
      </c>
    </row>
    <row r="764" spans="1:19" x14ac:dyDescent="0.3">
      <c r="A764" t="s">
        <v>1027</v>
      </c>
      <c r="B764" t="s">
        <v>66</v>
      </c>
      <c r="C764" t="s">
        <v>30</v>
      </c>
      <c r="D764">
        <v>40.745452100000001</v>
      </c>
      <c r="E764">
        <v>-73.920790400000001</v>
      </c>
      <c r="F764" t="s">
        <v>21</v>
      </c>
      <c r="G764">
        <v>3</v>
      </c>
      <c r="H764">
        <v>1</v>
      </c>
      <c r="I764">
        <v>1</v>
      </c>
      <c r="J764">
        <v>1</v>
      </c>
      <c r="K764">
        <v>30</v>
      </c>
      <c r="L764">
        <v>308</v>
      </c>
      <c r="M764">
        <v>6</v>
      </c>
      <c r="N764">
        <v>0.54</v>
      </c>
      <c r="O764">
        <f t="shared" si="22"/>
        <v>0</v>
      </c>
      <c r="P764">
        <f t="shared" si="23"/>
        <v>0</v>
      </c>
      <c r="Q764" s="2">
        <v>160</v>
      </c>
      <c r="R764" s="1">
        <v>45739</v>
      </c>
      <c r="S764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110.45000000000002</v>
      </c>
    </row>
    <row r="765" spans="1:19" x14ac:dyDescent="0.3">
      <c r="A765" t="s">
        <v>1028</v>
      </c>
      <c r="B765" t="s">
        <v>82</v>
      </c>
      <c r="C765" t="s">
        <v>30</v>
      </c>
      <c r="D765">
        <v>40.744120000000002</v>
      </c>
      <c r="E765">
        <v>-73.911429999999996</v>
      </c>
      <c r="F765" t="s">
        <v>21</v>
      </c>
      <c r="G765">
        <v>4</v>
      </c>
      <c r="H765">
        <v>1</v>
      </c>
      <c r="I765">
        <v>1</v>
      </c>
      <c r="J765">
        <v>2</v>
      </c>
      <c r="K765">
        <v>1</v>
      </c>
      <c r="L765">
        <v>264</v>
      </c>
      <c r="M765">
        <v>14</v>
      </c>
      <c r="N765">
        <v>0.83</v>
      </c>
      <c r="O765">
        <f t="shared" si="22"/>
        <v>0</v>
      </c>
      <c r="P765">
        <f t="shared" si="23"/>
        <v>0</v>
      </c>
      <c r="Q765" s="2">
        <v>247</v>
      </c>
      <c r="R765" s="1">
        <v>45743</v>
      </c>
      <c r="S765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228.34000000000003</v>
      </c>
    </row>
    <row r="766" spans="1:19" x14ac:dyDescent="0.3">
      <c r="A766" t="s">
        <v>1029</v>
      </c>
      <c r="B766" t="s">
        <v>50</v>
      </c>
      <c r="C766" t="s">
        <v>20</v>
      </c>
      <c r="D766">
        <v>40.731575100000001</v>
      </c>
      <c r="E766">
        <v>-74.002159199999994</v>
      </c>
      <c r="F766" t="s">
        <v>21</v>
      </c>
      <c r="G766">
        <v>2</v>
      </c>
      <c r="H766">
        <v>1</v>
      </c>
      <c r="I766">
        <v>1</v>
      </c>
      <c r="J766">
        <v>1</v>
      </c>
      <c r="K766">
        <v>30</v>
      </c>
      <c r="L766">
        <v>218</v>
      </c>
      <c r="M766">
        <v>8</v>
      </c>
      <c r="N766">
        <v>0.44</v>
      </c>
      <c r="O766">
        <f t="shared" si="22"/>
        <v>0</v>
      </c>
      <c r="P766">
        <f t="shared" si="23"/>
        <v>4</v>
      </c>
      <c r="Q766" s="2">
        <v>410</v>
      </c>
      <c r="R766" s="1">
        <v>45719</v>
      </c>
      <c r="S766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155.99</v>
      </c>
    </row>
    <row r="767" spans="1:19" x14ac:dyDescent="0.3">
      <c r="A767" t="s">
        <v>1030</v>
      </c>
      <c r="B767" t="s">
        <v>49</v>
      </c>
      <c r="C767" t="s">
        <v>20</v>
      </c>
      <c r="D767">
        <v>40.742989999999999</v>
      </c>
      <c r="E767">
        <v>-73.982190000000003</v>
      </c>
      <c r="F767" t="s">
        <v>21</v>
      </c>
      <c r="G767">
        <v>3</v>
      </c>
      <c r="H767">
        <v>1</v>
      </c>
      <c r="I767">
        <v>1</v>
      </c>
      <c r="J767">
        <v>2</v>
      </c>
      <c r="K767">
        <v>2</v>
      </c>
      <c r="L767">
        <v>189</v>
      </c>
      <c r="M767">
        <v>40</v>
      </c>
      <c r="N767">
        <v>3.52</v>
      </c>
      <c r="O767">
        <f t="shared" si="22"/>
        <v>0</v>
      </c>
      <c r="P767">
        <f t="shared" si="23"/>
        <v>4</v>
      </c>
      <c r="Q767" s="2">
        <v>220</v>
      </c>
      <c r="R767" s="1">
        <v>45739</v>
      </c>
      <c r="S767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269.93</v>
      </c>
    </row>
    <row r="768" spans="1:19" x14ac:dyDescent="0.3">
      <c r="A768" t="s">
        <v>1031</v>
      </c>
      <c r="B768" t="s">
        <v>205</v>
      </c>
      <c r="C768" t="s">
        <v>17</v>
      </c>
      <c r="D768">
        <v>40.657676000000002</v>
      </c>
      <c r="E768">
        <v>-73.908395099999893</v>
      </c>
      <c r="F768" t="s">
        <v>18</v>
      </c>
      <c r="G768">
        <v>5</v>
      </c>
      <c r="H768">
        <v>2</v>
      </c>
      <c r="I768">
        <v>3</v>
      </c>
      <c r="J768">
        <v>3</v>
      </c>
      <c r="K768">
        <v>3</v>
      </c>
      <c r="L768">
        <v>155</v>
      </c>
      <c r="M768">
        <v>25</v>
      </c>
      <c r="N768">
        <v>1.72</v>
      </c>
      <c r="O768">
        <f t="shared" si="22"/>
        <v>1</v>
      </c>
      <c r="P768">
        <f t="shared" si="23"/>
        <v>2</v>
      </c>
      <c r="Q768" s="2">
        <v>295</v>
      </c>
      <c r="R768" s="1">
        <v>45727</v>
      </c>
      <c r="S768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243.36000000000004</v>
      </c>
    </row>
    <row r="769" spans="1:19" x14ac:dyDescent="0.3">
      <c r="A769" t="s">
        <v>1032</v>
      </c>
      <c r="B769" t="s">
        <v>94</v>
      </c>
      <c r="C769" t="s">
        <v>17</v>
      </c>
      <c r="D769" s="3" t="s">
        <v>1033</v>
      </c>
      <c r="E769">
        <v>-73.885390404084703</v>
      </c>
      <c r="F769" t="s">
        <v>21</v>
      </c>
      <c r="G769">
        <v>8</v>
      </c>
      <c r="H769">
        <v>2</v>
      </c>
      <c r="I769">
        <v>4</v>
      </c>
      <c r="J769">
        <v>4</v>
      </c>
      <c r="K769">
        <v>2</v>
      </c>
      <c r="L769">
        <v>32</v>
      </c>
      <c r="M769">
        <v>12</v>
      </c>
      <c r="N769">
        <v>0.68</v>
      </c>
      <c r="O769">
        <f t="shared" si="22"/>
        <v>0</v>
      </c>
      <c r="P769">
        <f t="shared" si="23"/>
        <v>2</v>
      </c>
      <c r="Q769" s="2">
        <v>386</v>
      </c>
      <c r="R769" s="1">
        <v>45733</v>
      </c>
      <c r="S769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351.87000000000006</v>
      </c>
    </row>
    <row r="770" spans="1:19" x14ac:dyDescent="0.3">
      <c r="A770" t="s">
        <v>1034</v>
      </c>
      <c r="B770" t="s">
        <v>49</v>
      </c>
      <c r="C770" t="s">
        <v>20</v>
      </c>
      <c r="D770" s="3" t="s">
        <v>1035</v>
      </c>
      <c r="E770">
        <v>-73.982652614083307</v>
      </c>
      <c r="F770" t="s">
        <v>21</v>
      </c>
      <c r="G770">
        <v>4</v>
      </c>
      <c r="H770">
        <v>1</v>
      </c>
      <c r="I770">
        <v>1</v>
      </c>
      <c r="J770">
        <v>1</v>
      </c>
      <c r="K770">
        <v>4</v>
      </c>
      <c r="L770">
        <v>313</v>
      </c>
      <c r="M770">
        <v>29</v>
      </c>
      <c r="N770">
        <v>1.71</v>
      </c>
      <c r="O770">
        <f t="shared" si="22"/>
        <v>0</v>
      </c>
      <c r="P770">
        <f t="shared" si="23"/>
        <v>4</v>
      </c>
      <c r="Q770" s="2">
        <v>294</v>
      </c>
      <c r="R770" s="1">
        <v>45747</v>
      </c>
      <c r="S770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277.25</v>
      </c>
    </row>
    <row r="771" spans="1:19" x14ac:dyDescent="0.3">
      <c r="A771" t="s">
        <v>1036</v>
      </c>
      <c r="B771" t="s">
        <v>23</v>
      </c>
      <c r="C771" t="s">
        <v>17</v>
      </c>
      <c r="D771" s="3" t="s">
        <v>1037</v>
      </c>
      <c r="E771">
        <v>-73.958002302346003</v>
      </c>
      <c r="F771" t="s">
        <v>18</v>
      </c>
      <c r="G771">
        <v>2</v>
      </c>
      <c r="H771">
        <v>1</v>
      </c>
      <c r="I771">
        <v>1</v>
      </c>
      <c r="J771">
        <v>1</v>
      </c>
      <c r="K771">
        <v>30</v>
      </c>
      <c r="L771">
        <v>123</v>
      </c>
      <c r="M771">
        <v>6</v>
      </c>
      <c r="N771">
        <v>0.35</v>
      </c>
      <c r="O771">
        <f t="shared" ref="O771:O834" si="24">IF(F771="Private room",1,0)</f>
        <v>1</v>
      </c>
      <c r="P771">
        <f t="shared" ref="P771:P834" si="25">IF(C771="Manhattan",4,IF(C771="Brooklyn",2,0))</f>
        <v>2</v>
      </c>
      <c r="Q771" s="2">
        <v>110</v>
      </c>
      <c r="R771" s="1">
        <v>45721</v>
      </c>
      <c r="S771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86.03000000000003</v>
      </c>
    </row>
    <row r="772" spans="1:19" x14ac:dyDescent="0.3">
      <c r="A772" t="s">
        <v>1038</v>
      </c>
      <c r="B772" t="s">
        <v>196</v>
      </c>
      <c r="C772" t="s">
        <v>17</v>
      </c>
      <c r="D772" s="3" t="s">
        <v>1039</v>
      </c>
      <c r="E772">
        <v>-73.894511190707405</v>
      </c>
      <c r="F772" t="s">
        <v>21</v>
      </c>
      <c r="G772">
        <v>14</v>
      </c>
      <c r="H772">
        <v>4</v>
      </c>
      <c r="I772">
        <v>6</v>
      </c>
      <c r="J772">
        <v>7</v>
      </c>
      <c r="K772">
        <v>1</v>
      </c>
      <c r="L772">
        <v>263</v>
      </c>
      <c r="M772">
        <v>6</v>
      </c>
      <c r="N772">
        <v>0.5</v>
      </c>
      <c r="O772">
        <f t="shared" si="24"/>
        <v>0</v>
      </c>
      <c r="P772">
        <f t="shared" si="25"/>
        <v>2</v>
      </c>
      <c r="Q772" s="2">
        <v>406</v>
      </c>
      <c r="R772" s="1">
        <v>45746</v>
      </c>
      <c r="S772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482.3</v>
      </c>
    </row>
    <row r="773" spans="1:19" x14ac:dyDescent="0.3">
      <c r="A773" t="s">
        <v>1040</v>
      </c>
      <c r="B773" t="s">
        <v>23</v>
      </c>
      <c r="C773" t="s">
        <v>17</v>
      </c>
      <c r="D773">
        <v>40.715319999999998</v>
      </c>
      <c r="E773">
        <v>-73.941940000000002</v>
      </c>
      <c r="F773" t="s">
        <v>21</v>
      </c>
      <c r="G773">
        <v>3</v>
      </c>
      <c r="H773">
        <v>1</v>
      </c>
      <c r="I773">
        <v>1</v>
      </c>
      <c r="J773">
        <v>1</v>
      </c>
      <c r="K773">
        <v>30</v>
      </c>
      <c r="L773">
        <v>153</v>
      </c>
      <c r="M773">
        <v>7</v>
      </c>
      <c r="N773">
        <v>0.38</v>
      </c>
      <c r="O773">
        <f t="shared" si="24"/>
        <v>0</v>
      </c>
      <c r="P773">
        <f t="shared" si="25"/>
        <v>2</v>
      </c>
      <c r="Q773" s="2">
        <v>151</v>
      </c>
      <c r="R773" s="1">
        <v>45717</v>
      </c>
      <c r="S773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147.11000000000001</v>
      </c>
    </row>
    <row r="774" spans="1:19" x14ac:dyDescent="0.3">
      <c r="A774" t="s">
        <v>1041</v>
      </c>
      <c r="B774" t="s">
        <v>38</v>
      </c>
      <c r="C774" t="s">
        <v>20</v>
      </c>
      <c r="D774">
        <v>40.764319999999998</v>
      </c>
      <c r="E774">
        <v>-73.992329999999995</v>
      </c>
      <c r="F774" t="s">
        <v>21</v>
      </c>
      <c r="G774">
        <v>2</v>
      </c>
      <c r="H774">
        <v>1</v>
      </c>
      <c r="I774">
        <v>1</v>
      </c>
      <c r="J774">
        <v>2</v>
      </c>
      <c r="K774">
        <v>30</v>
      </c>
      <c r="L774">
        <v>166</v>
      </c>
      <c r="M774">
        <v>5</v>
      </c>
      <c r="N774">
        <v>0.46</v>
      </c>
      <c r="O774">
        <f t="shared" si="24"/>
        <v>0</v>
      </c>
      <c r="P774">
        <f t="shared" si="25"/>
        <v>4</v>
      </c>
      <c r="Q774" s="2">
        <v>127</v>
      </c>
      <c r="R774" s="1">
        <v>45729</v>
      </c>
      <c r="S774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158.07000000000002</v>
      </c>
    </row>
    <row r="775" spans="1:19" x14ac:dyDescent="0.3">
      <c r="A775" t="s">
        <v>1042</v>
      </c>
      <c r="B775" t="s">
        <v>149</v>
      </c>
      <c r="C775" t="s">
        <v>30</v>
      </c>
      <c r="D775">
        <v>40.697209999999998</v>
      </c>
      <c r="E775">
        <v>-73.849649999999997</v>
      </c>
      <c r="F775" t="s">
        <v>18</v>
      </c>
      <c r="G775">
        <v>2</v>
      </c>
      <c r="H775">
        <v>1</v>
      </c>
      <c r="I775">
        <v>1</v>
      </c>
      <c r="J775">
        <v>2</v>
      </c>
      <c r="K775">
        <v>30</v>
      </c>
      <c r="L775">
        <v>90</v>
      </c>
      <c r="M775">
        <v>4</v>
      </c>
      <c r="N775">
        <v>0.83</v>
      </c>
      <c r="O775">
        <f t="shared" si="24"/>
        <v>1</v>
      </c>
      <c r="P775">
        <f t="shared" si="25"/>
        <v>0</v>
      </c>
      <c r="Q775" s="2">
        <v>55</v>
      </c>
      <c r="R775" s="1">
        <v>45747</v>
      </c>
      <c r="S775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56.890000000000029</v>
      </c>
    </row>
    <row r="776" spans="1:19" x14ac:dyDescent="0.3">
      <c r="A776" t="s">
        <v>1043</v>
      </c>
      <c r="B776" t="s">
        <v>49</v>
      </c>
      <c r="C776" t="s">
        <v>20</v>
      </c>
      <c r="D776" s="3" t="s">
        <v>1044</v>
      </c>
      <c r="E776">
        <v>-73.982402704217094</v>
      </c>
      <c r="F776" t="s">
        <v>21</v>
      </c>
      <c r="G776">
        <v>6</v>
      </c>
      <c r="H776">
        <v>1</v>
      </c>
      <c r="I776">
        <v>2</v>
      </c>
      <c r="J776">
        <v>2</v>
      </c>
      <c r="K776">
        <v>4</v>
      </c>
      <c r="L776">
        <v>258</v>
      </c>
      <c r="M776">
        <v>39</v>
      </c>
      <c r="N776">
        <v>2.13</v>
      </c>
      <c r="O776">
        <f t="shared" si="24"/>
        <v>0</v>
      </c>
      <c r="P776">
        <f t="shared" si="25"/>
        <v>4</v>
      </c>
      <c r="Q776" s="2">
        <v>329</v>
      </c>
      <c r="R776" s="1">
        <v>45732</v>
      </c>
      <c r="S776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317.41000000000008</v>
      </c>
    </row>
    <row r="777" spans="1:19" x14ac:dyDescent="0.3">
      <c r="A777" t="s">
        <v>1045</v>
      </c>
      <c r="B777" t="s">
        <v>113</v>
      </c>
      <c r="C777" t="s">
        <v>30</v>
      </c>
      <c r="D777">
        <v>40.758830000000003</v>
      </c>
      <c r="E777">
        <v>-73.796629999999993</v>
      </c>
      <c r="F777" t="s">
        <v>18</v>
      </c>
      <c r="G777">
        <v>1</v>
      </c>
      <c r="H777">
        <v>1</v>
      </c>
      <c r="I777">
        <v>1</v>
      </c>
      <c r="J777">
        <v>1</v>
      </c>
      <c r="K777">
        <v>30</v>
      </c>
      <c r="L777">
        <v>364</v>
      </c>
      <c r="M777">
        <v>4</v>
      </c>
      <c r="N777">
        <v>0.26</v>
      </c>
      <c r="O777">
        <f t="shared" si="24"/>
        <v>1</v>
      </c>
      <c r="P777">
        <f t="shared" si="25"/>
        <v>0</v>
      </c>
      <c r="Q777" s="2">
        <v>62</v>
      </c>
      <c r="R777" s="1">
        <v>45733</v>
      </c>
      <c r="S777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26.950000000000003</v>
      </c>
    </row>
    <row r="778" spans="1:19" x14ac:dyDescent="0.3">
      <c r="A778" t="s">
        <v>1046</v>
      </c>
      <c r="B778" t="s">
        <v>68</v>
      </c>
      <c r="C778" t="s">
        <v>20</v>
      </c>
      <c r="D778" s="3" t="s">
        <v>1047</v>
      </c>
      <c r="E778">
        <v>-73.932444253883801</v>
      </c>
      <c r="F778" t="s">
        <v>18</v>
      </c>
      <c r="G778">
        <v>2</v>
      </c>
      <c r="H778">
        <v>1</v>
      </c>
      <c r="I778">
        <v>1</v>
      </c>
      <c r="J778">
        <v>1</v>
      </c>
      <c r="K778">
        <v>30</v>
      </c>
      <c r="L778">
        <v>91</v>
      </c>
      <c r="M778">
        <v>2</v>
      </c>
      <c r="N778">
        <v>0.8</v>
      </c>
      <c r="O778">
        <f t="shared" si="24"/>
        <v>1</v>
      </c>
      <c r="P778">
        <f t="shared" si="25"/>
        <v>4</v>
      </c>
      <c r="Q778" s="2">
        <v>52</v>
      </c>
      <c r="R778" s="1">
        <v>45747</v>
      </c>
      <c r="S778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117.77000000000002</v>
      </c>
    </row>
    <row r="779" spans="1:19" x14ac:dyDescent="0.3">
      <c r="A779" t="s">
        <v>1048</v>
      </c>
      <c r="B779" t="s">
        <v>42</v>
      </c>
      <c r="C779" t="s">
        <v>17</v>
      </c>
      <c r="D779">
        <v>40.730229999999999</v>
      </c>
      <c r="E779">
        <v>-73.955964499999993</v>
      </c>
      <c r="F779" t="s">
        <v>18</v>
      </c>
      <c r="G779">
        <v>2</v>
      </c>
      <c r="H779">
        <v>1</v>
      </c>
      <c r="I779">
        <v>1</v>
      </c>
      <c r="J779">
        <v>1</v>
      </c>
      <c r="K779">
        <v>30</v>
      </c>
      <c r="L779">
        <v>269</v>
      </c>
      <c r="M779">
        <v>3</v>
      </c>
      <c r="N779">
        <v>0.17</v>
      </c>
      <c r="O779">
        <f t="shared" si="24"/>
        <v>1</v>
      </c>
      <c r="P779">
        <f t="shared" si="25"/>
        <v>2</v>
      </c>
      <c r="Q779" s="2">
        <v>74</v>
      </c>
      <c r="R779" s="1">
        <v>45745</v>
      </c>
      <c r="S779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80.190000000000026</v>
      </c>
    </row>
    <row r="780" spans="1:19" x14ac:dyDescent="0.3">
      <c r="A780" t="s">
        <v>1049</v>
      </c>
      <c r="B780" t="s">
        <v>19</v>
      </c>
      <c r="C780" t="s">
        <v>20</v>
      </c>
      <c r="D780" s="3" t="s">
        <v>1050</v>
      </c>
      <c r="E780">
        <v>-73.988724491209396</v>
      </c>
      <c r="F780" t="s">
        <v>18</v>
      </c>
      <c r="G780">
        <v>4</v>
      </c>
      <c r="H780">
        <v>0</v>
      </c>
      <c r="I780">
        <v>1</v>
      </c>
      <c r="J780">
        <v>2</v>
      </c>
      <c r="K780">
        <v>1</v>
      </c>
      <c r="L780">
        <v>293</v>
      </c>
      <c r="M780">
        <v>23</v>
      </c>
      <c r="N780">
        <v>1.3</v>
      </c>
      <c r="O780">
        <f t="shared" si="24"/>
        <v>1</v>
      </c>
      <c r="P780">
        <f t="shared" si="25"/>
        <v>4</v>
      </c>
      <c r="Q780" s="2">
        <v>134</v>
      </c>
      <c r="R780" s="1">
        <v>45733</v>
      </c>
      <c r="S780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233.58000000000004</v>
      </c>
    </row>
    <row r="781" spans="1:19" x14ac:dyDescent="0.3">
      <c r="A781" t="s">
        <v>1051</v>
      </c>
      <c r="B781" t="s">
        <v>131</v>
      </c>
      <c r="C781" t="s">
        <v>20</v>
      </c>
      <c r="D781">
        <v>40.709029999999998</v>
      </c>
      <c r="E781">
        <v>-74.011920000000003</v>
      </c>
      <c r="F781" t="s">
        <v>21</v>
      </c>
      <c r="G781">
        <v>2</v>
      </c>
      <c r="H781">
        <v>1</v>
      </c>
      <c r="I781">
        <v>1</v>
      </c>
      <c r="J781">
        <v>1</v>
      </c>
      <c r="K781">
        <v>25</v>
      </c>
      <c r="L781">
        <v>210</v>
      </c>
      <c r="M781">
        <v>9</v>
      </c>
      <c r="N781">
        <v>0.51</v>
      </c>
      <c r="O781">
        <f t="shared" si="24"/>
        <v>0</v>
      </c>
      <c r="P781">
        <f t="shared" si="25"/>
        <v>4</v>
      </c>
      <c r="Q781" s="2">
        <v>261</v>
      </c>
      <c r="R781" s="1">
        <v>45737</v>
      </c>
      <c r="S781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173.06</v>
      </c>
    </row>
    <row r="782" spans="1:19" x14ac:dyDescent="0.3">
      <c r="A782" t="s">
        <v>1052</v>
      </c>
      <c r="B782" t="s">
        <v>131</v>
      </c>
      <c r="C782" t="s">
        <v>20</v>
      </c>
      <c r="D782">
        <v>40.709219099999999</v>
      </c>
      <c r="E782">
        <v>-74.013753399999999</v>
      </c>
      <c r="F782" t="s">
        <v>21</v>
      </c>
      <c r="G782">
        <v>2</v>
      </c>
      <c r="H782">
        <v>1</v>
      </c>
      <c r="I782">
        <v>0</v>
      </c>
      <c r="J782">
        <v>1</v>
      </c>
      <c r="K782">
        <v>30</v>
      </c>
      <c r="L782">
        <v>318</v>
      </c>
      <c r="M782">
        <v>5</v>
      </c>
      <c r="N782">
        <v>0.31</v>
      </c>
      <c r="O782">
        <f t="shared" si="24"/>
        <v>0</v>
      </c>
      <c r="P782">
        <f t="shared" si="25"/>
        <v>4</v>
      </c>
      <c r="Q782" s="2">
        <v>218</v>
      </c>
      <c r="R782" s="1">
        <v>45717</v>
      </c>
      <c r="S782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151.99</v>
      </c>
    </row>
    <row r="783" spans="1:19" x14ac:dyDescent="0.3">
      <c r="A783" t="s">
        <v>1053</v>
      </c>
      <c r="B783" t="s">
        <v>19</v>
      </c>
      <c r="C783" t="s">
        <v>20</v>
      </c>
      <c r="D783">
        <v>40.755399199999999</v>
      </c>
      <c r="E783">
        <v>-73.972626300000002</v>
      </c>
      <c r="F783" t="s">
        <v>21</v>
      </c>
      <c r="G783">
        <v>2</v>
      </c>
      <c r="H783">
        <v>1</v>
      </c>
      <c r="I783">
        <v>1</v>
      </c>
      <c r="J783">
        <v>1</v>
      </c>
      <c r="K783">
        <v>30</v>
      </c>
      <c r="L783">
        <v>262</v>
      </c>
      <c r="M783">
        <v>2</v>
      </c>
      <c r="N783">
        <v>0.41</v>
      </c>
      <c r="O783">
        <f t="shared" si="24"/>
        <v>0</v>
      </c>
      <c r="P783">
        <f t="shared" si="25"/>
        <v>4</v>
      </c>
      <c r="Q783" s="2">
        <v>199</v>
      </c>
      <c r="R783" s="1">
        <v>45747</v>
      </c>
      <c r="S783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154.23000000000002</v>
      </c>
    </row>
    <row r="784" spans="1:19" x14ac:dyDescent="0.3">
      <c r="A784" t="s">
        <v>1054</v>
      </c>
      <c r="B784" t="s">
        <v>23</v>
      </c>
      <c r="C784" t="s">
        <v>17</v>
      </c>
      <c r="D784" s="3" t="s">
        <v>1055</v>
      </c>
      <c r="E784">
        <v>-73.9587772578585</v>
      </c>
      <c r="F784" t="s">
        <v>21</v>
      </c>
      <c r="G784">
        <v>3</v>
      </c>
      <c r="H784">
        <v>1</v>
      </c>
      <c r="I784">
        <v>1</v>
      </c>
      <c r="J784">
        <v>2</v>
      </c>
      <c r="K784">
        <v>30</v>
      </c>
      <c r="L784">
        <v>261</v>
      </c>
      <c r="M784">
        <v>8</v>
      </c>
      <c r="N784">
        <v>0.49</v>
      </c>
      <c r="O784">
        <f t="shared" si="24"/>
        <v>0</v>
      </c>
      <c r="P784">
        <f t="shared" si="25"/>
        <v>2</v>
      </c>
      <c r="Q784" s="2">
        <v>150</v>
      </c>
      <c r="R784" s="1">
        <v>45747</v>
      </c>
      <c r="S784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142.79000000000002</v>
      </c>
    </row>
    <row r="785" spans="1:19" x14ac:dyDescent="0.3">
      <c r="A785" t="s">
        <v>1056</v>
      </c>
      <c r="B785" t="s">
        <v>67</v>
      </c>
      <c r="C785" t="s">
        <v>17</v>
      </c>
      <c r="D785">
        <v>40.705822099999999</v>
      </c>
      <c r="E785">
        <v>-73.922778399999999</v>
      </c>
      <c r="F785" t="s">
        <v>21</v>
      </c>
      <c r="G785">
        <v>4</v>
      </c>
      <c r="H785">
        <v>1.5</v>
      </c>
      <c r="I785">
        <v>2</v>
      </c>
      <c r="J785">
        <v>2</v>
      </c>
      <c r="K785">
        <v>30</v>
      </c>
      <c r="L785">
        <v>306</v>
      </c>
      <c r="M785">
        <v>1</v>
      </c>
      <c r="N785">
        <v>0.65</v>
      </c>
      <c r="O785">
        <f t="shared" si="24"/>
        <v>0</v>
      </c>
      <c r="P785">
        <f t="shared" si="25"/>
        <v>2</v>
      </c>
      <c r="Q785" s="2">
        <v>228</v>
      </c>
      <c r="R785" s="1">
        <v>45734</v>
      </c>
      <c r="S785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165.58000000000004</v>
      </c>
    </row>
    <row r="786" spans="1:19" x14ac:dyDescent="0.3">
      <c r="A786" t="s">
        <v>1057</v>
      </c>
      <c r="B786" t="s">
        <v>36</v>
      </c>
      <c r="C786" t="s">
        <v>20</v>
      </c>
      <c r="D786">
        <v>40.7708224</v>
      </c>
      <c r="E786">
        <v>-73.957562600000003</v>
      </c>
      <c r="F786" t="s">
        <v>21</v>
      </c>
      <c r="G786">
        <v>2</v>
      </c>
      <c r="H786">
        <v>1</v>
      </c>
      <c r="I786">
        <v>0</v>
      </c>
      <c r="J786">
        <v>1</v>
      </c>
      <c r="K786">
        <v>30</v>
      </c>
      <c r="L786">
        <v>244</v>
      </c>
      <c r="M786">
        <v>7</v>
      </c>
      <c r="N786">
        <v>0.53</v>
      </c>
      <c r="O786">
        <f t="shared" si="24"/>
        <v>0</v>
      </c>
      <c r="P786">
        <f t="shared" si="25"/>
        <v>4</v>
      </c>
      <c r="Q786" s="2">
        <v>118</v>
      </c>
      <c r="R786" s="1">
        <v>45717</v>
      </c>
      <c r="S786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154.95000000000002</v>
      </c>
    </row>
    <row r="787" spans="1:19" x14ac:dyDescent="0.3">
      <c r="A787" t="s">
        <v>1058</v>
      </c>
      <c r="B787" t="s">
        <v>53</v>
      </c>
      <c r="C787" t="s">
        <v>20</v>
      </c>
      <c r="D787" s="3" t="s">
        <v>1059</v>
      </c>
      <c r="E787">
        <v>-73.972668881764406</v>
      </c>
      <c r="F787" t="s">
        <v>21</v>
      </c>
      <c r="G787">
        <v>2</v>
      </c>
      <c r="H787">
        <v>1</v>
      </c>
      <c r="I787">
        <v>1</v>
      </c>
      <c r="J787">
        <v>1</v>
      </c>
      <c r="K787">
        <v>30</v>
      </c>
      <c r="L787">
        <v>240</v>
      </c>
      <c r="M787">
        <v>2</v>
      </c>
      <c r="N787">
        <v>0.14000000000000001</v>
      </c>
      <c r="O787">
        <f t="shared" si="24"/>
        <v>0</v>
      </c>
      <c r="P787">
        <f t="shared" si="25"/>
        <v>4</v>
      </c>
      <c r="Q787" s="2">
        <v>150</v>
      </c>
      <c r="R787" s="1">
        <v>45747</v>
      </c>
      <c r="S787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155.11000000000001</v>
      </c>
    </row>
    <row r="788" spans="1:19" x14ac:dyDescent="0.3">
      <c r="A788" t="s">
        <v>1060</v>
      </c>
      <c r="B788" t="s">
        <v>45</v>
      </c>
      <c r="C788" t="s">
        <v>20</v>
      </c>
      <c r="D788" s="3" t="s">
        <v>972</v>
      </c>
      <c r="E788">
        <v>-74.005361299999905</v>
      </c>
      <c r="F788" t="s">
        <v>21</v>
      </c>
      <c r="G788">
        <v>4</v>
      </c>
      <c r="H788">
        <v>1</v>
      </c>
      <c r="I788">
        <v>2</v>
      </c>
      <c r="J788">
        <v>2</v>
      </c>
      <c r="K788">
        <v>30</v>
      </c>
      <c r="L788">
        <v>244</v>
      </c>
      <c r="M788">
        <v>3</v>
      </c>
      <c r="N788">
        <v>0.17</v>
      </c>
      <c r="O788">
        <f t="shared" si="24"/>
        <v>0</v>
      </c>
      <c r="P788">
        <f t="shared" si="25"/>
        <v>4</v>
      </c>
      <c r="Q788" s="2">
        <v>433</v>
      </c>
      <c r="R788" s="1">
        <v>45730</v>
      </c>
      <c r="S788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192.91000000000003</v>
      </c>
    </row>
    <row r="789" spans="1:19" x14ac:dyDescent="0.3">
      <c r="A789" t="s">
        <v>1061</v>
      </c>
      <c r="B789" t="s">
        <v>114</v>
      </c>
      <c r="C789" t="s">
        <v>30</v>
      </c>
      <c r="D789" s="3" t="s">
        <v>1062</v>
      </c>
      <c r="E789">
        <v>-73.842908103128295</v>
      </c>
      <c r="F789" t="s">
        <v>21</v>
      </c>
      <c r="G789">
        <v>2</v>
      </c>
      <c r="H789">
        <v>1</v>
      </c>
      <c r="I789">
        <v>1</v>
      </c>
      <c r="J789">
        <v>1</v>
      </c>
      <c r="K789">
        <v>5</v>
      </c>
      <c r="L789">
        <v>65</v>
      </c>
      <c r="M789">
        <v>46</v>
      </c>
      <c r="N789">
        <v>2.4700000000000002</v>
      </c>
      <c r="O789">
        <f t="shared" si="24"/>
        <v>0</v>
      </c>
      <c r="P789">
        <f t="shared" si="25"/>
        <v>0</v>
      </c>
      <c r="Q789" s="2">
        <v>140</v>
      </c>
      <c r="R789" s="1">
        <v>45738</v>
      </c>
      <c r="S789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184.94000000000003</v>
      </c>
    </row>
    <row r="790" spans="1:19" x14ac:dyDescent="0.3">
      <c r="A790" t="s">
        <v>1063</v>
      </c>
      <c r="B790" t="s">
        <v>19</v>
      </c>
      <c r="C790" t="s">
        <v>20</v>
      </c>
      <c r="D790">
        <v>40.748100000000001</v>
      </c>
      <c r="E790">
        <v>-73.988389999999995</v>
      </c>
      <c r="F790" t="s">
        <v>21</v>
      </c>
      <c r="G790">
        <v>6</v>
      </c>
      <c r="H790">
        <v>1</v>
      </c>
      <c r="I790">
        <v>0</v>
      </c>
      <c r="J790">
        <v>3</v>
      </c>
      <c r="K790">
        <v>1</v>
      </c>
      <c r="L790">
        <v>238</v>
      </c>
      <c r="M790">
        <v>39</v>
      </c>
      <c r="N790">
        <v>2.21</v>
      </c>
      <c r="O790">
        <f t="shared" si="24"/>
        <v>0</v>
      </c>
      <c r="P790">
        <f t="shared" si="25"/>
        <v>4</v>
      </c>
      <c r="Q790" s="2">
        <v>366</v>
      </c>
      <c r="R790" s="1">
        <v>45743</v>
      </c>
      <c r="S790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328.26000000000005</v>
      </c>
    </row>
    <row r="791" spans="1:19" x14ac:dyDescent="0.3">
      <c r="A791" t="s">
        <v>1064</v>
      </c>
      <c r="B791" t="s">
        <v>19</v>
      </c>
      <c r="C791" t="s">
        <v>20</v>
      </c>
      <c r="D791" s="3" t="s">
        <v>1065</v>
      </c>
      <c r="E791">
        <v>-73.986906908057904</v>
      </c>
      <c r="F791" t="s">
        <v>18</v>
      </c>
      <c r="G791">
        <v>2</v>
      </c>
      <c r="H791">
        <v>2</v>
      </c>
      <c r="I791">
        <v>1</v>
      </c>
      <c r="J791">
        <v>1</v>
      </c>
      <c r="K791">
        <v>1</v>
      </c>
      <c r="L791">
        <v>282</v>
      </c>
      <c r="M791">
        <v>20</v>
      </c>
      <c r="N791">
        <v>1.19</v>
      </c>
      <c r="O791">
        <f t="shared" si="24"/>
        <v>1</v>
      </c>
      <c r="P791">
        <f t="shared" si="25"/>
        <v>4</v>
      </c>
      <c r="Q791" s="2">
        <v>179</v>
      </c>
      <c r="R791" s="1">
        <v>45731</v>
      </c>
      <c r="S791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218.50000000000006</v>
      </c>
    </row>
    <row r="792" spans="1:19" x14ac:dyDescent="0.3">
      <c r="A792" t="s">
        <v>1066</v>
      </c>
      <c r="B792" t="s">
        <v>19</v>
      </c>
      <c r="C792" t="s">
        <v>20</v>
      </c>
      <c r="D792">
        <v>40.748190000000001</v>
      </c>
      <c r="E792">
        <v>-73.987250000000003</v>
      </c>
      <c r="F792" t="s">
        <v>18</v>
      </c>
      <c r="G792">
        <v>8</v>
      </c>
      <c r="H792">
        <v>1</v>
      </c>
      <c r="I792">
        <v>1</v>
      </c>
      <c r="J792">
        <v>4</v>
      </c>
      <c r="K792">
        <v>1</v>
      </c>
      <c r="L792">
        <v>286</v>
      </c>
      <c r="M792">
        <v>18</v>
      </c>
      <c r="N792">
        <v>1.0900000000000001</v>
      </c>
      <c r="O792">
        <f t="shared" si="24"/>
        <v>1</v>
      </c>
      <c r="P792">
        <f t="shared" si="25"/>
        <v>4</v>
      </c>
      <c r="Q792" s="2">
        <v>328</v>
      </c>
      <c r="R792" s="1">
        <v>45724</v>
      </c>
      <c r="S792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321.00000000000006</v>
      </c>
    </row>
    <row r="793" spans="1:19" x14ac:dyDescent="0.3">
      <c r="A793" t="s">
        <v>1067</v>
      </c>
      <c r="B793" t="s">
        <v>43</v>
      </c>
      <c r="C793" t="s">
        <v>20</v>
      </c>
      <c r="D793" s="3" t="s">
        <v>1068</v>
      </c>
      <c r="E793">
        <v>-73.989087247631801</v>
      </c>
      <c r="F793" t="s">
        <v>21</v>
      </c>
      <c r="G793">
        <v>4</v>
      </c>
      <c r="H793">
        <v>1</v>
      </c>
      <c r="I793">
        <v>2</v>
      </c>
      <c r="J793">
        <v>2</v>
      </c>
      <c r="K793">
        <v>30</v>
      </c>
      <c r="L793">
        <v>216</v>
      </c>
      <c r="M793">
        <v>5</v>
      </c>
      <c r="N793">
        <v>0.43</v>
      </c>
      <c r="O793">
        <f t="shared" si="24"/>
        <v>0</v>
      </c>
      <c r="P793">
        <f t="shared" si="25"/>
        <v>4</v>
      </c>
      <c r="Q793" s="2">
        <v>165</v>
      </c>
      <c r="R793" s="1">
        <v>45730</v>
      </c>
      <c r="S793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194.03000000000003</v>
      </c>
    </row>
    <row r="794" spans="1:19" x14ac:dyDescent="0.3">
      <c r="A794" t="s">
        <v>1069</v>
      </c>
      <c r="B794" t="s">
        <v>53</v>
      </c>
      <c r="C794" t="s">
        <v>20</v>
      </c>
      <c r="D794">
        <v>40.788130000000002</v>
      </c>
      <c r="E794">
        <v>-73.972120000000004</v>
      </c>
      <c r="F794" t="s">
        <v>21</v>
      </c>
      <c r="G794">
        <v>5</v>
      </c>
      <c r="H794">
        <v>2</v>
      </c>
      <c r="I794">
        <v>2</v>
      </c>
      <c r="J794">
        <v>2</v>
      </c>
      <c r="K794">
        <v>30</v>
      </c>
      <c r="L794">
        <v>240</v>
      </c>
      <c r="M794">
        <v>7</v>
      </c>
      <c r="N794">
        <v>0.44</v>
      </c>
      <c r="O794">
        <f t="shared" si="24"/>
        <v>0</v>
      </c>
      <c r="P794">
        <f t="shared" si="25"/>
        <v>4</v>
      </c>
      <c r="Q794" s="2">
        <v>350</v>
      </c>
      <c r="R794" s="1">
        <v>45717</v>
      </c>
      <c r="S794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223.27000000000004</v>
      </c>
    </row>
    <row r="795" spans="1:19" x14ac:dyDescent="0.3">
      <c r="A795" t="s">
        <v>1070</v>
      </c>
      <c r="B795" t="s">
        <v>38</v>
      </c>
      <c r="C795" t="s">
        <v>20</v>
      </c>
      <c r="D795">
        <v>40.762929999999997</v>
      </c>
      <c r="E795">
        <v>-73.993629999999996</v>
      </c>
      <c r="F795" t="s">
        <v>18</v>
      </c>
      <c r="G795">
        <v>2</v>
      </c>
      <c r="H795">
        <v>1</v>
      </c>
      <c r="I795">
        <v>1</v>
      </c>
      <c r="J795">
        <v>1</v>
      </c>
      <c r="K795">
        <v>1</v>
      </c>
      <c r="L795">
        <v>98</v>
      </c>
      <c r="M795">
        <v>41</v>
      </c>
      <c r="N795">
        <v>2.2999999999999998</v>
      </c>
      <c r="O795">
        <f t="shared" si="24"/>
        <v>1</v>
      </c>
      <c r="P795">
        <f t="shared" si="25"/>
        <v>4</v>
      </c>
      <c r="Q795" s="2">
        <v>157</v>
      </c>
      <c r="R795" s="1">
        <v>45740</v>
      </c>
      <c r="S795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214.64000000000004</v>
      </c>
    </row>
    <row r="796" spans="1:19" x14ac:dyDescent="0.3">
      <c r="A796" t="s">
        <v>1071</v>
      </c>
      <c r="B796" t="s">
        <v>273</v>
      </c>
      <c r="C796" t="s">
        <v>30</v>
      </c>
      <c r="D796">
        <v>40.655079999999998</v>
      </c>
      <c r="E796">
        <v>-73.742000000000004</v>
      </c>
      <c r="F796" t="s">
        <v>18</v>
      </c>
      <c r="G796">
        <v>9</v>
      </c>
      <c r="H796">
        <v>2</v>
      </c>
      <c r="I796">
        <v>3</v>
      </c>
      <c r="J796">
        <v>3</v>
      </c>
      <c r="K796">
        <v>3</v>
      </c>
      <c r="L796">
        <v>247</v>
      </c>
      <c r="M796">
        <v>17</v>
      </c>
      <c r="N796">
        <v>1.1599999999999999</v>
      </c>
      <c r="O796">
        <f t="shared" si="24"/>
        <v>1</v>
      </c>
      <c r="P796">
        <f t="shared" si="25"/>
        <v>0</v>
      </c>
      <c r="Q796" s="2">
        <v>190</v>
      </c>
      <c r="R796" s="1">
        <v>45736</v>
      </c>
      <c r="S796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285.14</v>
      </c>
    </row>
    <row r="797" spans="1:19" x14ac:dyDescent="0.3">
      <c r="A797" t="s">
        <v>1072</v>
      </c>
      <c r="B797" t="s">
        <v>19</v>
      </c>
      <c r="C797" t="s">
        <v>20</v>
      </c>
      <c r="D797">
        <v>40.743960000000001</v>
      </c>
      <c r="E797">
        <v>-73.982690000000005</v>
      </c>
      <c r="F797" t="s">
        <v>21</v>
      </c>
      <c r="G797">
        <v>4</v>
      </c>
      <c r="H797">
        <v>1</v>
      </c>
      <c r="I797">
        <v>1</v>
      </c>
      <c r="J797">
        <v>1</v>
      </c>
      <c r="K797">
        <v>4</v>
      </c>
      <c r="L797">
        <v>268</v>
      </c>
      <c r="M797">
        <v>36</v>
      </c>
      <c r="N797">
        <v>2.09</v>
      </c>
      <c r="O797">
        <f t="shared" si="24"/>
        <v>0</v>
      </c>
      <c r="P797">
        <f t="shared" si="25"/>
        <v>4</v>
      </c>
      <c r="Q797" s="2">
        <v>297</v>
      </c>
      <c r="R797" s="1">
        <v>45735</v>
      </c>
      <c r="S797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279.05</v>
      </c>
    </row>
    <row r="798" spans="1:19" x14ac:dyDescent="0.3">
      <c r="A798" t="s">
        <v>1073</v>
      </c>
      <c r="B798" t="s">
        <v>95</v>
      </c>
      <c r="C798" t="s">
        <v>20</v>
      </c>
      <c r="D798" s="3" t="s">
        <v>1074</v>
      </c>
      <c r="E798">
        <v>-73.979733069390406</v>
      </c>
      <c r="F798" t="s">
        <v>21</v>
      </c>
      <c r="G798">
        <v>4</v>
      </c>
      <c r="H798">
        <v>1</v>
      </c>
      <c r="I798">
        <v>1</v>
      </c>
      <c r="J798">
        <v>2</v>
      </c>
      <c r="K798">
        <v>1</v>
      </c>
      <c r="L798">
        <v>72</v>
      </c>
      <c r="M798">
        <v>41</v>
      </c>
      <c r="N798">
        <v>2.31</v>
      </c>
      <c r="O798">
        <f t="shared" si="24"/>
        <v>0</v>
      </c>
      <c r="P798">
        <f t="shared" si="25"/>
        <v>4</v>
      </c>
      <c r="Q798" s="2">
        <v>302</v>
      </c>
      <c r="R798" s="1">
        <v>45738</v>
      </c>
      <c r="S798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296.94000000000005</v>
      </c>
    </row>
    <row r="799" spans="1:19" x14ac:dyDescent="0.3">
      <c r="A799" t="s">
        <v>1075</v>
      </c>
      <c r="B799" t="s">
        <v>28</v>
      </c>
      <c r="C799" t="s">
        <v>20</v>
      </c>
      <c r="D799">
        <v>40.810879999999997</v>
      </c>
      <c r="E799">
        <v>-73.943550000000002</v>
      </c>
      <c r="F799" t="s">
        <v>18</v>
      </c>
      <c r="G799">
        <v>2</v>
      </c>
      <c r="H799">
        <v>1</v>
      </c>
      <c r="I799">
        <v>1</v>
      </c>
      <c r="J799">
        <v>2</v>
      </c>
      <c r="K799">
        <v>1</v>
      </c>
      <c r="L799">
        <v>301</v>
      </c>
      <c r="M799">
        <v>37</v>
      </c>
      <c r="N799">
        <v>2.12</v>
      </c>
      <c r="O799">
        <f t="shared" si="24"/>
        <v>1</v>
      </c>
      <c r="P799">
        <f t="shared" si="25"/>
        <v>4</v>
      </c>
      <c r="Q799" s="2">
        <v>119</v>
      </c>
      <c r="R799" s="1">
        <v>45746</v>
      </c>
      <c r="S799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206.52000000000004</v>
      </c>
    </row>
    <row r="800" spans="1:19" x14ac:dyDescent="0.3">
      <c r="A800" t="s">
        <v>1076</v>
      </c>
      <c r="B800" t="s">
        <v>1077</v>
      </c>
      <c r="C800" t="s">
        <v>30</v>
      </c>
      <c r="D800">
        <v>40.771520000000002</v>
      </c>
      <c r="E800">
        <v>-73.733069999999998</v>
      </c>
      <c r="F800" t="s">
        <v>18</v>
      </c>
      <c r="G800">
        <v>2</v>
      </c>
      <c r="H800">
        <v>1</v>
      </c>
      <c r="I800">
        <v>1</v>
      </c>
      <c r="J800">
        <v>1</v>
      </c>
      <c r="K800">
        <v>2</v>
      </c>
      <c r="L800">
        <v>64</v>
      </c>
      <c r="M800">
        <v>36</v>
      </c>
      <c r="N800">
        <v>2.0499999999999998</v>
      </c>
      <c r="O800">
        <f t="shared" si="24"/>
        <v>1</v>
      </c>
      <c r="P800">
        <f t="shared" si="25"/>
        <v>0</v>
      </c>
      <c r="Q800" s="2">
        <v>74</v>
      </c>
      <c r="R800" s="1">
        <v>45747</v>
      </c>
      <c r="S800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151.73000000000002</v>
      </c>
    </row>
    <row r="801" spans="1:19" x14ac:dyDescent="0.3">
      <c r="A801" t="s">
        <v>1078</v>
      </c>
      <c r="B801" t="s">
        <v>113</v>
      </c>
      <c r="C801" t="s">
        <v>30</v>
      </c>
      <c r="D801" s="3" t="s">
        <v>1079</v>
      </c>
      <c r="E801">
        <v>-73.800887325946803</v>
      </c>
      <c r="F801" t="s">
        <v>21</v>
      </c>
      <c r="G801">
        <v>4</v>
      </c>
      <c r="H801">
        <v>1</v>
      </c>
      <c r="I801">
        <v>1</v>
      </c>
      <c r="J801">
        <v>2</v>
      </c>
      <c r="K801">
        <v>30</v>
      </c>
      <c r="L801">
        <v>228</v>
      </c>
      <c r="M801">
        <v>5</v>
      </c>
      <c r="N801">
        <v>0.48</v>
      </c>
      <c r="O801">
        <f t="shared" si="24"/>
        <v>0</v>
      </c>
      <c r="P801">
        <f t="shared" si="25"/>
        <v>0</v>
      </c>
      <c r="Q801" s="2">
        <v>67</v>
      </c>
      <c r="R801" s="1">
        <v>45737</v>
      </c>
      <c r="S801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132.63000000000002</v>
      </c>
    </row>
    <row r="802" spans="1:19" x14ac:dyDescent="0.3">
      <c r="A802" t="s">
        <v>1080</v>
      </c>
      <c r="B802" t="s">
        <v>53</v>
      </c>
      <c r="C802" t="s">
        <v>20</v>
      </c>
      <c r="D802">
        <v>40.785519999999998</v>
      </c>
      <c r="E802">
        <v>-73.974940000000004</v>
      </c>
      <c r="F802" t="s">
        <v>21</v>
      </c>
      <c r="G802">
        <v>12</v>
      </c>
      <c r="H802">
        <v>1</v>
      </c>
      <c r="I802">
        <v>2</v>
      </c>
      <c r="J802">
        <v>7</v>
      </c>
      <c r="K802">
        <v>30</v>
      </c>
      <c r="L802">
        <v>261</v>
      </c>
      <c r="M802">
        <v>38</v>
      </c>
      <c r="N802">
        <v>2.2799999999999998</v>
      </c>
      <c r="O802">
        <f t="shared" si="24"/>
        <v>0</v>
      </c>
      <c r="P802">
        <f t="shared" si="25"/>
        <v>4</v>
      </c>
      <c r="Q802" s="2">
        <v>389</v>
      </c>
      <c r="R802" s="1">
        <v>45738</v>
      </c>
      <c r="S802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344.07000000000005</v>
      </c>
    </row>
    <row r="803" spans="1:19" x14ac:dyDescent="0.3">
      <c r="A803" t="s">
        <v>1081</v>
      </c>
      <c r="B803" t="s">
        <v>131</v>
      </c>
      <c r="C803" t="s">
        <v>20</v>
      </c>
      <c r="D803">
        <v>40.704479999999997</v>
      </c>
      <c r="E803">
        <v>-74.006749999999997</v>
      </c>
      <c r="F803" t="s">
        <v>18</v>
      </c>
      <c r="G803">
        <v>2</v>
      </c>
      <c r="H803">
        <v>1</v>
      </c>
      <c r="I803">
        <v>1</v>
      </c>
      <c r="J803">
        <v>1</v>
      </c>
      <c r="K803">
        <v>1</v>
      </c>
      <c r="L803">
        <v>231</v>
      </c>
      <c r="M803">
        <v>55</v>
      </c>
      <c r="N803">
        <v>3.1</v>
      </c>
      <c r="O803">
        <f t="shared" si="24"/>
        <v>1</v>
      </c>
      <c r="P803">
        <f t="shared" si="25"/>
        <v>4</v>
      </c>
      <c r="Q803" s="2">
        <v>267</v>
      </c>
      <c r="R803" s="1">
        <v>45733</v>
      </c>
      <c r="S803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209.32000000000005</v>
      </c>
    </row>
    <row r="804" spans="1:19" x14ac:dyDescent="0.3">
      <c r="A804" t="s">
        <v>1082</v>
      </c>
      <c r="B804" t="s">
        <v>1077</v>
      </c>
      <c r="C804" t="s">
        <v>30</v>
      </c>
      <c r="D804">
        <v>40.772080000000003</v>
      </c>
      <c r="E804">
        <v>-73.734070000000003</v>
      </c>
      <c r="F804" t="s">
        <v>18</v>
      </c>
      <c r="G804">
        <v>2</v>
      </c>
      <c r="H804">
        <v>1</v>
      </c>
      <c r="I804">
        <v>1</v>
      </c>
      <c r="J804">
        <v>1</v>
      </c>
      <c r="K804">
        <v>2</v>
      </c>
      <c r="L804">
        <v>48</v>
      </c>
      <c r="M804">
        <v>55</v>
      </c>
      <c r="N804">
        <v>3.31</v>
      </c>
      <c r="O804">
        <f t="shared" si="24"/>
        <v>1</v>
      </c>
      <c r="P804">
        <f t="shared" si="25"/>
        <v>0</v>
      </c>
      <c r="Q804" s="2">
        <v>67</v>
      </c>
      <c r="R804" s="1">
        <v>45732</v>
      </c>
      <c r="S804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152.37000000000006</v>
      </c>
    </row>
    <row r="805" spans="1:19" x14ac:dyDescent="0.3">
      <c r="A805" t="s">
        <v>1083</v>
      </c>
      <c r="B805" t="s">
        <v>169</v>
      </c>
      <c r="C805" t="s">
        <v>31</v>
      </c>
      <c r="D805">
        <v>40.826729999999998</v>
      </c>
      <c r="E805">
        <v>-73.858999999999995</v>
      </c>
      <c r="F805" t="s">
        <v>21</v>
      </c>
      <c r="G805">
        <v>4</v>
      </c>
      <c r="H805">
        <v>1</v>
      </c>
      <c r="I805">
        <v>1</v>
      </c>
      <c r="J805">
        <v>2</v>
      </c>
      <c r="K805">
        <v>30</v>
      </c>
      <c r="L805">
        <v>262</v>
      </c>
      <c r="M805">
        <v>1</v>
      </c>
      <c r="N805">
        <v>0.54</v>
      </c>
      <c r="O805">
        <f t="shared" si="24"/>
        <v>0</v>
      </c>
      <c r="P805">
        <f t="shared" si="25"/>
        <v>0</v>
      </c>
      <c r="Q805" s="2">
        <v>86</v>
      </c>
      <c r="R805" s="1">
        <v>45724</v>
      </c>
      <c r="S805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131.27000000000004</v>
      </c>
    </row>
    <row r="806" spans="1:19" x14ac:dyDescent="0.3">
      <c r="A806" t="s">
        <v>1084</v>
      </c>
      <c r="B806" t="s">
        <v>36</v>
      </c>
      <c r="C806" t="s">
        <v>20</v>
      </c>
      <c r="D806">
        <v>40.774010099999998</v>
      </c>
      <c r="E806">
        <v>-73.950057399999906</v>
      </c>
      <c r="F806" t="s">
        <v>21</v>
      </c>
      <c r="G806">
        <v>2</v>
      </c>
      <c r="H806">
        <v>1</v>
      </c>
      <c r="I806">
        <v>0</v>
      </c>
      <c r="J806">
        <v>1</v>
      </c>
      <c r="K806">
        <v>30</v>
      </c>
      <c r="L806">
        <v>332</v>
      </c>
      <c r="M806">
        <v>7</v>
      </c>
      <c r="N806">
        <v>0.43</v>
      </c>
      <c r="O806">
        <f t="shared" si="24"/>
        <v>0</v>
      </c>
      <c r="P806">
        <f t="shared" si="25"/>
        <v>4</v>
      </c>
      <c r="Q806" s="2">
        <v>118</v>
      </c>
      <c r="R806" s="1">
        <v>45718</v>
      </c>
      <c r="S806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151.43</v>
      </c>
    </row>
    <row r="807" spans="1:19" x14ac:dyDescent="0.3">
      <c r="A807" t="s">
        <v>1085</v>
      </c>
      <c r="B807" t="s">
        <v>131</v>
      </c>
      <c r="C807" t="s">
        <v>20</v>
      </c>
      <c r="D807" s="3" t="s">
        <v>1086</v>
      </c>
      <c r="E807">
        <v>-74.0130271584528</v>
      </c>
      <c r="F807" t="s">
        <v>21</v>
      </c>
      <c r="G807">
        <v>2</v>
      </c>
      <c r="H807">
        <v>1</v>
      </c>
      <c r="I807">
        <v>1</v>
      </c>
      <c r="J807">
        <v>1</v>
      </c>
      <c r="K807">
        <v>3</v>
      </c>
      <c r="L807">
        <v>82</v>
      </c>
      <c r="M807">
        <v>5</v>
      </c>
      <c r="N807">
        <v>0.42</v>
      </c>
      <c r="O807">
        <f t="shared" si="24"/>
        <v>0</v>
      </c>
      <c r="P807">
        <f t="shared" si="25"/>
        <v>4</v>
      </c>
      <c r="Q807" s="2">
        <v>203</v>
      </c>
      <c r="R807" s="1">
        <v>45738</v>
      </c>
      <c r="S807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251.88</v>
      </c>
    </row>
    <row r="808" spans="1:19" x14ac:dyDescent="0.3">
      <c r="A808" t="s">
        <v>1087</v>
      </c>
      <c r="B808" t="s">
        <v>50</v>
      </c>
      <c r="C808" t="s">
        <v>20</v>
      </c>
      <c r="D808">
        <v>40.7399737</v>
      </c>
      <c r="E808">
        <v>-74.003553799999906</v>
      </c>
      <c r="F808" t="s">
        <v>21</v>
      </c>
      <c r="G808">
        <v>2</v>
      </c>
      <c r="H808">
        <v>1</v>
      </c>
      <c r="I808">
        <v>0</v>
      </c>
      <c r="J808">
        <v>1</v>
      </c>
      <c r="K808">
        <v>30</v>
      </c>
      <c r="L808">
        <v>321</v>
      </c>
      <c r="M808">
        <v>2</v>
      </c>
      <c r="N808">
        <v>0.14000000000000001</v>
      </c>
      <c r="O808">
        <f t="shared" si="24"/>
        <v>0</v>
      </c>
      <c r="P808">
        <f t="shared" si="25"/>
        <v>4</v>
      </c>
      <c r="Q808" s="2">
        <v>120</v>
      </c>
      <c r="R808" s="1">
        <v>45731</v>
      </c>
      <c r="S808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151.87</v>
      </c>
    </row>
    <row r="809" spans="1:19" x14ac:dyDescent="0.3">
      <c r="A809" t="s">
        <v>1088</v>
      </c>
      <c r="B809" t="s">
        <v>19</v>
      </c>
      <c r="C809" t="s">
        <v>20</v>
      </c>
      <c r="D809">
        <v>40.746339999999996</v>
      </c>
      <c r="E809">
        <v>-73.986630000000005</v>
      </c>
      <c r="F809" t="s">
        <v>18</v>
      </c>
      <c r="G809">
        <v>4</v>
      </c>
      <c r="H809">
        <v>1</v>
      </c>
      <c r="I809">
        <v>1</v>
      </c>
      <c r="J809">
        <v>3</v>
      </c>
      <c r="K809">
        <v>1</v>
      </c>
      <c r="L809">
        <v>275</v>
      </c>
      <c r="M809">
        <v>14</v>
      </c>
      <c r="N809">
        <v>1.1299999999999999</v>
      </c>
      <c r="O809">
        <f t="shared" si="24"/>
        <v>1</v>
      </c>
      <c r="P809">
        <f t="shared" si="25"/>
        <v>4</v>
      </c>
      <c r="Q809" s="2">
        <v>191</v>
      </c>
      <c r="R809" s="1">
        <v>45721</v>
      </c>
      <c r="S809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245.52000000000004</v>
      </c>
    </row>
    <row r="810" spans="1:19" x14ac:dyDescent="0.3">
      <c r="A810" t="s">
        <v>1089</v>
      </c>
      <c r="B810" t="s">
        <v>273</v>
      </c>
      <c r="C810" t="s">
        <v>30</v>
      </c>
      <c r="D810">
        <v>40.662363399999997</v>
      </c>
      <c r="E810">
        <v>-73.734856699999995</v>
      </c>
      <c r="F810" t="s">
        <v>18</v>
      </c>
      <c r="G810">
        <v>3</v>
      </c>
      <c r="H810">
        <v>1</v>
      </c>
      <c r="I810">
        <v>1</v>
      </c>
      <c r="J810">
        <v>1</v>
      </c>
      <c r="K810">
        <v>3</v>
      </c>
      <c r="L810">
        <v>270</v>
      </c>
      <c r="M810">
        <v>24</v>
      </c>
      <c r="N810">
        <v>1.84</v>
      </c>
      <c r="O810">
        <f t="shared" si="24"/>
        <v>1</v>
      </c>
      <c r="P810">
        <f t="shared" si="25"/>
        <v>0</v>
      </c>
      <c r="Q810" s="2">
        <v>99</v>
      </c>
      <c r="R810" s="1">
        <v>45738</v>
      </c>
      <c r="S810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159.12</v>
      </c>
    </row>
    <row r="811" spans="1:19" x14ac:dyDescent="0.3">
      <c r="A811" t="s">
        <v>1090</v>
      </c>
      <c r="B811" t="s">
        <v>53</v>
      </c>
      <c r="C811" t="s">
        <v>20</v>
      </c>
      <c r="D811">
        <v>40.7834267</v>
      </c>
      <c r="E811">
        <v>-73.978495199999998</v>
      </c>
      <c r="F811" t="s">
        <v>18</v>
      </c>
      <c r="G811">
        <v>4</v>
      </c>
      <c r="H811">
        <v>1</v>
      </c>
      <c r="I811">
        <v>1</v>
      </c>
      <c r="J811">
        <v>2</v>
      </c>
      <c r="K811">
        <v>1</v>
      </c>
      <c r="L811">
        <v>111</v>
      </c>
      <c r="M811">
        <v>31</v>
      </c>
      <c r="N811">
        <v>2.09</v>
      </c>
      <c r="O811">
        <f t="shared" si="24"/>
        <v>1</v>
      </c>
      <c r="P811">
        <f t="shared" si="25"/>
        <v>4</v>
      </c>
      <c r="Q811" s="2">
        <v>345</v>
      </c>
      <c r="R811" s="1">
        <v>45742</v>
      </c>
      <c r="S811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252.08000000000004</v>
      </c>
    </row>
    <row r="812" spans="1:19" x14ac:dyDescent="0.3">
      <c r="A812" t="s">
        <v>1091</v>
      </c>
      <c r="B812" t="s">
        <v>72</v>
      </c>
      <c r="C812" t="s">
        <v>20</v>
      </c>
      <c r="D812">
        <v>40.734119999999997</v>
      </c>
      <c r="E812">
        <v>-73.980689999999996</v>
      </c>
      <c r="F812" t="s">
        <v>21</v>
      </c>
      <c r="G812">
        <v>3</v>
      </c>
      <c r="H812">
        <v>1</v>
      </c>
      <c r="I812">
        <v>1</v>
      </c>
      <c r="J812">
        <v>1</v>
      </c>
      <c r="K812">
        <v>7</v>
      </c>
      <c r="L812">
        <v>189</v>
      </c>
      <c r="M812">
        <v>23</v>
      </c>
      <c r="N812">
        <v>1.57</v>
      </c>
      <c r="O812">
        <f t="shared" si="24"/>
        <v>0</v>
      </c>
      <c r="P812">
        <f t="shared" si="25"/>
        <v>4</v>
      </c>
      <c r="Q812" s="2">
        <v>279</v>
      </c>
      <c r="R812" s="1">
        <v>45725</v>
      </c>
      <c r="S812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253.18</v>
      </c>
    </row>
    <row r="813" spans="1:19" x14ac:dyDescent="0.3">
      <c r="A813" t="s">
        <v>1092</v>
      </c>
      <c r="B813" t="s">
        <v>36</v>
      </c>
      <c r="C813" t="s">
        <v>20</v>
      </c>
      <c r="D813">
        <v>40.781170000000003</v>
      </c>
      <c r="E813">
        <v>-73.946100000000001</v>
      </c>
      <c r="F813" t="s">
        <v>21</v>
      </c>
      <c r="G813">
        <v>5</v>
      </c>
      <c r="H813">
        <v>1</v>
      </c>
      <c r="I813">
        <v>2</v>
      </c>
      <c r="J813">
        <v>3</v>
      </c>
      <c r="K813">
        <v>30</v>
      </c>
      <c r="L813">
        <v>254</v>
      </c>
      <c r="M813">
        <v>3</v>
      </c>
      <c r="N813">
        <v>0.21</v>
      </c>
      <c r="O813">
        <f t="shared" si="24"/>
        <v>0</v>
      </c>
      <c r="P813">
        <f t="shared" si="25"/>
        <v>4</v>
      </c>
      <c r="Q813" s="2">
        <v>131</v>
      </c>
      <c r="R813" s="1">
        <v>45742</v>
      </c>
      <c r="S813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211.49</v>
      </c>
    </row>
    <row r="814" spans="1:19" x14ac:dyDescent="0.3">
      <c r="A814" t="s">
        <v>1093</v>
      </c>
      <c r="B814" t="s">
        <v>68</v>
      </c>
      <c r="C814" t="s">
        <v>20</v>
      </c>
      <c r="D814">
        <v>40.848239</v>
      </c>
      <c r="E814">
        <v>-73.935886499999995</v>
      </c>
      <c r="F814" t="s">
        <v>21</v>
      </c>
      <c r="G814">
        <v>4</v>
      </c>
      <c r="H814">
        <v>1</v>
      </c>
      <c r="I814">
        <v>2</v>
      </c>
      <c r="J814">
        <v>2</v>
      </c>
      <c r="K814">
        <v>30</v>
      </c>
      <c r="L814">
        <v>86</v>
      </c>
      <c r="M814">
        <v>4</v>
      </c>
      <c r="N814">
        <v>0.69</v>
      </c>
      <c r="O814">
        <f t="shared" si="24"/>
        <v>0</v>
      </c>
      <c r="P814">
        <f t="shared" si="25"/>
        <v>4</v>
      </c>
      <c r="Q814" s="2">
        <v>120</v>
      </c>
      <c r="R814" s="1">
        <v>45744</v>
      </c>
      <c r="S814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199.23000000000002</v>
      </c>
    </row>
    <row r="815" spans="1:19" x14ac:dyDescent="0.3">
      <c r="A815" t="s">
        <v>1094</v>
      </c>
      <c r="B815" t="s">
        <v>36</v>
      </c>
      <c r="C815" t="s">
        <v>20</v>
      </c>
      <c r="D815" s="3" t="s">
        <v>1095</v>
      </c>
      <c r="E815">
        <v>-73.946240004615703</v>
      </c>
      <c r="F815" t="s">
        <v>21</v>
      </c>
      <c r="G815">
        <v>4</v>
      </c>
      <c r="H815">
        <v>1</v>
      </c>
      <c r="I815">
        <v>2</v>
      </c>
      <c r="J815">
        <v>3</v>
      </c>
      <c r="K815">
        <v>30</v>
      </c>
      <c r="L815">
        <v>364</v>
      </c>
      <c r="M815">
        <v>3</v>
      </c>
      <c r="N815">
        <v>0.21</v>
      </c>
      <c r="O815">
        <f t="shared" si="24"/>
        <v>0</v>
      </c>
      <c r="P815">
        <f t="shared" si="25"/>
        <v>4</v>
      </c>
      <c r="Q815" s="2">
        <v>137</v>
      </c>
      <c r="R815" s="1">
        <v>45747</v>
      </c>
      <c r="S815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188.11</v>
      </c>
    </row>
    <row r="816" spans="1:19" x14ac:dyDescent="0.3">
      <c r="A816" t="s">
        <v>1096</v>
      </c>
      <c r="B816" t="s">
        <v>36</v>
      </c>
      <c r="C816" t="s">
        <v>20</v>
      </c>
      <c r="D816">
        <v>40.7708224</v>
      </c>
      <c r="E816">
        <v>-73.957562600000003</v>
      </c>
      <c r="F816" t="s">
        <v>21</v>
      </c>
      <c r="G816">
        <v>2</v>
      </c>
      <c r="H816">
        <v>1</v>
      </c>
      <c r="I816">
        <v>0</v>
      </c>
      <c r="J816">
        <v>1</v>
      </c>
      <c r="K816">
        <v>30</v>
      </c>
      <c r="L816">
        <v>266</v>
      </c>
      <c r="M816">
        <v>3</v>
      </c>
      <c r="N816">
        <v>0.26</v>
      </c>
      <c r="O816">
        <f t="shared" si="24"/>
        <v>0</v>
      </c>
      <c r="P816">
        <f t="shared" si="25"/>
        <v>4</v>
      </c>
      <c r="Q816" s="2">
        <v>113</v>
      </c>
      <c r="R816" s="1">
        <v>45729</v>
      </c>
      <c r="S816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154.07000000000002</v>
      </c>
    </row>
    <row r="817" spans="1:19" x14ac:dyDescent="0.3">
      <c r="A817" t="s">
        <v>1097</v>
      </c>
      <c r="B817" t="s">
        <v>61</v>
      </c>
      <c r="C817" t="s">
        <v>30</v>
      </c>
      <c r="D817">
        <v>40.765999999999998</v>
      </c>
      <c r="E817">
        <v>-73.926580000000001</v>
      </c>
      <c r="F817" t="s">
        <v>18</v>
      </c>
      <c r="G817">
        <v>1</v>
      </c>
      <c r="H817">
        <v>1</v>
      </c>
      <c r="I817">
        <v>1</v>
      </c>
      <c r="J817">
        <v>1</v>
      </c>
      <c r="K817">
        <v>30</v>
      </c>
      <c r="L817">
        <v>210</v>
      </c>
      <c r="M817">
        <v>4</v>
      </c>
      <c r="N817">
        <v>0.43</v>
      </c>
      <c r="O817">
        <f t="shared" si="24"/>
        <v>1</v>
      </c>
      <c r="P817">
        <f t="shared" si="25"/>
        <v>0</v>
      </c>
      <c r="Q817" s="2">
        <v>73</v>
      </c>
      <c r="R817" s="1">
        <v>45726</v>
      </c>
      <c r="S817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33.11</v>
      </c>
    </row>
    <row r="818" spans="1:19" x14ac:dyDescent="0.3">
      <c r="A818" t="s">
        <v>1098</v>
      </c>
      <c r="B818" t="s">
        <v>101</v>
      </c>
      <c r="C818" t="s">
        <v>30</v>
      </c>
      <c r="D818">
        <v>40.761830000000003</v>
      </c>
      <c r="E818">
        <v>-73.880120000000005</v>
      </c>
      <c r="F818" t="s">
        <v>18</v>
      </c>
      <c r="G818">
        <v>2</v>
      </c>
      <c r="H818">
        <v>1</v>
      </c>
      <c r="I818">
        <v>1</v>
      </c>
      <c r="J818">
        <v>1</v>
      </c>
      <c r="K818">
        <v>2</v>
      </c>
      <c r="L818">
        <v>217</v>
      </c>
      <c r="M818">
        <v>54</v>
      </c>
      <c r="N818">
        <v>3.79</v>
      </c>
      <c r="O818">
        <f t="shared" si="24"/>
        <v>1</v>
      </c>
      <c r="P818">
        <f t="shared" si="25"/>
        <v>0</v>
      </c>
      <c r="Q818" s="2">
        <v>85</v>
      </c>
      <c r="R818" s="1">
        <v>45732</v>
      </c>
      <c r="S818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145.61000000000001</v>
      </c>
    </row>
    <row r="819" spans="1:19" x14ac:dyDescent="0.3">
      <c r="A819" t="s">
        <v>1099</v>
      </c>
      <c r="B819" t="s">
        <v>19</v>
      </c>
      <c r="C819" t="s">
        <v>20</v>
      </c>
      <c r="D819">
        <v>40.747197900000003</v>
      </c>
      <c r="E819">
        <v>-73.987819900000005</v>
      </c>
      <c r="F819" t="s">
        <v>18</v>
      </c>
      <c r="G819">
        <v>8</v>
      </c>
      <c r="H819">
        <v>1</v>
      </c>
      <c r="I819">
        <v>1</v>
      </c>
      <c r="J819">
        <v>4</v>
      </c>
      <c r="K819">
        <v>1</v>
      </c>
      <c r="L819">
        <v>269</v>
      </c>
      <c r="M819">
        <v>35</v>
      </c>
      <c r="N819">
        <v>2.35</v>
      </c>
      <c r="O819">
        <f t="shared" si="24"/>
        <v>1</v>
      </c>
      <c r="P819">
        <f t="shared" si="25"/>
        <v>4</v>
      </c>
      <c r="Q819" s="2">
        <v>430</v>
      </c>
      <c r="R819" s="1">
        <v>45739</v>
      </c>
      <c r="S819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321.68000000000006</v>
      </c>
    </row>
    <row r="820" spans="1:19" x14ac:dyDescent="0.3">
      <c r="A820" t="s">
        <v>1100</v>
      </c>
      <c r="B820" t="s">
        <v>41</v>
      </c>
      <c r="C820" t="s">
        <v>20</v>
      </c>
      <c r="D820" s="3" t="s">
        <v>1101</v>
      </c>
      <c r="E820">
        <v>-73.980062235727104</v>
      </c>
      <c r="F820" t="s">
        <v>21</v>
      </c>
      <c r="G820">
        <v>2</v>
      </c>
      <c r="H820">
        <v>1</v>
      </c>
      <c r="I820">
        <v>1</v>
      </c>
      <c r="J820">
        <v>1</v>
      </c>
      <c r="K820">
        <v>30</v>
      </c>
      <c r="L820">
        <v>152</v>
      </c>
      <c r="M820">
        <v>4</v>
      </c>
      <c r="N820">
        <v>0.3</v>
      </c>
      <c r="O820">
        <f t="shared" si="24"/>
        <v>0</v>
      </c>
      <c r="P820">
        <f t="shared" si="25"/>
        <v>4</v>
      </c>
      <c r="Q820" s="2">
        <v>170</v>
      </c>
      <c r="R820" s="1">
        <v>45738</v>
      </c>
      <c r="S820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158.63000000000002</v>
      </c>
    </row>
    <row r="821" spans="1:19" x14ac:dyDescent="0.3">
      <c r="A821" t="s">
        <v>1103</v>
      </c>
      <c r="B821" t="s">
        <v>28</v>
      </c>
      <c r="C821" t="s">
        <v>20</v>
      </c>
      <c r="D821" s="3" t="s">
        <v>1104</v>
      </c>
      <c r="E821">
        <v>-73.940113408446905</v>
      </c>
      <c r="F821" t="s">
        <v>21</v>
      </c>
      <c r="G821">
        <v>4</v>
      </c>
      <c r="H821">
        <v>1</v>
      </c>
      <c r="I821">
        <v>2</v>
      </c>
      <c r="J821">
        <v>2</v>
      </c>
      <c r="K821">
        <v>2</v>
      </c>
      <c r="L821">
        <v>303</v>
      </c>
      <c r="M821">
        <v>30</v>
      </c>
      <c r="N821">
        <v>2.19</v>
      </c>
      <c r="O821">
        <f t="shared" si="24"/>
        <v>0</v>
      </c>
      <c r="P821">
        <f t="shared" si="25"/>
        <v>4</v>
      </c>
      <c r="Q821" s="2">
        <v>244</v>
      </c>
      <c r="R821" s="1">
        <v>45746</v>
      </c>
      <c r="S821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284.35000000000002</v>
      </c>
    </row>
    <row r="822" spans="1:19" x14ac:dyDescent="0.3">
      <c r="A822" t="s">
        <v>1105</v>
      </c>
      <c r="B822" t="s">
        <v>53</v>
      </c>
      <c r="C822" t="s">
        <v>20</v>
      </c>
      <c r="D822">
        <v>40.7926</v>
      </c>
      <c r="E822">
        <v>-73.974909999999994</v>
      </c>
      <c r="F822" t="s">
        <v>21</v>
      </c>
      <c r="G822">
        <v>1</v>
      </c>
      <c r="H822">
        <v>1</v>
      </c>
      <c r="I822">
        <v>0</v>
      </c>
      <c r="J822">
        <v>1</v>
      </c>
      <c r="K822">
        <v>30</v>
      </c>
      <c r="L822">
        <v>185</v>
      </c>
      <c r="M822">
        <v>7</v>
      </c>
      <c r="N822">
        <v>0.49</v>
      </c>
      <c r="O822">
        <f t="shared" si="24"/>
        <v>0</v>
      </c>
      <c r="P822">
        <f t="shared" si="25"/>
        <v>4</v>
      </c>
      <c r="Q822" s="2">
        <v>78</v>
      </c>
      <c r="R822" s="1">
        <v>45746</v>
      </c>
      <c r="S822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138.32999999999998</v>
      </c>
    </row>
    <row r="823" spans="1:19" x14ac:dyDescent="0.3">
      <c r="A823" t="s">
        <v>1106</v>
      </c>
      <c r="B823" t="s">
        <v>43</v>
      </c>
      <c r="C823" t="s">
        <v>20</v>
      </c>
      <c r="D823">
        <v>40.719765000000002</v>
      </c>
      <c r="E823">
        <v>-73.988101999999998</v>
      </c>
      <c r="F823" t="s">
        <v>18</v>
      </c>
      <c r="G823">
        <v>4</v>
      </c>
      <c r="H823">
        <v>1</v>
      </c>
      <c r="I823">
        <v>1</v>
      </c>
      <c r="J823">
        <v>2</v>
      </c>
      <c r="K823">
        <v>1</v>
      </c>
      <c r="L823">
        <v>114</v>
      </c>
      <c r="M823">
        <v>7</v>
      </c>
      <c r="N823">
        <v>0.51</v>
      </c>
      <c r="O823">
        <f t="shared" si="24"/>
        <v>1</v>
      </c>
      <c r="P823">
        <f t="shared" si="25"/>
        <v>4</v>
      </c>
      <c r="Q823" s="2">
        <v>358</v>
      </c>
      <c r="R823" s="1">
        <v>45718</v>
      </c>
      <c r="S823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251.96000000000004</v>
      </c>
    </row>
    <row r="824" spans="1:19" x14ac:dyDescent="0.3">
      <c r="A824" t="s">
        <v>1107</v>
      </c>
      <c r="B824" t="s">
        <v>43</v>
      </c>
      <c r="C824" t="s">
        <v>20</v>
      </c>
      <c r="D824">
        <v>40.719765000000002</v>
      </c>
      <c r="E824">
        <v>-73.988101999999998</v>
      </c>
      <c r="F824" t="s">
        <v>18</v>
      </c>
      <c r="G824">
        <v>2</v>
      </c>
      <c r="H824">
        <v>1</v>
      </c>
      <c r="I824">
        <v>1</v>
      </c>
      <c r="J824">
        <v>1</v>
      </c>
      <c r="K824">
        <v>1</v>
      </c>
      <c r="L824">
        <v>114</v>
      </c>
      <c r="M824">
        <v>2</v>
      </c>
      <c r="N824">
        <v>0.39</v>
      </c>
      <c r="O824">
        <f t="shared" si="24"/>
        <v>1</v>
      </c>
      <c r="P824">
        <f t="shared" si="25"/>
        <v>4</v>
      </c>
      <c r="Q824" s="2">
        <v>385</v>
      </c>
      <c r="R824" s="1">
        <v>45736</v>
      </c>
      <c r="S824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214.00000000000006</v>
      </c>
    </row>
    <row r="825" spans="1:19" x14ac:dyDescent="0.3">
      <c r="A825" t="s">
        <v>1108</v>
      </c>
      <c r="B825" t="s">
        <v>45</v>
      </c>
      <c r="C825" t="s">
        <v>20</v>
      </c>
      <c r="D825" s="3" t="s">
        <v>1109</v>
      </c>
      <c r="E825">
        <v>-73.998430417020998</v>
      </c>
      <c r="F825" t="s">
        <v>21</v>
      </c>
      <c r="G825">
        <v>2</v>
      </c>
      <c r="H825">
        <v>1</v>
      </c>
      <c r="I825">
        <v>0</v>
      </c>
      <c r="J825">
        <v>1</v>
      </c>
      <c r="K825">
        <v>30</v>
      </c>
      <c r="L825">
        <v>335</v>
      </c>
      <c r="M825">
        <v>3</v>
      </c>
      <c r="N825">
        <v>0.23</v>
      </c>
      <c r="O825">
        <f t="shared" si="24"/>
        <v>0</v>
      </c>
      <c r="P825">
        <f t="shared" si="25"/>
        <v>4</v>
      </c>
      <c r="Q825" s="2">
        <v>249</v>
      </c>
      <c r="R825" s="1">
        <v>45747</v>
      </c>
      <c r="S825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151.31</v>
      </c>
    </row>
    <row r="826" spans="1:19" x14ac:dyDescent="0.3">
      <c r="A826" t="s">
        <v>1110</v>
      </c>
      <c r="B826" t="s">
        <v>19</v>
      </c>
      <c r="C826" t="s">
        <v>20</v>
      </c>
      <c r="D826" s="3" t="s">
        <v>1111</v>
      </c>
      <c r="E826">
        <v>-73.987378314113698</v>
      </c>
      <c r="F826" t="s">
        <v>21</v>
      </c>
      <c r="G826">
        <v>5</v>
      </c>
      <c r="H826">
        <v>1</v>
      </c>
      <c r="I826">
        <v>0</v>
      </c>
      <c r="J826">
        <v>3</v>
      </c>
      <c r="K826">
        <v>1</v>
      </c>
      <c r="L826">
        <v>129</v>
      </c>
      <c r="M826">
        <v>9</v>
      </c>
      <c r="N826">
        <v>0.8</v>
      </c>
      <c r="O826">
        <f t="shared" si="24"/>
        <v>0</v>
      </c>
      <c r="P826">
        <f t="shared" si="25"/>
        <v>4</v>
      </c>
      <c r="Q826" s="2">
        <v>290</v>
      </c>
      <c r="R826" s="1">
        <v>45735</v>
      </c>
      <c r="S826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313.64</v>
      </c>
    </row>
    <row r="827" spans="1:19" x14ac:dyDescent="0.3">
      <c r="A827" t="s">
        <v>1112</v>
      </c>
      <c r="B827" t="s">
        <v>68</v>
      </c>
      <c r="C827" t="s">
        <v>20</v>
      </c>
      <c r="D827">
        <v>40.854410000000001</v>
      </c>
      <c r="E827">
        <v>-73.930480000000003</v>
      </c>
      <c r="F827" t="s">
        <v>21</v>
      </c>
      <c r="G827">
        <v>3</v>
      </c>
      <c r="H827">
        <v>1</v>
      </c>
      <c r="I827">
        <v>2</v>
      </c>
      <c r="J827">
        <v>2</v>
      </c>
      <c r="K827">
        <v>30</v>
      </c>
      <c r="L827">
        <v>155</v>
      </c>
      <c r="M827">
        <v>5</v>
      </c>
      <c r="N827">
        <v>0.46</v>
      </c>
      <c r="O827">
        <f t="shared" si="24"/>
        <v>0</v>
      </c>
      <c r="P827">
        <f t="shared" si="25"/>
        <v>4</v>
      </c>
      <c r="Q827" s="2">
        <v>90</v>
      </c>
      <c r="R827" s="1">
        <v>45745</v>
      </c>
      <c r="S827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177.49</v>
      </c>
    </row>
    <row r="828" spans="1:19" x14ac:dyDescent="0.3">
      <c r="A828" t="s">
        <v>1113</v>
      </c>
      <c r="B828" t="s">
        <v>59</v>
      </c>
      <c r="C828" t="s">
        <v>17</v>
      </c>
      <c r="D828">
        <v>40.685540000000003</v>
      </c>
      <c r="E828">
        <v>-73.966669999999993</v>
      </c>
      <c r="F828" t="s">
        <v>21</v>
      </c>
      <c r="G828">
        <v>2</v>
      </c>
      <c r="H828">
        <v>1</v>
      </c>
      <c r="I828">
        <v>1</v>
      </c>
      <c r="J828">
        <v>2</v>
      </c>
      <c r="K828">
        <v>30</v>
      </c>
      <c r="L828">
        <v>80</v>
      </c>
      <c r="M828">
        <v>58</v>
      </c>
      <c r="N828">
        <v>3.91</v>
      </c>
      <c r="O828">
        <f t="shared" si="24"/>
        <v>0</v>
      </c>
      <c r="P828">
        <f t="shared" si="25"/>
        <v>2</v>
      </c>
      <c r="Q828" s="2">
        <v>181</v>
      </c>
      <c r="R828" s="1">
        <v>45739</v>
      </c>
      <c r="S828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131.05000000000001</v>
      </c>
    </row>
    <row r="829" spans="1:19" x14ac:dyDescent="0.3">
      <c r="A829" t="s">
        <v>1114</v>
      </c>
      <c r="B829" t="s">
        <v>1077</v>
      </c>
      <c r="C829" t="s">
        <v>30</v>
      </c>
      <c r="D829">
        <v>40.772010000000002</v>
      </c>
      <c r="E829">
        <v>-73.734290000000001</v>
      </c>
      <c r="F829" t="s">
        <v>18</v>
      </c>
      <c r="G829">
        <v>2</v>
      </c>
      <c r="H829">
        <v>1</v>
      </c>
      <c r="I829">
        <v>1</v>
      </c>
      <c r="J829">
        <v>1</v>
      </c>
      <c r="K829">
        <v>2</v>
      </c>
      <c r="L829">
        <v>81</v>
      </c>
      <c r="M829">
        <v>30</v>
      </c>
      <c r="N829">
        <v>1.98</v>
      </c>
      <c r="O829">
        <f t="shared" si="24"/>
        <v>1</v>
      </c>
      <c r="P829">
        <f t="shared" si="25"/>
        <v>0</v>
      </c>
      <c r="Q829" s="2">
        <v>76</v>
      </c>
      <c r="R829" s="1">
        <v>45747</v>
      </c>
      <c r="S829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151.05000000000001</v>
      </c>
    </row>
    <row r="830" spans="1:19" x14ac:dyDescent="0.3">
      <c r="A830" t="s">
        <v>1115</v>
      </c>
      <c r="B830" t="s">
        <v>78</v>
      </c>
      <c r="C830" t="s">
        <v>20</v>
      </c>
      <c r="D830">
        <v>40.760210000000001</v>
      </c>
      <c r="E830">
        <v>-73.987610000000004</v>
      </c>
      <c r="F830" t="s">
        <v>18</v>
      </c>
      <c r="G830">
        <v>2</v>
      </c>
      <c r="H830">
        <v>1</v>
      </c>
      <c r="I830">
        <v>0</v>
      </c>
      <c r="J830">
        <v>1</v>
      </c>
      <c r="K830">
        <v>1</v>
      </c>
      <c r="L830">
        <v>275</v>
      </c>
      <c r="M830">
        <v>160</v>
      </c>
      <c r="N830">
        <v>10.74</v>
      </c>
      <c r="O830">
        <f t="shared" si="24"/>
        <v>1</v>
      </c>
      <c r="P830">
        <f t="shared" si="25"/>
        <v>4</v>
      </c>
      <c r="Q830" s="2">
        <v>316</v>
      </c>
      <c r="R830" s="1">
        <v>45747</v>
      </c>
      <c r="S830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207.56000000000006</v>
      </c>
    </row>
    <row r="831" spans="1:19" x14ac:dyDescent="0.3">
      <c r="A831" t="s">
        <v>1116</v>
      </c>
      <c r="B831" t="s">
        <v>131</v>
      </c>
      <c r="C831" t="s">
        <v>20</v>
      </c>
      <c r="D831">
        <v>40.712049999999998</v>
      </c>
      <c r="E831">
        <v>-74.011390000000006</v>
      </c>
      <c r="F831" t="s">
        <v>18</v>
      </c>
      <c r="G831">
        <v>2</v>
      </c>
      <c r="H831">
        <v>1</v>
      </c>
      <c r="I831">
        <v>1</v>
      </c>
      <c r="J831">
        <v>1</v>
      </c>
      <c r="K831">
        <v>1</v>
      </c>
      <c r="L831">
        <v>245</v>
      </c>
      <c r="M831">
        <v>201</v>
      </c>
      <c r="N831">
        <v>13.11</v>
      </c>
      <c r="O831">
        <f t="shared" si="24"/>
        <v>1</v>
      </c>
      <c r="P831">
        <f t="shared" si="25"/>
        <v>4</v>
      </c>
      <c r="Q831" s="2">
        <v>355</v>
      </c>
      <c r="R831" s="1">
        <v>45746</v>
      </c>
      <c r="S831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208.76000000000005</v>
      </c>
    </row>
    <row r="832" spans="1:19" x14ac:dyDescent="0.3">
      <c r="A832" t="s">
        <v>1102</v>
      </c>
      <c r="B832" t="s">
        <v>45</v>
      </c>
      <c r="C832" t="s">
        <v>20</v>
      </c>
      <c r="D832">
        <v>40.741016799999997</v>
      </c>
      <c r="E832">
        <v>-73.9965239</v>
      </c>
      <c r="F832" t="s">
        <v>21</v>
      </c>
      <c r="G832">
        <v>2</v>
      </c>
      <c r="H832">
        <v>1</v>
      </c>
      <c r="I832">
        <v>0</v>
      </c>
      <c r="J832">
        <v>1</v>
      </c>
      <c r="K832">
        <v>30</v>
      </c>
      <c r="L832">
        <v>228</v>
      </c>
      <c r="M832">
        <v>6</v>
      </c>
      <c r="N832">
        <v>0.48</v>
      </c>
      <c r="O832">
        <f t="shared" si="24"/>
        <v>0</v>
      </c>
      <c r="P832">
        <f t="shared" si="25"/>
        <v>4</v>
      </c>
      <c r="Q832" s="2">
        <v>203</v>
      </c>
      <c r="R832" s="1">
        <v>45723</v>
      </c>
      <c r="S832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155.59000000000003</v>
      </c>
    </row>
    <row r="833" spans="1:19" x14ac:dyDescent="0.3">
      <c r="A833" t="s">
        <v>1117</v>
      </c>
      <c r="B833" t="s">
        <v>45</v>
      </c>
      <c r="C833" t="s">
        <v>20</v>
      </c>
      <c r="D833">
        <v>40.746152100000003</v>
      </c>
      <c r="E833">
        <v>-73.996030500000003</v>
      </c>
      <c r="F833" t="s">
        <v>21</v>
      </c>
      <c r="G833">
        <v>2</v>
      </c>
      <c r="H833">
        <v>1</v>
      </c>
      <c r="I833">
        <v>1</v>
      </c>
      <c r="J833">
        <v>1</v>
      </c>
      <c r="K833">
        <v>30</v>
      </c>
      <c r="L833">
        <v>224</v>
      </c>
      <c r="M833">
        <v>2</v>
      </c>
      <c r="N833">
        <v>0.37</v>
      </c>
      <c r="O833">
        <f t="shared" si="24"/>
        <v>0</v>
      </c>
      <c r="P833">
        <f t="shared" si="25"/>
        <v>4</v>
      </c>
      <c r="Q833" s="2">
        <v>154</v>
      </c>
      <c r="R833" s="1">
        <v>45717</v>
      </c>
      <c r="S833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155.75</v>
      </c>
    </row>
    <row r="834" spans="1:19" x14ac:dyDescent="0.3">
      <c r="A834" t="s">
        <v>1118</v>
      </c>
      <c r="B834" t="s">
        <v>61</v>
      </c>
      <c r="C834" t="s">
        <v>30</v>
      </c>
      <c r="D834">
        <v>40.764270000000003</v>
      </c>
      <c r="E834">
        <v>-73.909130000000005</v>
      </c>
      <c r="F834" t="s">
        <v>21</v>
      </c>
      <c r="G834">
        <v>2</v>
      </c>
      <c r="H834">
        <v>1</v>
      </c>
      <c r="I834">
        <v>1</v>
      </c>
      <c r="J834">
        <v>1</v>
      </c>
      <c r="K834">
        <v>30</v>
      </c>
      <c r="L834">
        <v>107</v>
      </c>
      <c r="M834">
        <v>1</v>
      </c>
      <c r="N834">
        <v>0.48</v>
      </c>
      <c r="O834">
        <f t="shared" si="24"/>
        <v>0</v>
      </c>
      <c r="P834">
        <f t="shared" si="25"/>
        <v>0</v>
      </c>
      <c r="Q834" s="2">
        <v>69</v>
      </c>
      <c r="R834" s="1">
        <v>45717</v>
      </c>
      <c r="S834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99.510000000000019</v>
      </c>
    </row>
    <row r="835" spans="1:19" x14ac:dyDescent="0.3">
      <c r="A835" t="s">
        <v>1119</v>
      </c>
      <c r="B835" t="s">
        <v>53</v>
      </c>
      <c r="C835" t="s">
        <v>20</v>
      </c>
      <c r="D835">
        <v>40.793230000000001</v>
      </c>
      <c r="E835">
        <v>-73.974159999999998</v>
      </c>
      <c r="F835" t="s">
        <v>21</v>
      </c>
      <c r="G835">
        <v>2</v>
      </c>
      <c r="H835">
        <v>1</v>
      </c>
      <c r="I835">
        <v>0</v>
      </c>
      <c r="J835">
        <v>1</v>
      </c>
      <c r="K835">
        <v>30</v>
      </c>
      <c r="L835">
        <v>81</v>
      </c>
      <c r="M835">
        <v>7</v>
      </c>
      <c r="N835">
        <v>0.51</v>
      </c>
      <c r="O835">
        <f t="shared" ref="O835:O898" si="26">IF(F835="Private room",1,0)</f>
        <v>0</v>
      </c>
      <c r="P835">
        <f t="shared" ref="P835:P898" si="27">IF(C835="Manhattan",4,IF(C835="Brooklyn",2,0))</f>
        <v>4</v>
      </c>
      <c r="Q835" s="2">
        <v>74</v>
      </c>
      <c r="R835" s="1">
        <v>45726</v>
      </c>
      <c r="S835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161.47000000000003</v>
      </c>
    </row>
    <row r="836" spans="1:19" x14ac:dyDescent="0.3">
      <c r="A836" t="s">
        <v>1120</v>
      </c>
      <c r="B836" t="s">
        <v>27</v>
      </c>
      <c r="C836" t="s">
        <v>17</v>
      </c>
      <c r="D836" s="3" t="s">
        <v>1121</v>
      </c>
      <c r="E836">
        <v>-73.945676811803295</v>
      </c>
      <c r="F836" t="s">
        <v>18</v>
      </c>
      <c r="G836">
        <v>2</v>
      </c>
      <c r="H836">
        <v>2</v>
      </c>
      <c r="I836">
        <v>3</v>
      </c>
      <c r="J836">
        <v>3</v>
      </c>
      <c r="K836">
        <v>1</v>
      </c>
      <c r="L836">
        <v>346</v>
      </c>
      <c r="M836">
        <v>17</v>
      </c>
      <c r="N836">
        <v>2.0499999999999998</v>
      </c>
      <c r="O836">
        <f t="shared" si="26"/>
        <v>1</v>
      </c>
      <c r="P836">
        <f t="shared" si="27"/>
        <v>2</v>
      </c>
      <c r="Q836" s="2">
        <v>325</v>
      </c>
      <c r="R836" s="1">
        <v>45733</v>
      </c>
      <c r="S836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185.48000000000005</v>
      </c>
    </row>
    <row r="837" spans="1:19" x14ac:dyDescent="0.3">
      <c r="A837" t="s">
        <v>1122</v>
      </c>
      <c r="B837" t="s">
        <v>19</v>
      </c>
      <c r="C837" t="s">
        <v>20</v>
      </c>
      <c r="D837">
        <v>40.747929999999997</v>
      </c>
      <c r="E837">
        <v>-73.988519999999994</v>
      </c>
      <c r="F837" t="s">
        <v>18</v>
      </c>
      <c r="G837">
        <v>4</v>
      </c>
      <c r="H837">
        <v>1</v>
      </c>
      <c r="I837">
        <v>1</v>
      </c>
      <c r="J837">
        <v>2</v>
      </c>
      <c r="K837">
        <v>1</v>
      </c>
      <c r="L837">
        <v>277</v>
      </c>
      <c r="M837">
        <v>24</v>
      </c>
      <c r="N837">
        <v>1.76</v>
      </c>
      <c r="O837">
        <f t="shared" si="26"/>
        <v>1</v>
      </c>
      <c r="P837">
        <f t="shared" si="27"/>
        <v>4</v>
      </c>
      <c r="Q837" s="2">
        <v>231</v>
      </c>
      <c r="R837" s="1">
        <v>45745</v>
      </c>
      <c r="S837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245.44000000000005</v>
      </c>
    </row>
    <row r="838" spans="1:19" x14ac:dyDescent="0.3">
      <c r="A838" t="s">
        <v>1123</v>
      </c>
      <c r="B838" t="s">
        <v>45</v>
      </c>
      <c r="C838" t="s">
        <v>20</v>
      </c>
      <c r="D838">
        <v>40.741480000000003</v>
      </c>
      <c r="E838">
        <v>-73.998159999999999</v>
      </c>
      <c r="F838" t="s">
        <v>21</v>
      </c>
      <c r="G838">
        <v>2</v>
      </c>
      <c r="H838">
        <v>1</v>
      </c>
      <c r="I838">
        <v>0</v>
      </c>
      <c r="J838">
        <v>1</v>
      </c>
      <c r="K838">
        <v>30</v>
      </c>
      <c r="L838">
        <v>169</v>
      </c>
      <c r="M838">
        <v>1</v>
      </c>
      <c r="N838">
        <v>0.94</v>
      </c>
      <c r="O838">
        <f t="shared" si="26"/>
        <v>0</v>
      </c>
      <c r="P838">
        <f t="shared" si="27"/>
        <v>4</v>
      </c>
      <c r="Q838" s="2">
        <v>145</v>
      </c>
      <c r="R838" s="1">
        <v>45747</v>
      </c>
      <c r="S838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157.95000000000002</v>
      </c>
    </row>
    <row r="839" spans="1:19" x14ac:dyDescent="0.3">
      <c r="A839" t="s">
        <v>1124</v>
      </c>
      <c r="B839" t="s">
        <v>43</v>
      </c>
      <c r="C839" t="s">
        <v>20</v>
      </c>
      <c r="D839">
        <v>40.717293174045203</v>
      </c>
      <c r="E839">
        <v>-73.986614144332606</v>
      </c>
      <c r="F839" t="s">
        <v>18</v>
      </c>
      <c r="G839">
        <v>1</v>
      </c>
      <c r="H839">
        <v>1</v>
      </c>
      <c r="I839">
        <v>1</v>
      </c>
      <c r="J839">
        <v>1</v>
      </c>
      <c r="K839">
        <v>1</v>
      </c>
      <c r="L839">
        <v>247</v>
      </c>
      <c r="M839">
        <v>33</v>
      </c>
      <c r="N839">
        <v>2.81</v>
      </c>
      <c r="O839">
        <f t="shared" si="26"/>
        <v>1</v>
      </c>
      <c r="P839">
        <f t="shared" si="27"/>
        <v>4</v>
      </c>
      <c r="Q839" s="2">
        <v>160</v>
      </c>
      <c r="R839" s="1">
        <v>45733</v>
      </c>
      <c r="S839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189.70000000000005</v>
      </c>
    </row>
    <row r="840" spans="1:19" x14ac:dyDescent="0.3">
      <c r="A840" t="s">
        <v>1125</v>
      </c>
      <c r="B840" t="s">
        <v>19</v>
      </c>
      <c r="C840" t="s">
        <v>20</v>
      </c>
      <c r="D840" s="3" t="s">
        <v>1126</v>
      </c>
      <c r="E840">
        <v>-73.982279216444994</v>
      </c>
      <c r="F840" t="s">
        <v>18</v>
      </c>
      <c r="G840">
        <v>2</v>
      </c>
      <c r="H840">
        <v>1</v>
      </c>
      <c r="I840">
        <v>1</v>
      </c>
      <c r="J840">
        <v>1</v>
      </c>
      <c r="K840">
        <v>1</v>
      </c>
      <c r="L840">
        <v>212</v>
      </c>
      <c r="M840">
        <v>8</v>
      </c>
      <c r="N840">
        <v>0.77</v>
      </c>
      <c r="O840">
        <f t="shared" si="26"/>
        <v>1</v>
      </c>
      <c r="P840">
        <f t="shared" si="27"/>
        <v>4</v>
      </c>
      <c r="Q840" s="2">
        <v>293</v>
      </c>
      <c r="R840" s="1">
        <v>45747</v>
      </c>
      <c r="S840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210.08000000000004</v>
      </c>
    </row>
    <row r="841" spans="1:19" x14ac:dyDescent="0.3">
      <c r="A841" t="s">
        <v>1127</v>
      </c>
      <c r="B841" t="s">
        <v>38</v>
      </c>
      <c r="C841" t="s">
        <v>20</v>
      </c>
      <c r="D841">
        <v>40.760739999999998</v>
      </c>
      <c r="E841">
        <v>-73.990099999999998</v>
      </c>
      <c r="F841" t="s">
        <v>21</v>
      </c>
      <c r="G841">
        <v>1</v>
      </c>
      <c r="H841">
        <v>1</v>
      </c>
      <c r="I841">
        <v>0</v>
      </c>
      <c r="J841">
        <v>1</v>
      </c>
      <c r="K841">
        <v>30</v>
      </c>
      <c r="L841">
        <v>239</v>
      </c>
      <c r="M841">
        <v>4</v>
      </c>
      <c r="N841">
        <v>0.35</v>
      </c>
      <c r="O841">
        <f t="shared" si="26"/>
        <v>0</v>
      </c>
      <c r="P841">
        <f t="shared" si="27"/>
        <v>4</v>
      </c>
      <c r="Q841" s="2">
        <v>53</v>
      </c>
      <c r="R841" s="1">
        <v>45731</v>
      </c>
      <c r="S841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136.17000000000002</v>
      </c>
    </row>
    <row r="842" spans="1:19" x14ac:dyDescent="0.3">
      <c r="A842" t="s">
        <v>1128</v>
      </c>
      <c r="B842" t="s">
        <v>38</v>
      </c>
      <c r="C842" t="s">
        <v>20</v>
      </c>
      <c r="D842" s="3" t="s">
        <v>1129</v>
      </c>
      <c r="E842">
        <v>-73.990771766402204</v>
      </c>
      <c r="F842" t="s">
        <v>21</v>
      </c>
      <c r="G842">
        <v>1</v>
      </c>
      <c r="H842">
        <v>1</v>
      </c>
      <c r="I842">
        <v>0</v>
      </c>
      <c r="J842">
        <v>1</v>
      </c>
      <c r="K842">
        <v>30</v>
      </c>
      <c r="L842">
        <v>241</v>
      </c>
      <c r="M842">
        <v>5</v>
      </c>
      <c r="N842">
        <v>0.43</v>
      </c>
      <c r="O842">
        <f t="shared" si="26"/>
        <v>0</v>
      </c>
      <c r="P842">
        <f t="shared" si="27"/>
        <v>4</v>
      </c>
      <c r="Q842" s="2">
        <v>64</v>
      </c>
      <c r="R842" s="1">
        <v>45747</v>
      </c>
      <c r="S842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136.09</v>
      </c>
    </row>
    <row r="843" spans="1:19" x14ac:dyDescent="0.3">
      <c r="A843" t="s">
        <v>1130</v>
      </c>
      <c r="B843" t="s">
        <v>38</v>
      </c>
      <c r="C843" t="s">
        <v>20</v>
      </c>
      <c r="D843">
        <v>40.765650000000001</v>
      </c>
      <c r="E843">
        <v>-73.994829999999993</v>
      </c>
      <c r="F843" t="s">
        <v>18</v>
      </c>
      <c r="G843">
        <v>2</v>
      </c>
      <c r="H843">
        <v>1</v>
      </c>
      <c r="I843">
        <v>1</v>
      </c>
      <c r="J843">
        <v>2</v>
      </c>
      <c r="K843">
        <v>2</v>
      </c>
      <c r="L843">
        <v>250</v>
      </c>
      <c r="M843">
        <v>29</v>
      </c>
      <c r="N843">
        <v>2.64</v>
      </c>
      <c r="O843">
        <f t="shared" si="26"/>
        <v>1</v>
      </c>
      <c r="P843">
        <f t="shared" si="27"/>
        <v>4</v>
      </c>
      <c r="Q843" s="2">
        <v>250</v>
      </c>
      <c r="R843" s="1">
        <v>45732</v>
      </c>
      <c r="S843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205.21000000000004</v>
      </c>
    </row>
    <row r="844" spans="1:19" x14ac:dyDescent="0.3">
      <c r="A844" t="s">
        <v>1131</v>
      </c>
      <c r="B844" t="s">
        <v>36</v>
      </c>
      <c r="C844" t="s">
        <v>20</v>
      </c>
      <c r="D844">
        <v>40.76952</v>
      </c>
      <c r="E844">
        <v>-73.956450000000004</v>
      </c>
      <c r="F844" t="s">
        <v>21</v>
      </c>
      <c r="G844">
        <v>3</v>
      </c>
      <c r="H844">
        <v>1</v>
      </c>
      <c r="I844">
        <v>1</v>
      </c>
      <c r="J844">
        <v>3</v>
      </c>
      <c r="K844">
        <v>30</v>
      </c>
      <c r="L844">
        <v>310</v>
      </c>
      <c r="M844">
        <v>5</v>
      </c>
      <c r="N844">
        <v>0.38</v>
      </c>
      <c r="O844">
        <f t="shared" si="26"/>
        <v>0</v>
      </c>
      <c r="P844">
        <f t="shared" si="27"/>
        <v>4</v>
      </c>
      <c r="Q844" s="2">
        <v>144</v>
      </c>
      <c r="R844" s="1">
        <v>45723</v>
      </c>
      <c r="S844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171.29000000000002</v>
      </c>
    </row>
    <row r="845" spans="1:19" x14ac:dyDescent="0.3">
      <c r="A845" t="s">
        <v>1132</v>
      </c>
      <c r="B845" t="s">
        <v>78</v>
      </c>
      <c r="C845" t="s">
        <v>20</v>
      </c>
      <c r="D845" s="3" t="s">
        <v>1133</v>
      </c>
      <c r="E845">
        <v>-73.985798803708803</v>
      </c>
      <c r="F845" t="s">
        <v>18</v>
      </c>
      <c r="G845">
        <v>2</v>
      </c>
      <c r="H845">
        <v>1</v>
      </c>
      <c r="I845">
        <v>0</v>
      </c>
      <c r="J845">
        <v>1</v>
      </c>
      <c r="K845">
        <v>1</v>
      </c>
      <c r="L845">
        <v>275</v>
      </c>
      <c r="M845">
        <v>24</v>
      </c>
      <c r="N845">
        <v>1.81</v>
      </c>
      <c r="O845">
        <f t="shared" si="26"/>
        <v>1</v>
      </c>
      <c r="P845">
        <f t="shared" si="27"/>
        <v>4</v>
      </c>
      <c r="Q845" s="2">
        <v>296</v>
      </c>
      <c r="R845" s="1">
        <v>45742</v>
      </c>
      <c r="S845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207.56000000000006</v>
      </c>
    </row>
    <row r="846" spans="1:19" x14ac:dyDescent="0.3">
      <c r="A846" t="s">
        <v>1134</v>
      </c>
      <c r="B846" t="s">
        <v>27</v>
      </c>
      <c r="C846" t="s">
        <v>17</v>
      </c>
      <c r="D846">
        <v>40.685654399999997</v>
      </c>
      <c r="E846">
        <v>-73.944179399999996</v>
      </c>
      <c r="F846" t="s">
        <v>21</v>
      </c>
      <c r="G846">
        <v>10</v>
      </c>
      <c r="H846">
        <v>2</v>
      </c>
      <c r="I846">
        <v>5</v>
      </c>
      <c r="J846">
        <v>5</v>
      </c>
      <c r="K846">
        <v>30</v>
      </c>
      <c r="L846">
        <v>269</v>
      </c>
      <c r="M846">
        <v>1</v>
      </c>
      <c r="N846">
        <v>0.53</v>
      </c>
      <c r="O846">
        <f t="shared" si="26"/>
        <v>0</v>
      </c>
      <c r="P846">
        <f t="shared" si="27"/>
        <v>2</v>
      </c>
      <c r="Q846" s="2">
        <v>232</v>
      </c>
      <c r="R846" s="1">
        <v>45722</v>
      </c>
      <c r="S846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286.55</v>
      </c>
    </row>
    <row r="847" spans="1:19" x14ac:dyDescent="0.3">
      <c r="A847" t="s">
        <v>1135</v>
      </c>
      <c r="B847" t="s">
        <v>41</v>
      </c>
      <c r="C847" t="s">
        <v>20</v>
      </c>
      <c r="D847">
        <v>40.723649999999999</v>
      </c>
      <c r="E847">
        <v>-73.985860000000002</v>
      </c>
      <c r="F847" t="s">
        <v>18</v>
      </c>
      <c r="G847">
        <v>2</v>
      </c>
      <c r="H847">
        <v>1</v>
      </c>
      <c r="I847">
        <v>1</v>
      </c>
      <c r="J847">
        <v>1</v>
      </c>
      <c r="K847">
        <v>5</v>
      </c>
      <c r="L847">
        <v>352</v>
      </c>
      <c r="M847">
        <v>12</v>
      </c>
      <c r="N847">
        <v>1</v>
      </c>
      <c r="O847">
        <f t="shared" si="26"/>
        <v>1</v>
      </c>
      <c r="P847">
        <f t="shared" si="27"/>
        <v>4</v>
      </c>
      <c r="Q847" s="2">
        <v>209</v>
      </c>
      <c r="R847" s="1">
        <v>45728</v>
      </c>
      <c r="S847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191.08000000000004</v>
      </c>
    </row>
    <row r="848" spans="1:19" x14ac:dyDescent="0.3">
      <c r="A848" t="s">
        <v>1136</v>
      </c>
      <c r="B848" t="s">
        <v>38</v>
      </c>
      <c r="C848" t="s">
        <v>20</v>
      </c>
      <c r="D848" s="3" t="s">
        <v>1137</v>
      </c>
      <c r="E848">
        <v>-73.991445191263907</v>
      </c>
      <c r="F848" t="s">
        <v>21</v>
      </c>
      <c r="G848">
        <v>1</v>
      </c>
      <c r="H848">
        <v>1</v>
      </c>
      <c r="I848">
        <v>0</v>
      </c>
      <c r="J848">
        <v>1</v>
      </c>
      <c r="K848">
        <v>30</v>
      </c>
      <c r="L848">
        <v>182</v>
      </c>
      <c r="M848">
        <v>5</v>
      </c>
      <c r="N848">
        <v>0.41</v>
      </c>
      <c r="O848">
        <f t="shared" si="26"/>
        <v>0</v>
      </c>
      <c r="P848">
        <f t="shared" si="27"/>
        <v>4</v>
      </c>
      <c r="Q848" s="2">
        <v>64</v>
      </c>
      <c r="R848" s="1">
        <v>45726</v>
      </c>
      <c r="S848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138.44999999999999</v>
      </c>
    </row>
    <row r="849" spans="1:19" x14ac:dyDescent="0.3">
      <c r="A849" t="s">
        <v>1138</v>
      </c>
      <c r="B849" t="s">
        <v>95</v>
      </c>
      <c r="C849" t="s">
        <v>20</v>
      </c>
      <c r="D849">
        <v>40.750250600000001</v>
      </c>
      <c r="E849">
        <v>-73.977745299999995</v>
      </c>
      <c r="F849" t="s">
        <v>21</v>
      </c>
      <c r="G849">
        <v>2</v>
      </c>
      <c r="H849">
        <v>1</v>
      </c>
      <c r="I849">
        <v>0</v>
      </c>
      <c r="J849">
        <v>1</v>
      </c>
      <c r="K849">
        <v>30</v>
      </c>
      <c r="L849">
        <v>347</v>
      </c>
      <c r="M849">
        <v>4</v>
      </c>
      <c r="N849">
        <v>0.3</v>
      </c>
      <c r="O849">
        <f t="shared" si="26"/>
        <v>0</v>
      </c>
      <c r="P849">
        <f t="shared" si="27"/>
        <v>4</v>
      </c>
      <c r="Q849" s="2">
        <v>132</v>
      </c>
      <c r="R849" s="1">
        <v>45717</v>
      </c>
      <c r="S849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150.83000000000004</v>
      </c>
    </row>
    <row r="850" spans="1:19" x14ac:dyDescent="0.3">
      <c r="A850" t="s">
        <v>1139</v>
      </c>
      <c r="B850" t="s">
        <v>44</v>
      </c>
      <c r="C850" t="s">
        <v>30</v>
      </c>
      <c r="D850">
        <v>40.673360000000002</v>
      </c>
      <c r="E850">
        <v>-73.778880000000001</v>
      </c>
      <c r="F850" t="s">
        <v>18</v>
      </c>
      <c r="G850">
        <v>2</v>
      </c>
      <c r="H850">
        <v>1</v>
      </c>
      <c r="I850">
        <v>1</v>
      </c>
      <c r="J850">
        <v>1</v>
      </c>
      <c r="K850">
        <v>1</v>
      </c>
      <c r="L850">
        <v>350</v>
      </c>
      <c r="M850">
        <v>100</v>
      </c>
      <c r="N850">
        <v>7.56</v>
      </c>
      <c r="O850">
        <f t="shared" si="26"/>
        <v>1</v>
      </c>
      <c r="P850">
        <f t="shared" si="27"/>
        <v>0</v>
      </c>
      <c r="Q850" s="2">
        <v>90</v>
      </c>
      <c r="R850" s="1">
        <v>45746</v>
      </c>
      <c r="S850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143.64000000000004</v>
      </c>
    </row>
    <row r="851" spans="1:19" x14ac:dyDescent="0.3">
      <c r="A851" t="s">
        <v>1140</v>
      </c>
      <c r="B851" t="s">
        <v>53</v>
      </c>
      <c r="C851" t="s">
        <v>20</v>
      </c>
      <c r="D851" s="3" t="s">
        <v>1141</v>
      </c>
      <c r="E851">
        <v>-73.976320462348895</v>
      </c>
      <c r="F851" t="s">
        <v>21</v>
      </c>
      <c r="G851">
        <v>1</v>
      </c>
      <c r="H851">
        <v>1</v>
      </c>
      <c r="I851">
        <v>0</v>
      </c>
      <c r="J851">
        <v>1</v>
      </c>
      <c r="K851">
        <v>30</v>
      </c>
      <c r="L851">
        <v>63</v>
      </c>
      <c r="M851">
        <v>2</v>
      </c>
      <c r="N851">
        <v>0.18</v>
      </c>
      <c r="O851">
        <f t="shared" si="26"/>
        <v>0</v>
      </c>
      <c r="P851">
        <f t="shared" si="27"/>
        <v>4</v>
      </c>
      <c r="Q851" s="2">
        <v>81</v>
      </c>
      <c r="R851" s="1">
        <v>45724</v>
      </c>
      <c r="S851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143.21</v>
      </c>
    </row>
    <row r="852" spans="1:19" x14ac:dyDescent="0.3">
      <c r="A852" t="s">
        <v>1142</v>
      </c>
      <c r="B852" t="s">
        <v>38</v>
      </c>
      <c r="C852" t="s">
        <v>20</v>
      </c>
      <c r="D852">
        <v>40.7587608517834</v>
      </c>
      <c r="E852">
        <v>-73.991751579504793</v>
      </c>
      <c r="F852" t="s">
        <v>21</v>
      </c>
      <c r="G852">
        <v>1</v>
      </c>
      <c r="H852">
        <v>1</v>
      </c>
      <c r="I852">
        <v>0</v>
      </c>
      <c r="J852">
        <v>1</v>
      </c>
      <c r="K852">
        <v>30</v>
      </c>
      <c r="L852">
        <v>56</v>
      </c>
      <c r="M852">
        <v>1</v>
      </c>
      <c r="N852">
        <v>0.88</v>
      </c>
      <c r="O852">
        <f t="shared" si="26"/>
        <v>0</v>
      </c>
      <c r="P852">
        <f t="shared" si="27"/>
        <v>4</v>
      </c>
      <c r="Q852" s="2">
        <v>57</v>
      </c>
      <c r="R852" s="1">
        <v>45746</v>
      </c>
      <c r="S852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143.49</v>
      </c>
    </row>
    <row r="853" spans="1:19" x14ac:dyDescent="0.3">
      <c r="A853" t="s">
        <v>1143</v>
      </c>
      <c r="B853" t="s">
        <v>19</v>
      </c>
      <c r="C853" t="s">
        <v>20</v>
      </c>
      <c r="D853">
        <v>40.756935827967403</v>
      </c>
      <c r="E853">
        <v>-73.964108586554602</v>
      </c>
      <c r="F853" t="s">
        <v>21</v>
      </c>
      <c r="G853">
        <v>5</v>
      </c>
      <c r="H853">
        <v>2</v>
      </c>
      <c r="I853">
        <v>2</v>
      </c>
      <c r="J853">
        <v>2</v>
      </c>
      <c r="K853">
        <v>30</v>
      </c>
      <c r="L853">
        <v>227</v>
      </c>
      <c r="M853">
        <v>3</v>
      </c>
      <c r="N853">
        <v>0.44</v>
      </c>
      <c r="O853">
        <f t="shared" si="26"/>
        <v>0</v>
      </c>
      <c r="P853">
        <f t="shared" si="27"/>
        <v>4</v>
      </c>
      <c r="Q853" s="2">
        <v>388</v>
      </c>
      <c r="R853" s="1">
        <v>45728</v>
      </c>
      <c r="S853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223.79000000000002</v>
      </c>
    </row>
    <row r="854" spans="1:19" x14ac:dyDescent="0.3">
      <c r="A854" t="s">
        <v>1144</v>
      </c>
      <c r="B854" t="s">
        <v>50</v>
      </c>
      <c r="C854" t="s">
        <v>20</v>
      </c>
      <c r="D854" s="3" t="s">
        <v>1145</v>
      </c>
      <c r="E854">
        <v>-74.007171630859304</v>
      </c>
      <c r="F854" t="s">
        <v>21</v>
      </c>
      <c r="G854">
        <v>5</v>
      </c>
      <c r="H854">
        <v>1</v>
      </c>
      <c r="I854">
        <v>2</v>
      </c>
      <c r="J854">
        <v>3</v>
      </c>
      <c r="K854">
        <v>30</v>
      </c>
      <c r="L854">
        <v>248</v>
      </c>
      <c r="M854">
        <v>2</v>
      </c>
      <c r="N854">
        <v>0.76</v>
      </c>
      <c r="O854">
        <f t="shared" si="26"/>
        <v>0</v>
      </c>
      <c r="P854">
        <f t="shared" si="27"/>
        <v>4</v>
      </c>
      <c r="Q854" s="2">
        <v>318</v>
      </c>
      <c r="R854" s="1">
        <v>45733</v>
      </c>
      <c r="S854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211.73000000000002</v>
      </c>
    </row>
    <row r="855" spans="1:19" x14ac:dyDescent="0.3">
      <c r="A855" t="s">
        <v>1146</v>
      </c>
      <c r="B855" t="s">
        <v>24</v>
      </c>
      <c r="C855" t="s">
        <v>20</v>
      </c>
      <c r="D855">
        <v>40.799309999999998</v>
      </c>
      <c r="E855">
        <v>-73.939670000000007</v>
      </c>
      <c r="F855" t="s">
        <v>18</v>
      </c>
      <c r="G855">
        <v>1</v>
      </c>
      <c r="H855">
        <v>1</v>
      </c>
      <c r="I855">
        <v>1</v>
      </c>
      <c r="J855">
        <v>1</v>
      </c>
      <c r="K855">
        <v>30</v>
      </c>
      <c r="L855">
        <v>89</v>
      </c>
      <c r="M855">
        <v>2</v>
      </c>
      <c r="N855">
        <v>0.17</v>
      </c>
      <c r="O855">
        <f t="shared" si="26"/>
        <v>1</v>
      </c>
      <c r="P855">
        <f t="shared" si="27"/>
        <v>4</v>
      </c>
      <c r="Q855" s="2">
        <v>74</v>
      </c>
      <c r="R855" s="1">
        <v>45747</v>
      </c>
      <c r="S855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98.87</v>
      </c>
    </row>
    <row r="856" spans="1:19" x14ac:dyDescent="0.3">
      <c r="A856" t="s">
        <v>1147</v>
      </c>
      <c r="B856" t="s">
        <v>38</v>
      </c>
      <c r="C856" t="s">
        <v>20</v>
      </c>
      <c r="D856">
        <v>40.760496313882498</v>
      </c>
      <c r="E856">
        <v>-73.989967938229896</v>
      </c>
      <c r="F856" t="s">
        <v>21</v>
      </c>
      <c r="G856">
        <v>1</v>
      </c>
      <c r="H856">
        <v>1</v>
      </c>
      <c r="I856">
        <v>0</v>
      </c>
      <c r="J856">
        <v>1</v>
      </c>
      <c r="K856">
        <v>30</v>
      </c>
      <c r="L856">
        <v>262</v>
      </c>
      <c r="M856">
        <v>4</v>
      </c>
      <c r="N856">
        <v>0.45</v>
      </c>
      <c r="O856">
        <f t="shared" si="26"/>
        <v>0</v>
      </c>
      <c r="P856">
        <f t="shared" si="27"/>
        <v>4</v>
      </c>
      <c r="Q856" s="2">
        <v>57</v>
      </c>
      <c r="R856" s="1">
        <v>45742</v>
      </c>
      <c r="S856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135.25</v>
      </c>
    </row>
    <row r="857" spans="1:19" x14ac:dyDescent="0.3">
      <c r="A857" t="s">
        <v>1148</v>
      </c>
      <c r="B857" t="s">
        <v>19</v>
      </c>
      <c r="C857" t="s">
        <v>20</v>
      </c>
      <c r="D857">
        <v>40.746319999999997</v>
      </c>
      <c r="E857">
        <v>-73.988110000000006</v>
      </c>
      <c r="F857" t="s">
        <v>18</v>
      </c>
      <c r="G857">
        <v>3</v>
      </c>
      <c r="H857">
        <v>1</v>
      </c>
      <c r="I857">
        <v>1</v>
      </c>
      <c r="J857">
        <v>2</v>
      </c>
      <c r="K857">
        <v>1</v>
      </c>
      <c r="L857">
        <v>286</v>
      </c>
      <c r="M857">
        <v>14</v>
      </c>
      <c r="N857">
        <v>1.23</v>
      </c>
      <c r="O857">
        <f t="shared" si="26"/>
        <v>1</v>
      </c>
      <c r="P857">
        <f t="shared" si="27"/>
        <v>4</v>
      </c>
      <c r="Q857" s="2">
        <v>120</v>
      </c>
      <c r="R857" s="1">
        <v>45724</v>
      </c>
      <c r="S857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226.10000000000002</v>
      </c>
    </row>
    <row r="858" spans="1:19" x14ac:dyDescent="0.3">
      <c r="A858" t="s">
        <v>1149</v>
      </c>
      <c r="B858" t="s">
        <v>36</v>
      </c>
      <c r="C858" t="s">
        <v>20</v>
      </c>
      <c r="D858" s="3" t="s">
        <v>1150</v>
      </c>
      <c r="E858">
        <v>-73.958528356798595</v>
      </c>
      <c r="F858" t="s">
        <v>21</v>
      </c>
      <c r="G858">
        <v>3</v>
      </c>
      <c r="H858">
        <v>1</v>
      </c>
      <c r="I858">
        <v>1</v>
      </c>
      <c r="J858">
        <v>1</v>
      </c>
      <c r="K858">
        <v>30</v>
      </c>
      <c r="L858">
        <v>181</v>
      </c>
      <c r="M858">
        <v>1</v>
      </c>
      <c r="N858">
        <v>0.5</v>
      </c>
      <c r="O858">
        <f t="shared" si="26"/>
        <v>0</v>
      </c>
      <c r="P858">
        <f t="shared" si="27"/>
        <v>4</v>
      </c>
      <c r="Q858" s="2">
        <v>232</v>
      </c>
      <c r="R858" s="1">
        <v>45720</v>
      </c>
      <c r="S858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176.45000000000002</v>
      </c>
    </row>
    <row r="859" spans="1:19" x14ac:dyDescent="0.3">
      <c r="A859" t="s">
        <v>1151</v>
      </c>
      <c r="B859" t="s">
        <v>38</v>
      </c>
      <c r="C859" t="s">
        <v>20</v>
      </c>
      <c r="D859" s="3" t="s">
        <v>1152</v>
      </c>
      <c r="E859">
        <v>-73.9892137142146</v>
      </c>
      <c r="F859" t="s">
        <v>18</v>
      </c>
      <c r="G859">
        <v>2</v>
      </c>
      <c r="H859">
        <v>1</v>
      </c>
      <c r="I859">
        <v>1</v>
      </c>
      <c r="J859">
        <v>1</v>
      </c>
      <c r="K859">
        <v>5</v>
      </c>
      <c r="L859">
        <v>254</v>
      </c>
      <c r="M859">
        <v>40</v>
      </c>
      <c r="N859">
        <v>2.93</v>
      </c>
      <c r="O859">
        <f t="shared" si="26"/>
        <v>1</v>
      </c>
      <c r="P859">
        <f t="shared" si="27"/>
        <v>4</v>
      </c>
      <c r="Q859" s="2">
        <v>130</v>
      </c>
      <c r="R859" s="1">
        <v>45743</v>
      </c>
      <c r="S859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195.00000000000006</v>
      </c>
    </row>
    <row r="860" spans="1:19" x14ac:dyDescent="0.3">
      <c r="A860" t="s">
        <v>1153</v>
      </c>
      <c r="B860" t="s">
        <v>135</v>
      </c>
      <c r="C860" t="s">
        <v>31</v>
      </c>
      <c r="D860" s="3" t="s">
        <v>1154</v>
      </c>
      <c r="E860">
        <v>-73.862598895272797</v>
      </c>
      <c r="F860" t="s">
        <v>18</v>
      </c>
      <c r="G860">
        <v>2</v>
      </c>
      <c r="H860">
        <v>1</v>
      </c>
      <c r="I860">
        <v>1</v>
      </c>
      <c r="J860">
        <v>1</v>
      </c>
      <c r="K860">
        <v>3</v>
      </c>
      <c r="L860">
        <v>350</v>
      </c>
      <c r="M860">
        <v>27</v>
      </c>
      <c r="N860">
        <v>2.1</v>
      </c>
      <c r="O860">
        <f t="shared" si="26"/>
        <v>1</v>
      </c>
      <c r="P860">
        <f t="shared" si="27"/>
        <v>0</v>
      </c>
      <c r="Q860" s="2">
        <v>109</v>
      </c>
      <c r="R860" s="1">
        <v>45733</v>
      </c>
      <c r="S860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136.94</v>
      </c>
    </row>
    <row r="861" spans="1:19" x14ac:dyDescent="0.3">
      <c r="A861" t="s">
        <v>1155</v>
      </c>
      <c r="B861" t="s">
        <v>217</v>
      </c>
      <c r="C861" t="s">
        <v>30</v>
      </c>
      <c r="D861" s="3" t="s">
        <v>1156</v>
      </c>
      <c r="E861">
        <v>-73.837472498416901</v>
      </c>
      <c r="F861" t="s">
        <v>21</v>
      </c>
      <c r="G861">
        <v>2</v>
      </c>
      <c r="H861">
        <v>1</v>
      </c>
      <c r="I861">
        <v>1</v>
      </c>
      <c r="J861">
        <v>1</v>
      </c>
      <c r="K861">
        <v>30</v>
      </c>
      <c r="L861">
        <v>358</v>
      </c>
      <c r="M861">
        <v>2</v>
      </c>
      <c r="N861">
        <v>0.2</v>
      </c>
      <c r="O861">
        <f t="shared" si="26"/>
        <v>0</v>
      </c>
      <c r="P861">
        <f t="shared" si="27"/>
        <v>0</v>
      </c>
      <c r="Q861" s="2">
        <v>96</v>
      </c>
      <c r="R861" s="1">
        <v>45719</v>
      </c>
      <c r="S861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89.470000000000027</v>
      </c>
    </row>
    <row r="862" spans="1:19" x14ac:dyDescent="0.3">
      <c r="A862" t="s">
        <v>1157</v>
      </c>
      <c r="B862" t="s">
        <v>28</v>
      </c>
      <c r="C862" t="s">
        <v>20</v>
      </c>
      <c r="D862">
        <v>40.808156699999998</v>
      </c>
      <c r="E862">
        <v>-73.954844600000001</v>
      </c>
      <c r="F862" t="s">
        <v>21</v>
      </c>
      <c r="G862">
        <v>5</v>
      </c>
      <c r="H862">
        <v>1</v>
      </c>
      <c r="I862">
        <v>1</v>
      </c>
      <c r="J862">
        <v>2</v>
      </c>
      <c r="K862">
        <v>1</v>
      </c>
      <c r="L862">
        <v>80</v>
      </c>
      <c r="M862">
        <v>47</v>
      </c>
      <c r="N862">
        <v>3.9</v>
      </c>
      <c r="O862">
        <f t="shared" si="26"/>
        <v>0</v>
      </c>
      <c r="P862">
        <f t="shared" si="27"/>
        <v>4</v>
      </c>
      <c r="Q862" s="2">
        <v>197</v>
      </c>
      <c r="R862" s="1">
        <v>45741</v>
      </c>
      <c r="S862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315.60000000000002</v>
      </c>
    </row>
    <row r="863" spans="1:19" x14ac:dyDescent="0.3">
      <c r="A863" t="s">
        <v>1158</v>
      </c>
      <c r="B863" t="s">
        <v>68</v>
      </c>
      <c r="C863" t="s">
        <v>20</v>
      </c>
      <c r="D863">
        <v>40.83775</v>
      </c>
      <c r="E863">
        <v>-73.942599999999999</v>
      </c>
      <c r="F863" t="s">
        <v>18</v>
      </c>
      <c r="G863">
        <v>1</v>
      </c>
      <c r="H863">
        <v>1</v>
      </c>
      <c r="I863">
        <v>1</v>
      </c>
      <c r="J863">
        <v>1</v>
      </c>
      <c r="K863">
        <v>30</v>
      </c>
      <c r="L863">
        <v>239</v>
      </c>
      <c r="M863">
        <v>2</v>
      </c>
      <c r="N863">
        <v>0.16</v>
      </c>
      <c r="O863">
        <f t="shared" si="26"/>
        <v>1</v>
      </c>
      <c r="P863">
        <f t="shared" si="27"/>
        <v>4</v>
      </c>
      <c r="Q863" s="2">
        <v>58</v>
      </c>
      <c r="R863" s="1">
        <v>45747</v>
      </c>
      <c r="S863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92.87</v>
      </c>
    </row>
    <row r="864" spans="1:19" x14ac:dyDescent="0.3">
      <c r="A864" t="s">
        <v>1159</v>
      </c>
      <c r="B864" t="s">
        <v>61</v>
      </c>
      <c r="C864" t="s">
        <v>30</v>
      </c>
      <c r="D864">
        <v>40.757579999999997</v>
      </c>
      <c r="E864">
        <v>-73.927030000000002</v>
      </c>
      <c r="F864" t="s">
        <v>21</v>
      </c>
      <c r="G864">
        <v>2</v>
      </c>
      <c r="H864">
        <v>1</v>
      </c>
      <c r="I864">
        <v>1</v>
      </c>
      <c r="J864">
        <v>2</v>
      </c>
      <c r="K864">
        <v>30</v>
      </c>
      <c r="L864">
        <v>185</v>
      </c>
      <c r="M864">
        <v>1</v>
      </c>
      <c r="N864">
        <v>0.67</v>
      </c>
      <c r="O864">
        <f t="shared" si="26"/>
        <v>0</v>
      </c>
      <c r="P864">
        <f t="shared" si="27"/>
        <v>0</v>
      </c>
      <c r="Q864" s="2">
        <v>140</v>
      </c>
      <c r="R864" s="1">
        <v>45735</v>
      </c>
      <c r="S864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96.390000000000015</v>
      </c>
    </row>
    <row r="865" spans="1:19" x14ac:dyDescent="0.3">
      <c r="A865" t="s">
        <v>1160</v>
      </c>
      <c r="B865" t="s">
        <v>78</v>
      </c>
      <c r="C865" t="s">
        <v>20</v>
      </c>
      <c r="D865">
        <v>40.7567414496556</v>
      </c>
      <c r="E865">
        <v>-73.983822842874105</v>
      </c>
      <c r="F865" t="s">
        <v>18</v>
      </c>
      <c r="G865">
        <v>2</v>
      </c>
      <c r="H865">
        <v>1</v>
      </c>
      <c r="I865">
        <v>1</v>
      </c>
      <c r="J865">
        <v>1</v>
      </c>
      <c r="K865">
        <v>1</v>
      </c>
      <c r="L865">
        <v>356</v>
      </c>
      <c r="M865">
        <v>9</v>
      </c>
      <c r="N865">
        <v>0.75</v>
      </c>
      <c r="O865">
        <f t="shared" si="26"/>
        <v>1</v>
      </c>
      <c r="P865">
        <f t="shared" si="27"/>
        <v>4</v>
      </c>
      <c r="Q865" s="2">
        <v>262</v>
      </c>
      <c r="R865" s="1">
        <v>45739</v>
      </c>
      <c r="S865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204.32000000000005</v>
      </c>
    </row>
    <row r="866" spans="1:19" x14ac:dyDescent="0.3">
      <c r="A866" t="s">
        <v>1161</v>
      </c>
      <c r="B866" t="s">
        <v>19</v>
      </c>
      <c r="C866" t="s">
        <v>20</v>
      </c>
      <c r="D866" s="3" t="s">
        <v>1162</v>
      </c>
      <c r="E866">
        <v>-73.987397516690706</v>
      </c>
      <c r="F866" t="s">
        <v>18</v>
      </c>
      <c r="G866">
        <v>2</v>
      </c>
      <c r="H866">
        <v>1</v>
      </c>
      <c r="I866">
        <v>1</v>
      </c>
      <c r="J866">
        <v>1</v>
      </c>
      <c r="K866">
        <v>1</v>
      </c>
      <c r="L866">
        <v>278</v>
      </c>
      <c r="M866">
        <v>20</v>
      </c>
      <c r="N866">
        <v>1.65</v>
      </c>
      <c r="O866">
        <f t="shared" si="26"/>
        <v>1</v>
      </c>
      <c r="P866">
        <f t="shared" si="27"/>
        <v>4</v>
      </c>
      <c r="Q866" s="2">
        <v>209</v>
      </c>
      <c r="R866" s="1">
        <v>45740</v>
      </c>
      <c r="S866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207.44000000000005</v>
      </c>
    </row>
    <row r="867" spans="1:19" x14ac:dyDescent="0.3">
      <c r="A867" t="s">
        <v>1163</v>
      </c>
      <c r="B867" t="s">
        <v>73</v>
      </c>
      <c r="C867" t="s">
        <v>30</v>
      </c>
      <c r="D867">
        <v>40.754556399999998</v>
      </c>
      <c r="E867">
        <v>-73.935838899999993</v>
      </c>
      <c r="F867" t="s">
        <v>18</v>
      </c>
      <c r="G867">
        <v>2</v>
      </c>
      <c r="H867">
        <v>1</v>
      </c>
      <c r="I867">
        <v>1</v>
      </c>
      <c r="J867">
        <v>1</v>
      </c>
      <c r="K867">
        <v>1</v>
      </c>
      <c r="L867">
        <v>114</v>
      </c>
      <c r="M867">
        <v>14</v>
      </c>
      <c r="N867">
        <v>1.04</v>
      </c>
      <c r="O867">
        <f t="shared" si="26"/>
        <v>1</v>
      </c>
      <c r="P867">
        <f t="shared" si="27"/>
        <v>0</v>
      </c>
      <c r="Q867" s="2">
        <v>233</v>
      </c>
      <c r="R867" s="1">
        <v>45746</v>
      </c>
      <c r="S867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153.08000000000004</v>
      </c>
    </row>
    <row r="868" spans="1:19" x14ac:dyDescent="0.3">
      <c r="A868" t="s">
        <v>1164</v>
      </c>
      <c r="B868" t="s">
        <v>19</v>
      </c>
      <c r="C868" t="s">
        <v>20</v>
      </c>
      <c r="D868" s="3" t="s">
        <v>1165</v>
      </c>
      <c r="E868">
        <v>-73.976353254423202</v>
      </c>
      <c r="F868" t="s">
        <v>18</v>
      </c>
      <c r="G868">
        <v>2</v>
      </c>
      <c r="H868">
        <v>1</v>
      </c>
      <c r="I868">
        <v>1</v>
      </c>
      <c r="J868">
        <v>1</v>
      </c>
      <c r="K868">
        <v>1</v>
      </c>
      <c r="L868">
        <v>241</v>
      </c>
      <c r="M868">
        <v>12</v>
      </c>
      <c r="N868">
        <v>1.06</v>
      </c>
      <c r="O868">
        <f t="shared" si="26"/>
        <v>1</v>
      </c>
      <c r="P868">
        <f t="shared" si="27"/>
        <v>4</v>
      </c>
      <c r="Q868" s="2">
        <v>377</v>
      </c>
      <c r="R868" s="1">
        <v>45746</v>
      </c>
      <c r="S868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208.92000000000002</v>
      </c>
    </row>
    <row r="869" spans="1:19" x14ac:dyDescent="0.3">
      <c r="A869" t="s">
        <v>1166</v>
      </c>
      <c r="B869" t="s">
        <v>36</v>
      </c>
      <c r="C869" t="s">
        <v>20</v>
      </c>
      <c r="D869" s="3" t="s">
        <v>1167</v>
      </c>
      <c r="E869">
        <v>-73.958668871959603</v>
      </c>
      <c r="F869" t="s">
        <v>21</v>
      </c>
      <c r="G869">
        <v>2</v>
      </c>
      <c r="H869">
        <v>1</v>
      </c>
      <c r="I869">
        <v>0</v>
      </c>
      <c r="J869">
        <v>1</v>
      </c>
      <c r="K869">
        <v>2</v>
      </c>
      <c r="L869">
        <v>90</v>
      </c>
      <c r="M869">
        <v>39</v>
      </c>
      <c r="N869">
        <v>3.27</v>
      </c>
      <c r="O869">
        <f t="shared" si="26"/>
        <v>0</v>
      </c>
      <c r="P869">
        <f t="shared" si="27"/>
        <v>4</v>
      </c>
      <c r="Q869" s="2">
        <v>302</v>
      </c>
      <c r="R869" s="1">
        <v>45746</v>
      </c>
      <c r="S869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254.91000000000003</v>
      </c>
    </row>
    <row r="870" spans="1:19" x14ac:dyDescent="0.3">
      <c r="A870" t="s">
        <v>1168</v>
      </c>
      <c r="B870" t="s">
        <v>45</v>
      </c>
      <c r="C870" t="s">
        <v>20</v>
      </c>
      <c r="D870">
        <v>40.750237400000003</v>
      </c>
      <c r="E870">
        <v>-73.996189099999995</v>
      </c>
      <c r="F870" t="s">
        <v>21</v>
      </c>
      <c r="G870">
        <v>1</v>
      </c>
      <c r="H870">
        <v>1</v>
      </c>
      <c r="I870">
        <v>1</v>
      </c>
      <c r="J870">
        <v>1</v>
      </c>
      <c r="K870">
        <v>30</v>
      </c>
      <c r="L870">
        <v>125</v>
      </c>
      <c r="M870">
        <v>4</v>
      </c>
      <c r="N870">
        <v>0.51</v>
      </c>
      <c r="O870">
        <f t="shared" si="26"/>
        <v>0</v>
      </c>
      <c r="P870">
        <f t="shared" si="27"/>
        <v>4</v>
      </c>
      <c r="Q870" s="2">
        <v>67</v>
      </c>
      <c r="R870" s="1">
        <v>45747</v>
      </c>
      <c r="S870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140.73000000000002</v>
      </c>
    </row>
    <row r="871" spans="1:19" x14ac:dyDescent="0.3">
      <c r="A871" t="s">
        <v>1169</v>
      </c>
      <c r="B871" t="s">
        <v>38</v>
      </c>
      <c r="C871" t="s">
        <v>20</v>
      </c>
      <c r="D871">
        <v>40.759687700000001</v>
      </c>
      <c r="E871">
        <v>-73.990979600000003</v>
      </c>
      <c r="F871" t="s">
        <v>21</v>
      </c>
      <c r="G871">
        <v>1</v>
      </c>
      <c r="H871">
        <v>1</v>
      </c>
      <c r="I871">
        <v>1</v>
      </c>
      <c r="J871">
        <v>1</v>
      </c>
      <c r="K871">
        <v>30</v>
      </c>
      <c r="L871">
        <v>165</v>
      </c>
      <c r="M871">
        <v>5</v>
      </c>
      <c r="N871">
        <v>0.45</v>
      </c>
      <c r="O871">
        <f t="shared" si="26"/>
        <v>0</v>
      </c>
      <c r="P871">
        <f t="shared" si="27"/>
        <v>4</v>
      </c>
      <c r="Q871" s="2">
        <v>57</v>
      </c>
      <c r="R871" s="1">
        <v>45747</v>
      </c>
      <c r="S871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139.13</v>
      </c>
    </row>
    <row r="872" spans="1:19" x14ac:dyDescent="0.3">
      <c r="A872" t="s">
        <v>1170</v>
      </c>
      <c r="B872" t="s">
        <v>19</v>
      </c>
      <c r="C872" t="s">
        <v>20</v>
      </c>
      <c r="D872">
        <v>40.764395</v>
      </c>
      <c r="E872">
        <v>-73.981741</v>
      </c>
      <c r="F872" t="s">
        <v>18</v>
      </c>
      <c r="G872">
        <v>2</v>
      </c>
      <c r="H872">
        <v>1</v>
      </c>
      <c r="I872">
        <v>1</v>
      </c>
      <c r="J872">
        <v>1</v>
      </c>
      <c r="K872">
        <v>1</v>
      </c>
      <c r="L872">
        <v>112</v>
      </c>
      <c r="M872">
        <v>23</v>
      </c>
      <c r="N872">
        <v>1.73</v>
      </c>
      <c r="O872">
        <f t="shared" si="26"/>
        <v>1</v>
      </c>
      <c r="P872">
        <f t="shared" si="27"/>
        <v>4</v>
      </c>
      <c r="Q872" s="2">
        <v>317</v>
      </c>
      <c r="R872" s="1">
        <v>45731</v>
      </c>
      <c r="S872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214.08000000000004</v>
      </c>
    </row>
    <row r="873" spans="1:19" x14ac:dyDescent="0.3">
      <c r="A873" t="s">
        <v>1171</v>
      </c>
      <c r="B873" t="s">
        <v>49</v>
      </c>
      <c r="C873" t="s">
        <v>20</v>
      </c>
      <c r="D873" s="3" t="s">
        <v>1172</v>
      </c>
      <c r="E873">
        <v>-73.978338225721501</v>
      </c>
      <c r="F873" t="s">
        <v>21</v>
      </c>
      <c r="G873">
        <v>2</v>
      </c>
      <c r="H873">
        <v>1</v>
      </c>
      <c r="I873">
        <v>1</v>
      </c>
      <c r="J873">
        <v>1</v>
      </c>
      <c r="K873">
        <v>30</v>
      </c>
      <c r="L873">
        <v>326</v>
      </c>
      <c r="M873">
        <v>1</v>
      </c>
      <c r="N873">
        <v>0.48</v>
      </c>
      <c r="O873">
        <f t="shared" si="26"/>
        <v>0</v>
      </c>
      <c r="P873">
        <f t="shared" si="27"/>
        <v>4</v>
      </c>
      <c r="Q873" s="2">
        <v>120</v>
      </c>
      <c r="R873" s="1">
        <v>45717</v>
      </c>
      <c r="S873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151.67000000000002</v>
      </c>
    </row>
    <row r="874" spans="1:19" x14ac:dyDescent="0.3">
      <c r="A874" t="s">
        <v>1173</v>
      </c>
      <c r="B874" t="s">
        <v>19</v>
      </c>
      <c r="C874" t="s">
        <v>20</v>
      </c>
      <c r="D874">
        <v>40.755943600000002</v>
      </c>
      <c r="E874">
        <v>-73.980187099999995</v>
      </c>
      <c r="F874" t="s">
        <v>18</v>
      </c>
      <c r="G874">
        <v>2</v>
      </c>
      <c r="H874">
        <v>1</v>
      </c>
      <c r="I874">
        <v>1</v>
      </c>
      <c r="J874">
        <v>1</v>
      </c>
      <c r="K874">
        <v>1</v>
      </c>
      <c r="L874">
        <v>82</v>
      </c>
      <c r="M874">
        <v>26</v>
      </c>
      <c r="N874">
        <v>2.0499999999999998</v>
      </c>
      <c r="O874">
        <f t="shared" si="26"/>
        <v>1</v>
      </c>
      <c r="P874">
        <f t="shared" si="27"/>
        <v>4</v>
      </c>
      <c r="Q874" s="2">
        <v>300</v>
      </c>
      <c r="R874" s="1">
        <v>45746</v>
      </c>
      <c r="S874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215.28000000000003</v>
      </c>
    </row>
    <row r="875" spans="1:19" x14ac:dyDescent="0.3">
      <c r="A875" t="s">
        <v>1174</v>
      </c>
      <c r="B875" t="s">
        <v>19</v>
      </c>
      <c r="C875" t="s">
        <v>20</v>
      </c>
      <c r="D875">
        <v>40.746290000000002</v>
      </c>
      <c r="E875">
        <v>-73.988709999999998</v>
      </c>
      <c r="F875" t="s">
        <v>18</v>
      </c>
      <c r="G875">
        <v>4</v>
      </c>
      <c r="H875">
        <v>1</v>
      </c>
      <c r="I875">
        <v>1</v>
      </c>
      <c r="J875">
        <v>2</v>
      </c>
      <c r="K875">
        <v>1</v>
      </c>
      <c r="L875">
        <v>290</v>
      </c>
      <c r="M875">
        <v>11</v>
      </c>
      <c r="N875">
        <v>0.84</v>
      </c>
      <c r="O875">
        <f t="shared" si="26"/>
        <v>1</v>
      </c>
      <c r="P875">
        <f t="shared" si="27"/>
        <v>4</v>
      </c>
      <c r="Q875" s="2">
        <v>150</v>
      </c>
      <c r="R875" s="1">
        <v>45733</v>
      </c>
      <c r="S875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244.92000000000007</v>
      </c>
    </row>
    <row r="876" spans="1:19" x14ac:dyDescent="0.3">
      <c r="A876" t="s">
        <v>1175</v>
      </c>
      <c r="B876" t="s">
        <v>27</v>
      </c>
      <c r="C876" t="s">
        <v>17</v>
      </c>
      <c r="D876">
        <v>40.685127799999997</v>
      </c>
      <c r="E876">
        <v>-73.942102300000002</v>
      </c>
      <c r="F876" t="s">
        <v>21</v>
      </c>
      <c r="G876">
        <v>8</v>
      </c>
      <c r="H876">
        <v>2.5</v>
      </c>
      <c r="I876">
        <v>3</v>
      </c>
      <c r="J876">
        <v>3</v>
      </c>
      <c r="K876">
        <v>30</v>
      </c>
      <c r="L876">
        <v>351</v>
      </c>
      <c r="M876">
        <v>1</v>
      </c>
      <c r="N876">
        <v>0.77</v>
      </c>
      <c r="O876">
        <f t="shared" si="26"/>
        <v>0</v>
      </c>
      <c r="P876">
        <f t="shared" si="27"/>
        <v>2</v>
      </c>
      <c r="Q876" s="2">
        <v>189</v>
      </c>
      <c r="R876" s="1">
        <v>45740</v>
      </c>
      <c r="S876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250.92000000000007</v>
      </c>
    </row>
    <row r="877" spans="1:19" x14ac:dyDescent="0.3">
      <c r="A877" t="s">
        <v>1176</v>
      </c>
      <c r="B877" t="s">
        <v>19</v>
      </c>
      <c r="C877" t="s">
        <v>20</v>
      </c>
      <c r="D877">
        <v>40.74633</v>
      </c>
      <c r="E877">
        <v>-73.987489999999994</v>
      </c>
      <c r="F877" t="s">
        <v>18</v>
      </c>
      <c r="G877">
        <v>3</v>
      </c>
      <c r="H877">
        <v>1</v>
      </c>
      <c r="I877">
        <v>1</v>
      </c>
      <c r="J877">
        <v>2</v>
      </c>
      <c r="K877">
        <v>1</v>
      </c>
      <c r="L877">
        <v>281</v>
      </c>
      <c r="M877">
        <v>9</v>
      </c>
      <c r="N877">
        <v>0.7</v>
      </c>
      <c r="O877">
        <f t="shared" si="26"/>
        <v>1</v>
      </c>
      <c r="P877">
        <f t="shared" si="27"/>
        <v>4</v>
      </c>
      <c r="Q877" s="2">
        <v>169</v>
      </c>
      <c r="R877" s="1">
        <v>45743</v>
      </c>
      <c r="S877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226.3</v>
      </c>
    </row>
    <row r="878" spans="1:19" x14ac:dyDescent="0.3">
      <c r="A878" t="s">
        <v>1177</v>
      </c>
      <c r="B878" t="s">
        <v>481</v>
      </c>
      <c r="C878" t="s">
        <v>91</v>
      </c>
      <c r="D878">
        <v>40.616909999999997</v>
      </c>
      <c r="E878">
        <v>-74.164649999999995</v>
      </c>
      <c r="F878" t="s">
        <v>18</v>
      </c>
      <c r="G878">
        <v>1</v>
      </c>
      <c r="H878">
        <v>1</v>
      </c>
      <c r="I878">
        <v>1</v>
      </c>
      <c r="J878">
        <v>1</v>
      </c>
      <c r="K878">
        <v>3</v>
      </c>
      <c r="L878">
        <v>329</v>
      </c>
      <c r="M878">
        <v>35</v>
      </c>
      <c r="N878">
        <v>2.88</v>
      </c>
      <c r="O878">
        <f t="shared" si="26"/>
        <v>1</v>
      </c>
      <c r="P878">
        <f t="shared" si="27"/>
        <v>0</v>
      </c>
      <c r="Q878" s="2">
        <v>68</v>
      </c>
      <c r="R878" s="1">
        <v>45725</v>
      </c>
      <c r="S878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118.8</v>
      </c>
    </row>
    <row r="879" spans="1:19" x14ac:dyDescent="0.3">
      <c r="A879" t="s">
        <v>1179</v>
      </c>
      <c r="B879" t="s">
        <v>119</v>
      </c>
      <c r="C879" t="s">
        <v>31</v>
      </c>
      <c r="D879" s="3" t="s">
        <v>1180</v>
      </c>
      <c r="E879">
        <v>-73.926019749202695</v>
      </c>
      <c r="F879" t="s">
        <v>18</v>
      </c>
      <c r="G879">
        <v>2</v>
      </c>
      <c r="H879">
        <v>1</v>
      </c>
      <c r="I879">
        <v>1</v>
      </c>
      <c r="J879">
        <v>1</v>
      </c>
      <c r="K879">
        <v>10</v>
      </c>
      <c r="L879">
        <v>187</v>
      </c>
      <c r="M879">
        <v>22</v>
      </c>
      <c r="N879">
        <v>1.64</v>
      </c>
      <c r="O879">
        <f t="shared" si="26"/>
        <v>1</v>
      </c>
      <c r="P879">
        <f t="shared" si="27"/>
        <v>0</v>
      </c>
      <c r="Q879" s="2">
        <v>74</v>
      </c>
      <c r="R879" s="1">
        <v>45738</v>
      </c>
      <c r="S879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120.01000000000003</v>
      </c>
    </row>
    <row r="880" spans="1:19" x14ac:dyDescent="0.3">
      <c r="A880" t="s">
        <v>1181</v>
      </c>
      <c r="B880" t="s">
        <v>38</v>
      </c>
      <c r="C880" t="s">
        <v>20</v>
      </c>
      <c r="D880" s="3" t="s">
        <v>1182</v>
      </c>
      <c r="E880">
        <v>-73.990476325300804</v>
      </c>
      <c r="F880" t="s">
        <v>21</v>
      </c>
      <c r="G880">
        <v>1</v>
      </c>
      <c r="H880">
        <v>1</v>
      </c>
      <c r="I880">
        <v>0</v>
      </c>
      <c r="J880">
        <v>1</v>
      </c>
      <c r="K880">
        <v>30</v>
      </c>
      <c r="L880">
        <v>286</v>
      </c>
      <c r="M880">
        <v>4</v>
      </c>
      <c r="N880">
        <v>0.56999999999999995</v>
      </c>
      <c r="O880">
        <f t="shared" si="26"/>
        <v>0</v>
      </c>
      <c r="P880">
        <f t="shared" si="27"/>
        <v>4</v>
      </c>
      <c r="Q880" s="2">
        <v>53</v>
      </c>
      <c r="R880" s="1">
        <v>45725</v>
      </c>
      <c r="S880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134.29000000000002</v>
      </c>
    </row>
    <row r="881" spans="1:19" x14ac:dyDescent="0.3">
      <c r="A881" t="s">
        <v>1183</v>
      </c>
      <c r="B881" t="s">
        <v>154</v>
      </c>
      <c r="C881" t="s">
        <v>31</v>
      </c>
      <c r="D881">
        <v>40.8500382</v>
      </c>
      <c r="E881">
        <v>-73.903166299999995</v>
      </c>
      <c r="F881" t="s">
        <v>21</v>
      </c>
      <c r="G881">
        <v>2</v>
      </c>
      <c r="H881">
        <v>1</v>
      </c>
      <c r="I881">
        <v>1</v>
      </c>
      <c r="J881">
        <v>1</v>
      </c>
      <c r="K881">
        <v>30</v>
      </c>
      <c r="L881">
        <v>120</v>
      </c>
      <c r="M881">
        <v>6</v>
      </c>
      <c r="N881">
        <v>0.56999999999999995</v>
      </c>
      <c r="O881">
        <f t="shared" si="26"/>
        <v>0</v>
      </c>
      <c r="P881">
        <f t="shared" si="27"/>
        <v>0</v>
      </c>
      <c r="Q881" s="2">
        <v>81</v>
      </c>
      <c r="R881" s="1">
        <v>45747</v>
      </c>
      <c r="S881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98.990000000000023</v>
      </c>
    </row>
    <row r="882" spans="1:19" x14ac:dyDescent="0.3">
      <c r="A882" t="s">
        <v>1184</v>
      </c>
      <c r="B882" t="s">
        <v>38</v>
      </c>
      <c r="C882" t="s">
        <v>20</v>
      </c>
      <c r="D882">
        <v>40.760359999999999</v>
      </c>
      <c r="E882">
        <v>-73.991600000000005</v>
      </c>
      <c r="F882" t="s">
        <v>21</v>
      </c>
      <c r="G882">
        <v>1</v>
      </c>
      <c r="H882">
        <v>1</v>
      </c>
      <c r="I882">
        <v>0</v>
      </c>
      <c r="J882">
        <v>1</v>
      </c>
      <c r="K882">
        <v>30</v>
      </c>
      <c r="L882">
        <v>177</v>
      </c>
      <c r="M882">
        <v>3</v>
      </c>
      <c r="N882">
        <v>0.26</v>
      </c>
      <c r="O882">
        <f t="shared" si="26"/>
        <v>0</v>
      </c>
      <c r="P882">
        <f t="shared" si="27"/>
        <v>4</v>
      </c>
      <c r="Q882" s="2">
        <v>66</v>
      </c>
      <c r="R882" s="1">
        <v>45730</v>
      </c>
      <c r="S882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138.65</v>
      </c>
    </row>
    <row r="883" spans="1:19" x14ac:dyDescent="0.3">
      <c r="A883" t="s">
        <v>1185</v>
      </c>
      <c r="B883" t="s">
        <v>28</v>
      </c>
      <c r="C883" t="s">
        <v>20</v>
      </c>
      <c r="D883" s="3" t="s">
        <v>1186</v>
      </c>
      <c r="E883">
        <v>-73.947273788505299</v>
      </c>
      <c r="F883" t="s">
        <v>21</v>
      </c>
      <c r="G883">
        <v>8</v>
      </c>
      <c r="H883">
        <v>2</v>
      </c>
      <c r="I883">
        <v>3</v>
      </c>
      <c r="J883">
        <v>4</v>
      </c>
      <c r="K883">
        <v>3</v>
      </c>
      <c r="L883">
        <v>58</v>
      </c>
      <c r="M883">
        <v>14</v>
      </c>
      <c r="N883">
        <v>1.73</v>
      </c>
      <c r="O883">
        <f t="shared" si="26"/>
        <v>0</v>
      </c>
      <c r="P883">
        <f t="shared" si="27"/>
        <v>4</v>
      </c>
      <c r="Q883" s="2">
        <v>385</v>
      </c>
      <c r="R883" s="1">
        <v>45743</v>
      </c>
      <c r="S883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377.94000000000005</v>
      </c>
    </row>
    <row r="884" spans="1:19" x14ac:dyDescent="0.3">
      <c r="A884" t="s">
        <v>1187</v>
      </c>
      <c r="B884" t="s">
        <v>19</v>
      </c>
      <c r="C884" t="s">
        <v>20</v>
      </c>
      <c r="D884" s="3" t="s">
        <v>1188</v>
      </c>
      <c r="E884">
        <v>-73.988606020302996</v>
      </c>
      <c r="F884" t="s">
        <v>18</v>
      </c>
      <c r="G884">
        <v>3</v>
      </c>
      <c r="H884">
        <v>1</v>
      </c>
      <c r="I884">
        <v>1</v>
      </c>
      <c r="J884">
        <v>2</v>
      </c>
      <c r="K884">
        <v>1</v>
      </c>
      <c r="L884">
        <v>285</v>
      </c>
      <c r="M884">
        <v>14</v>
      </c>
      <c r="N884">
        <v>1.1100000000000001</v>
      </c>
      <c r="O884">
        <f t="shared" si="26"/>
        <v>1</v>
      </c>
      <c r="P884">
        <f t="shared" si="27"/>
        <v>4</v>
      </c>
      <c r="Q884" s="2">
        <v>161</v>
      </c>
      <c r="R884" s="1">
        <v>45731</v>
      </c>
      <c r="S884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226.14000000000004</v>
      </c>
    </row>
    <row r="885" spans="1:19" x14ac:dyDescent="0.3">
      <c r="A885" t="s">
        <v>1189</v>
      </c>
      <c r="B885" t="s">
        <v>78</v>
      </c>
      <c r="C885" t="s">
        <v>20</v>
      </c>
      <c r="D885">
        <v>40.757080000000002</v>
      </c>
      <c r="E885">
        <v>-73.983130000000003</v>
      </c>
      <c r="F885" t="s">
        <v>21</v>
      </c>
      <c r="G885">
        <v>4</v>
      </c>
      <c r="H885">
        <v>1</v>
      </c>
      <c r="I885">
        <v>1</v>
      </c>
      <c r="J885">
        <v>2</v>
      </c>
      <c r="K885">
        <v>30</v>
      </c>
      <c r="L885">
        <v>324</v>
      </c>
      <c r="M885">
        <v>3</v>
      </c>
      <c r="N885">
        <v>0.26</v>
      </c>
      <c r="O885">
        <f t="shared" si="26"/>
        <v>0</v>
      </c>
      <c r="P885">
        <f t="shared" si="27"/>
        <v>4</v>
      </c>
      <c r="Q885" s="2">
        <v>350</v>
      </c>
      <c r="R885" s="1">
        <v>45746</v>
      </c>
      <c r="S885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189.71000000000004</v>
      </c>
    </row>
    <row r="886" spans="1:19" x14ac:dyDescent="0.3">
      <c r="A886" t="s">
        <v>1190</v>
      </c>
      <c r="B886" t="s">
        <v>19</v>
      </c>
      <c r="C886" t="s">
        <v>20</v>
      </c>
      <c r="D886">
        <v>40.75329</v>
      </c>
      <c r="E886">
        <v>-73.974429999999998</v>
      </c>
      <c r="F886" t="s">
        <v>18</v>
      </c>
      <c r="G886">
        <v>2</v>
      </c>
      <c r="H886">
        <v>1</v>
      </c>
      <c r="I886">
        <v>1</v>
      </c>
      <c r="J886">
        <v>1</v>
      </c>
      <c r="K886">
        <v>1</v>
      </c>
      <c r="L886">
        <v>96</v>
      </c>
      <c r="M886">
        <v>96</v>
      </c>
      <c r="N886">
        <v>7.76</v>
      </c>
      <c r="O886">
        <f t="shared" si="26"/>
        <v>1</v>
      </c>
      <c r="P886">
        <f t="shared" si="27"/>
        <v>4</v>
      </c>
      <c r="Q886" s="2">
        <v>298</v>
      </c>
      <c r="R886" s="1">
        <v>45741</v>
      </c>
      <c r="S886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214.72000000000003</v>
      </c>
    </row>
    <row r="887" spans="1:19" x14ac:dyDescent="0.3">
      <c r="A887" t="s">
        <v>1191</v>
      </c>
      <c r="B887" t="s">
        <v>87</v>
      </c>
      <c r="C887" t="s">
        <v>17</v>
      </c>
      <c r="D887" s="3" t="s">
        <v>1192</v>
      </c>
      <c r="E887">
        <v>-73.954406289283796</v>
      </c>
      <c r="F887" t="s">
        <v>21</v>
      </c>
      <c r="G887">
        <v>2</v>
      </c>
      <c r="H887">
        <v>1</v>
      </c>
      <c r="I887">
        <v>0</v>
      </c>
      <c r="J887">
        <v>1</v>
      </c>
      <c r="K887">
        <v>3</v>
      </c>
      <c r="L887">
        <v>344</v>
      </c>
      <c r="M887">
        <v>14</v>
      </c>
      <c r="N887">
        <v>1.4</v>
      </c>
      <c r="O887">
        <f t="shared" si="26"/>
        <v>0</v>
      </c>
      <c r="P887">
        <f t="shared" si="27"/>
        <v>2</v>
      </c>
      <c r="Q887" s="2">
        <v>178</v>
      </c>
      <c r="R887" s="1">
        <v>45744</v>
      </c>
      <c r="S887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210.94000000000003</v>
      </c>
    </row>
    <row r="888" spans="1:19" x14ac:dyDescent="0.3">
      <c r="A888" t="s">
        <v>1193</v>
      </c>
      <c r="B888" t="s">
        <v>27</v>
      </c>
      <c r="C888" t="s">
        <v>17</v>
      </c>
      <c r="D888" s="3" t="s">
        <v>1194</v>
      </c>
      <c r="E888">
        <v>-73.940801424075801</v>
      </c>
      <c r="F888" t="s">
        <v>18</v>
      </c>
      <c r="G888">
        <v>1</v>
      </c>
      <c r="H888">
        <v>1</v>
      </c>
      <c r="I888">
        <v>1</v>
      </c>
      <c r="J888">
        <v>1</v>
      </c>
      <c r="K888">
        <v>30</v>
      </c>
      <c r="L888">
        <v>125</v>
      </c>
      <c r="M888">
        <v>3</v>
      </c>
      <c r="N888">
        <v>0.27</v>
      </c>
      <c r="O888">
        <f t="shared" si="26"/>
        <v>1</v>
      </c>
      <c r="P888">
        <f t="shared" si="27"/>
        <v>2</v>
      </c>
      <c r="Q888" s="2">
        <v>54</v>
      </c>
      <c r="R888" s="1">
        <v>45735</v>
      </c>
      <c r="S888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66.97</v>
      </c>
    </row>
    <row r="889" spans="1:19" x14ac:dyDescent="0.3">
      <c r="A889" t="s">
        <v>1195</v>
      </c>
      <c r="B889" t="s">
        <v>19</v>
      </c>
      <c r="C889" t="s">
        <v>20</v>
      </c>
      <c r="D889" s="3" t="s">
        <v>1196</v>
      </c>
      <c r="E889">
        <v>-73.988509191693296</v>
      </c>
      <c r="F889" t="s">
        <v>18</v>
      </c>
      <c r="G889">
        <v>3</v>
      </c>
      <c r="H889">
        <v>1</v>
      </c>
      <c r="I889">
        <v>1</v>
      </c>
      <c r="J889">
        <v>2</v>
      </c>
      <c r="K889">
        <v>1</v>
      </c>
      <c r="L889">
        <v>277</v>
      </c>
      <c r="M889">
        <v>16</v>
      </c>
      <c r="N889">
        <v>1.36</v>
      </c>
      <c r="O889">
        <f t="shared" si="26"/>
        <v>1</v>
      </c>
      <c r="P889">
        <f t="shared" si="27"/>
        <v>4</v>
      </c>
      <c r="Q889" s="2">
        <v>132</v>
      </c>
      <c r="R889" s="1">
        <v>45739</v>
      </c>
      <c r="S889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226.46000000000004</v>
      </c>
    </row>
    <row r="890" spans="1:19" x14ac:dyDescent="0.3">
      <c r="A890" t="s">
        <v>1197</v>
      </c>
      <c r="B890" t="s">
        <v>19</v>
      </c>
      <c r="C890" t="s">
        <v>20</v>
      </c>
      <c r="D890">
        <v>40.761299999999999</v>
      </c>
      <c r="E890">
        <v>-73.977999999999994</v>
      </c>
      <c r="F890" t="s">
        <v>21</v>
      </c>
      <c r="G890">
        <v>2</v>
      </c>
      <c r="H890">
        <v>1</v>
      </c>
      <c r="I890">
        <v>1</v>
      </c>
      <c r="J890">
        <v>1</v>
      </c>
      <c r="K890">
        <v>30</v>
      </c>
      <c r="L890">
        <v>233</v>
      </c>
      <c r="M890">
        <v>2</v>
      </c>
      <c r="N890">
        <v>0.23</v>
      </c>
      <c r="O890">
        <f t="shared" si="26"/>
        <v>0</v>
      </c>
      <c r="P890">
        <f t="shared" si="27"/>
        <v>4</v>
      </c>
      <c r="Q890" s="2">
        <v>189</v>
      </c>
      <c r="R890" s="1">
        <v>45747</v>
      </c>
      <c r="S890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155.39000000000004</v>
      </c>
    </row>
    <row r="891" spans="1:19" x14ac:dyDescent="0.3">
      <c r="A891" t="s">
        <v>1198</v>
      </c>
      <c r="B891" t="s">
        <v>19</v>
      </c>
      <c r="C891" t="s">
        <v>20</v>
      </c>
      <c r="D891" s="3" t="s">
        <v>1199</v>
      </c>
      <c r="E891">
        <v>-73.988860913529194</v>
      </c>
      <c r="F891" t="s">
        <v>18</v>
      </c>
      <c r="G891">
        <v>4</v>
      </c>
      <c r="H891">
        <v>1</v>
      </c>
      <c r="I891">
        <v>1</v>
      </c>
      <c r="J891">
        <v>2</v>
      </c>
      <c r="K891">
        <v>1</v>
      </c>
      <c r="L891">
        <v>292</v>
      </c>
      <c r="M891">
        <v>13</v>
      </c>
      <c r="N891">
        <v>1.1100000000000001</v>
      </c>
      <c r="O891">
        <f t="shared" si="26"/>
        <v>1</v>
      </c>
      <c r="P891">
        <f t="shared" si="27"/>
        <v>4</v>
      </c>
      <c r="Q891" s="2">
        <v>192</v>
      </c>
      <c r="R891" s="1">
        <v>45733</v>
      </c>
      <c r="S891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244.84000000000003</v>
      </c>
    </row>
    <row r="892" spans="1:19" x14ac:dyDescent="0.3">
      <c r="A892" t="s">
        <v>1200</v>
      </c>
      <c r="B892" t="s">
        <v>19</v>
      </c>
      <c r="C892" t="s">
        <v>20</v>
      </c>
      <c r="D892">
        <v>40.746189999999999</v>
      </c>
      <c r="E892">
        <v>-73.986760000000004</v>
      </c>
      <c r="F892" t="s">
        <v>18</v>
      </c>
      <c r="G892">
        <v>4</v>
      </c>
      <c r="H892">
        <v>1</v>
      </c>
      <c r="I892">
        <v>1</v>
      </c>
      <c r="J892">
        <v>2</v>
      </c>
      <c r="K892">
        <v>1</v>
      </c>
      <c r="L892">
        <v>292</v>
      </c>
      <c r="M892">
        <v>8</v>
      </c>
      <c r="N892">
        <v>0.65</v>
      </c>
      <c r="O892">
        <f t="shared" si="26"/>
        <v>1</v>
      </c>
      <c r="P892">
        <f t="shared" si="27"/>
        <v>4</v>
      </c>
      <c r="Q892" s="2">
        <v>134</v>
      </c>
      <c r="R892" s="1">
        <v>45720</v>
      </c>
      <c r="S892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244.84000000000003</v>
      </c>
    </row>
    <row r="893" spans="1:19" x14ac:dyDescent="0.3">
      <c r="A893" t="s">
        <v>1201</v>
      </c>
      <c r="B893" t="s">
        <v>53</v>
      </c>
      <c r="C893" t="s">
        <v>20</v>
      </c>
      <c r="D893">
        <v>40.791371949864001</v>
      </c>
      <c r="E893">
        <v>-73.976079601475007</v>
      </c>
      <c r="F893" t="s">
        <v>21</v>
      </c>
      <c r="G893">
        <v>2</v>
      </c>
      <c r="H893">
        <v>1</v>
      </c>
      <c r="I893">
        <v>1</v>
      </c>
      <c r="J893">
        <v>1</v>
      </c>
      <c r="K893">
        <v>30</v>
      </c>
      <c r="L893">
        <v>263</v>
      </c>
      <c r="M893">
        <v>3</v>
      </c>
      <c r="N893">
        <v>0.52</v>
      </c>
      <c r="O893">
        <f t="shared" si="26"/>
        <v>0</v>
      </c>
      <c r="P893">
        <f t="shared" si="27"/>
        <v>4</v>
      </c>
      <c r="Q893" s="2">
        <v>189</v>
      </c>
      <c r="R893" s="1">
        <v>45747</v>
      </c>
      <c r="S893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154.19000000000003</v>
      </c>
    </row>
    <row r="894" spans="1:19" x14ac:dyDescent="0.3">
      <c r="A894" t="s">
        <v>1202</v>
      </c>
      <c r="B894" t="s">
        <v>38</v>
      </c>
      <c r="C894" t="s">
        <v>20</v>
      </c>
      <c r="D894">
        <v>40.756729999999997</v>
      </c>
      <c r="E894">
        <v>-73.992909999999995</v>
      </c>
      <c r="F894" t="s">
        <v>21</v>
      </c>
      <c r="G894">
        <v>2</v>
      </c>
      <c r="H894">
        <v>1</v>
      </c>
      <c r="I894">
        <v>1</v>
      </c>
      <c r="J894">
        <v>1</v>
      </c>
      <c r="K894">
        <v>30</v>
      </c>
      <c r="L894">
        <v>178</v>
      </c>
      <c r="M894">
        <v>3</v>
      </c>
      <c r="N894">
        <v>0.32</v>
      </c>
      <c r="O894">
        <f t="shared" si="26"/>
        <v>0</v>
      </c>
      <c r="P894">
        <f t="shared" si="27"/>
        <v>4</v>
      </c>
      <c r="Q894" s="2">
        <v>185</v>
      </c>
      <c r="R894" s="1">
        <v>45742</v>
      </c>
      <c r="S894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157.59000000000003</v>
      </c>
    </row>
    <row r="895" spans="1:19" x14ac:dyDescent="0.3">
      <c r="A895" t="s">
        <v>1203</v>
      </c>
      <c r="B895" t="s">
        <v>27</v>
      </c>
      <c r="C895" t="s">
        <v>17</v>
      </c>
      <c r="D895" s="3" t="s">
        <v>1204</v>
      </c>
      <c r="E895">
        <v>-73.919871045773803</v>
      </c>
      <c r="F895" t="s">
        <v>18</v>
      </c>
      <c r="G895">
        <v>2</v>
      </c>
      <c r="H895">
        <v>2</v>
      </c>
      <c r="I895">
        <v>1</v>
      </c>
      <c r="J895">
        <v>1</v>
      </c>
      <c r="K895">
        <v>5</v>
      </c>
      <c r="L895">
        <v>257</v>
      </c>
      <c r="M895">
        <v>17</v>
      </c>
      <c r="N895">
        <v>1.38</v>
      </c>
      <c r="O895">
        <f t="shared" si="26"/>
        <v>1</v>
      </c>
      <c r="P895">
        <f t="shared" si="27"/>
        <v>2</v>
      </c>
      <c r="Q895" s="2">
        <v>120</v>
      </c>
      <c r="R895" s="1">
        <v>45742</v>
      </c>
      <c r="S895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175.64000000000001</v>
      </c>
    </row>
    <row r="896" spans="1:19" x14ac:dyDescent="0.3">
      <c r="A896" t="s">
        <v>1205</v>
      </c>
      <c r="B896" t="s">
        <v>27</v>
      </c>
      <c r="C896" t="s">
        <v>17</v>
      </c>
      <c r="D896" s="3" t="s">
        <v>1206</v>
      </c>
      <c r="E896">
        <v>-73.921032815816801</v>
      </c>
      <c r="F896" t="s">
        <v>18</v>
      </c>
      <c r="G896">
        <v>2</v>
      </c>
      <c r="H896">
        <v>2</v>
      </c>
      <c r="I896">
        <v>1</v>
      </c>
      <c r="J896">
        <v>1</v>
      </c>
      <c r="K896">
        <v>5</v>
      </c>
      <c r="L896">
        <v>265</v>
      </c>
      <c r="M896">
        <v>21</v>
      </c>
      <c r="N896">
        <v>1.71</v>
      </c>
      <c r="O896">
        <f t="shared" si="26"/>
        <v>1</v>
      </c>
      <c r="P896">
        <f t="shared" si="27"/>
        <v>2</v>
      </c>
      <c r="Q896" s="2">
        <v>146</v>
      </c>
      <c r="R896" s="1">
        <v>45736</v>
      </c>
      <c r="S896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175.32000000000002</v>
      </c>
    </row>
    <row r="897" spans="1:19" x14ac:dyDescent="0.3">
      <c r="A897" t="s">
        <v>1207</v>
      </c>
      <c r="B897" t="s">
        <v>53</v>
      </c>
      <c r="C897" t="s">
        <v>20</v>
      </c>
      <c r="D897">
        <v>40.8024986</v>
      </c>
      <c r="E897">
        <v>-73.966844399999999</v>
      </c>
      <c r="F897" t="s">
        <v>18</v>
      </c>
      <c r="G897">
        <v>2</v>
      </c>
      <c r="H897">
        <v>2</v>
      </c>
      <c r="I897">
        <v>1</v>
      </c>
      <c r="J897">
        <v>1</v>
      </c>
      <c r="K897">
        <v>30</v>
      </c>
      <c r="L897">
        <v>269</v>
      </c>
      <c r="M897">
        <v>3</v>
      </c>
      <c r="N897">
        <v>0.27</v>
      </c>
      <c r="O897">
        <f t="shared" si="26"/>
        <v>1</v>
      </c>
      <c r="P897">
        <f t="shared" si="27"/>
        <v>4</v>
      </c>
      <c r="Q897" s="2">
        <v>79</v>
      </c>
      <c r="R897" s="1">
        <v>45736</v>
      </c>
      <c r="S897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121.87000000000002</v>
      </c>
    </row>
    <row r="898" spans="1:19" x14ac:dyDescent="0.3">
      <c r="A898" t="s">
        <v>1208</v>
      </c>
      <c r="B898" t="s">
        <v>36</v>
      </c>
      <c r="C898" t="s">
        <v>20</v>
      </c>
      <c r="D898" s="3" t="s">
        <v>1209</v>
      </c>
      <c r="E898">
        <v>-73.946207627257706</v>
      </c>
      <c r="F898" t="s">
        <v>21</v>
      </c>
      <c r="G898">
        <v>3</v>
      </c>
      <c r="H898">
        <v>1</v>
      </c>
      <c r="I898">
        <v>2</v>
      </c>
      <c r="J898">
        <v>2</v>
      </c>
      <c r="K898">
        <v>30</v>
      </c>
      <c r="L898">
        <v>364</v>
      </c>
      <c r="M898">
        <v>3</v>
      </c>
      <c r="N898">
        <v>0.27</v>
      </c>
      <c r="O898">
        <f t="shared" si="26"/>
        <v>0</v>
      </c>
      <c r="P898">
        <f t="shared" si="27"/>
        <v>4</v>
      </c>
      <c r="Q898" s="2">
        <v>127</v>
      </c>
      <c r="R898" s="1">
        <v>45734</v>
      </c>
      <c r="S898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169.13</v>
      </c>
    </row>
    <row r="899" spans="1:19" x14ac:dyDescent="0.3">
      <c r="A899" t="s">
        <v>1210</v>
      </c>
      <c r="B899" t="s">
        <v>27</v>
      </c>
      <c r="C899" t="s">
        <v>17</v>
      </c>
      <c r="D899" s="3" t="s">
        <v>1211</v>
      </c>
      <c r="E899">
        <v>-73.917886271948205</v>
      </c>
      <c r="F899" t="s">
        <v>18</v>
      </c>
      <c r="G899">
        <v>2</v>
      </c>
      <c r="H899">
        <v>1</v>
      </c>
      <c r="I899">
        <v>1</v>
      </c>
      <c r="J899">
        <v>1</v>
      </c>
      <c r="K899">
        <v>5</v>
      </c>
      <c r="L899">
        <v>269</v>
      </c>
      <c r="M899">
        <v>24</v>
      </c>
      <c r="N899">
        <v>2.02</v>
      </c>
      <c r="O899">
        <f t="shared" ref="O899:O962" si="28">IF(F899="Private room",1,0)</f>
        <v>1</v>
      </c>
      <c r="P899">
        <f t="shared" ref="P899:P962" si="29">IF(C899="Manhattan",4,IF(C899="Brooklyn",2,0))</f>
        <v>2</v>
      </c>
      <c r="Q899" s="2">
        <v>110</v>
      </c>
      <c r="R899" s="1">
        <v>45745</v>
      </c>
      <c r="S899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163.94000000000003</v>
      </c>
    </row>
    <row r="900" spans="1:19" x14ac:dyDescent="0.3">
      <c r="A900" t="s">
        <v>1212</v>
      </c>
      <c r="B900" t="s">
        <v>196</v>
      </c>
      <c r="C900" t="s">
        <v>17</v>
      </c>
      <c r="D900">
        <v>40.678109999999997</v>
      </c>
      <c r="E900">
        <v>-73.90719</v>
      </c>
      <c r="F900" t="s">
        <v>18</v>
      </c>
      <c r="G900">
        <v>2</v>
      </c>
      <c r="H900">
        <v>2</v>
      </c>
      <c r="I900">
        <v>1</v>
      </c>
      <c r="J900">
        <v>1</v>
      </c>
      <c r="K900">
        <v>5</v>
      </c>
      <c r="L900">
        <v>263</v>
      </c>
      <c r="M900">
        <v>24</v>
      </c>
      <c r="N900">
        <v>2.0299999999999998</v>
      </c>
      <c r="O900">
        <f t="shared" si="28"/>
        <v>1</v>
      </c>
      <c r="P900">
        <f t="shared" si="29"/>
        <v>2</v>
      </c>
      <c r="Q900" s="2">
        <v>163</v>
      </c>
      <c r="R900" s="1">
        <v>45737</v>
      </c>
      <c r="S900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175.4</v>
      </c>
    </row>
    <row r="901" spans="1:19" x14ac:dyDescent="0.3">
      <c r="A901" t="s">
        <v>1213</v>
      </c>
      <c r="B901" t="s">
        <v>95</v>
      </c>
      <c r="C901" t="s">
        <v>20</v>
      </c>
      <c r="D901">
        <v>40.750250600000001</v>
      </c>
      <c r="E901">
        <v>-73.977745299999995</v>
      </c>
      <c r="F901" t="s">
        <v>21</v>
      </c>
      <c r="G901">
        <v>2</v>
      </c>
      <c r="H901">
        <v>1</v>
      </c>
      <c r="I901">
        <v>0</v>
      </c>
      <c r="J901">
        <v>1</v>
      </c>
      <c r="K901">
        <v>30</v>
      </c>
      <c r="L901">
        <v>259</v>
      </c>
      <c r="M901">
        <v>2</v>
      </c>
      <c r="N901">
        <v>0.51</v>
      </c>
      <c r="O901">
        <f t="shared" si="28"/>
        <v>0</v>
      </c>
      <c r="P901">
        <f t="shared" si="29"/>
        <v>4</v>
      </c>
      <c r="Q901" s="2">
        <v>141</v>
      </c>
      <c r="R901" s="1">
        <v>45739</v>
      </c>
      <c r="S901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154.35000000000002</v>
      </c>
    </row>
    <row r="902" spans="1:19" x14ac:dyDescent="0.3">
      <c r="A902" t="s">
        <v>1214</v>
      </c>
      <c r="B902" t="s">
        <v>49</v>
      </c>
      <c r="C902" t="s">
        <v>20</v>
      </c>
      <c r="D902">
        <v>40.739519999999999</v>
      </c>
      <c r="E902">
        <v>-73.981859999999998</v>
      </c>
      <c r="F902" t="s">
        <v>21</v>
      </c>
      <c r="G902">
        <v>4</v>
      </c>
      <c r="H902">
        <v>1</v>
      </c>
      <c r="I902">
        <v>2</v>
      </c>
      <c r="J902">
        <v>2</v>
      </c>
      <c r="K902">
        <v>30</v>
      </c>
      <c r="L902">
        <v>215</v>
      </c>
      <c r="M902">
        <v>7</v>
      </c>
      <c r="N902">
        <v>0.62</v>
      </c>
      <c r="O902">
        <f t="shared" si="28"/>
        <v>0</v>
      </c>
      <c r="P902">
        <f t="shared" si="29"/>
        <v>4</v>
      </c>
      <c r="Q902" s="2">
        <v>233</v>
      </c>
      <c r="R902" s="1">
        <v>45732</v>
      </c>
      <c r="S902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194.07000000000005</v>
      </c>
    </row>
    <row r="903" spans="1:19" x14ac:dyDescent="0.3">
      <c r="A903" t="s">
        <v>1215</v>
      </c>
      <c r="B903" t="s">
        <v>19</v>
      </c>
      <c r="C903" t="s">
        <v>20</v>
      </c>
      <c r="D903" s="3" t="s">
        <v>1216</v>
      </c>
      <c r="E903">
        <v>-73.987256568890004</v>
      </c>
      <c r="F903" t="s">
        <v>18</v>
      </c>
      <c r="G903">
        <v>2</v>
      </c>
      <c r="H903">
        <v>1</v>
      </c>
      <c r="I903">
        <v>1</v>
      </c>
      <c r="J903">
        <v>1</v>
      </c>
      <c r="K903">
        <v>1</v>
      </c>
      <c r="L903">
        <v>275</v>
      </c>
      <c r="M903">
        <v>19</v>
      </c>
      <c r="N903">
        <v>1.63</v>
      </c>
      <c r="O903">
        <f t="shared" si="28"/>
        <v>1</v>
      </c>
      <c r="P903">
        <f t="shared" si="29"/>
        <v>4</v>
      </c>
      <c r="Q903" s="2">
        <v>208</v>
      </c>
      <c r="R903" s="1">
        <v>45745</v>
      </c>
      <c r="S903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207.56000000000006</v>
      </c>
    </row>
    <row r="904" spans="1:19" x14ac:dyDescent="0.3">
      <c r="A904" t="s">
        <v>1217</v>
      </c>
      <c r="B904" t="s">
        <v>67</v>
      </c>
      <c r="C904" t="s">
        <v>17</v>
      </c>
      <c r="D904" s="3" t="s">
        <v>1218</v>
      </c>
      <c r="E904">
        <v>-73.919862614089197</v>
      </c>
      <c r="F904" t="s">
        <v>18</v>
      </c>
      <c r="G904">
        <v>2</v>
      </c>
      <c r="H904">
        <v>1</v>
      </c>
      <c r="I904">
        <v>1</v>
      </c>
      <c r="J904">
        <v>1</v>
      </c>
      <c r="K904">
        <v>5</v>
      </c>
      <c r="L904">
        <v>264</v>
      </c>
      <c r="M904">
        <v>23</v>
      </c>
      <c r="N904">
        <v>1.92</v>
      </c>
      <c r="O904">
        <f t="shared" si="28"/>
        <v>1</v>
      </c>
      <c r="P904">
        <f t="shared" si="29"/>
        <v>2</v>
      </c>
      <c r="Q904" s="2">
        <v>116</v>
      </c>
      <c r="R904" s="1">
        <v>45740</v>
      </c>
      <c r="S904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164.14000000000001</v>
      </c>
    </row>
    <row r="905" spans="1:19" x14ac:dyDescent="0.3">
      <c r="A905" t="s">
        <v>1219</v>
      </c>
      <c r="B905" t="s">
        <v>19</v>
      </c>
      <c r="C905" t="s">
        <v>20</v>
      </c>
      <c r="D905">
        <v>40.75403</v>
      </c>
      <c r="E905">
        <v>-73.990319999999997</v>
      </c>
      <c r="F905" t="s">
        <v>21</v>
      </c>
      <c r="G905">
        <v>2</v>
      </c>
      <c r="H905">
        <v>1</v>
      </c>
      <c r="I905">
        <v>1</v>
      </c>
      <c r="J905">
        <v>1</v>
      </c>
      <c r="K905">
        <v>5</v>
      </c>
      <c r="L905">
        <v>139</v>
      </c>
      <c r="M905">
        <v>27</v>
      </c>
      <c r="N905">
        <v>2.38</v>
      </c>
      <c r="O905">
        <f t="shared" si="28"/>
        <v>0</v>
      </c>
      <c r="P905">
        <f t="shared" si="29"/>
        <v>4</v>
      </c>
      <c r="Q905" s="2">
        <v>198</v>
      </c>
      <c r="R905" s="1">
        <v>45739</v>
      </c>
      <c r="S905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242.90000000000003</v>
      </c>
    </row>
    <row r="906" spans="1:19" x14ac:dyDescent="0.3">
      <c r="A906" t="s">
        <v>1220</v>
      </c>
      <c r="B906" t="s">
        <v>27</v>
      </c>
      <c r="C906" t="s">
        <v>17</v>
      </c>
      <c r="D906">
        <v>40.689720000000001</v>
      </c>
      <c r="E906">
        <v>-73.938450000000003</v>
      </c>
      <c r="F906" t="s">
        <v>18</v>
      </c>
      <c r="G906">
        <v>2</v>
      </c>
      <c r="H906">
        <v>1</v>
      </c>
      <c r="I906">
        <v>1</v>
      </c>
      <c r="J906">
        <v>1</v>
      </c>
      <c r="K906">
        <v>30</v>
      </c>
      <c r="L906">
        <v>153</v>
      </c>
      <c r="M906">
        <v>2</v>
      </c>
      <c r="N906">
        <v>0.19</v>
      </c>
      <c r="O906">
        <f t="shared" si="28"/>
        <v>1</v>
      </c>
      <c r="P906">
        <f t="shared" si="29"/>
        <v>2</v>
      </c>
      <c r="Q906" s="2">
        <v>51</v>
      </c>
      <c r="R906" s="1">
        <v>45718</v>
      </c>
      <c r="S906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84.830000000000013</v>
      </c>
    </row>
    <row r="907" spans="1:19" x14ac:dyDescent="0.3">
      <c r="A907" t="s">
        <v>1221</v>
      </c>
      <c r="B907" t="s">
        <v>205</v>
      </c>
      <c r="C907" t="s">
        <v>17</v>
      </c>
      <c r="D907" s="3" t="s">
        <v>1222</v>
      </c>
      <c r="E907">
        <v>-73.908469274282496</v>
      </c>
      <c r="F907" t="s">
        <v>18</v>
      </c>
      <c r="G907">
        <v>2</v>
      </c>
      <c r="H907">
        <v>1</v>
      </c>
      <c r="I907">
        <v>1</v>
      </c>
      <c r="J907">
        <v>1</v>
      </c>
      <c r="K907">
        <v>5</v>
      </c>
      <c r="L907">
        <v>365</v>
      </c>
      <c r="M907">
        <v>15</v>
      </c>
      <c r="N907">
        <v>1.33</v>
      </c>
      <c r="O907">
        <f t="shared" si="28"/>
        <v>1</v>
      </c>
      <c r="P907">
        <f t="shared" si="29"/>
        <v>2</v>
      </c>
      <c r="Q907" s="2">
        <v>120</v>
      </c>
      <c r="R907" s="1">
        <v>45743</v>
      </c>
      <c r="S907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160.10000000000005</v>
      </c>
    </row>
    <row r="908" spans="1:19" x14ac:dyDescent="0.3">
      <c r="A908" t="s">
        <v>1223</v>
      </c>
      <c r="B908" t="s">
        <v>56</v>
      </c>
      <c r="C908" t="s">
        <v>17</v>
      </c>
      <c r="D908" s="3" t="s">
        <v>1224</v>
      </c>
      <c r="E908">
        <v>-73.932993549346605</v>
      </c>
      <c r="F908" t="s">
        <v>21</v>
      </c>
      <c r="G908">
        <v>6</v>
      </c>
      <c r="H908">
        <v>2</v>
      </c>
      <c r="I908">
        <v>3</v>
      </c>
      <c r="J908">
        <v>4</v>
      </c>
      <c r="K908">
        <v>3</v>
      </c>
      <c r="L908">
        <v>140</v>
      </c>
      <c r="M908">
        <v>21</v>
      </c>
      <c r="N908">
        <v>1.94</v>
      </c>
      <c r="O908">
        <f t="shared" si="28"/>
        <v>0</v>
      </c>
      <c r="P908">
        <f t="shared" si="29"/>
        <v>2</v>
      </c>
      <c r="Q908" s="2">
        <v>361</v>
      </c>
      <c r="R908" s="1">
        <v>45726</v>
      </c>
      <c r="S908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306.23999999999995</v>
      </c>
    </row>
    <row r="909" spans="1:19" x14ac:dyDescent="0.3">
      <c r="A909" t="s">
        <v>1225</v>
      </c>
      <c r="B909" t="s">
        <v>38</v>
      </c>
      <c r="C909" t="s">
        <v>20</v>
      </c>
      <c r="D909">
        <v>40.759520000000002</v>
      </c>
      <c r="E909">
        <v>-73.991640000000004</v>
      </c>
      <c r="F909" t="s">
        <v>18</v>
      </c>
      <c r="G909">
        <v>2</v>
      </c>
      <c r="H909">
        <v>1</v>
      </c>
      <c r="I909">
        <v>1</v>
      </c>
      <c r="J909">
        <v>1</v>
      </c>
      <c r="K909">
        <v>1</v>
      </c>
      <c r="L909">
        <v>121</v>
      </c>
      <c r="M909">
        <v>46</v>
      </c>
      <c r="N909">
        <v>4</v>
      </c>
      <c r="O909">
        <f t="shared" si="28"/>
        <v>1</v>
      </c>
      <c r="P909">
        <f t="shared" si="29"/>
        <v>4</v>
      </c>
      <c r="Q909" s="2">
        <v>99</v>
      </c>
      <c r="R909" s="1">
        <v>45743</v>
      </c>
      <c r="S909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213.72000000000003</v>
      </c>
    </row>
    <row r="910" spans="1:19" x14ac:dyDescent="0.3">
      <c r="A910" t="s">
        <v>1226</v>
      </c>
      <c r="B910" t="s">
        <v>62</v>
      </c>
      <c r="C910" t="s">
        <v>20</v>
      </c>
      <c r="D910">
        <v>40.71763</v>
      </c>
      <c r="E910">
        <v>-73.996849999999995</v>
      </c>
      <c r="F910" t="s">
        <v>21</v>
      </c>
      <c r="G910">
        <v>2</v>
      </c>
      <c r="H910">
        <v>1</v>
      </c>
      <c r="I910">
        <v>1</v>
      </c>
      <c r="J910">
        <v>2</v>
      </c>
      <c r="K910">
        <v>30</v>
      </c>
      <c r="L910">
        <v>86</v>
      </c>
      <c r="M910">
        <v>2</v>
      </c>
      <c r="N910">
        <v>0.22</v>
      </c>
      <c r="O910">
        <f t="shared" si="28"/>
        <v>0</v>
      </c>
      <c r="P910">
        <f t="shared" si="29"/>
        <v>4</v>
      </c>
      <c r="Q910" s="2">
        <v>183</v>
      </c>
      <c r="R910" s="1">
        <v>45730</v>
      </c>
      <c r="S910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161.27000000000004</v>
      </c>
    </row>
    <row r="911" spans="1:19" x14ac:dyDescent="0.3">
      <c r="A911" t="s">
        <v>1227</v>
      </c>
      <c r="B911" t="s">
        <v>56</v>
      </c>
      <c r="C911" t="s">
        <v>17</v>
      </c>
      <c r="D911" s="3" t="s">
        <v>1228</v>
      </c>
      <c r="E911">
        <v>-73.948582999999999</v>
      </c>
      <c r="F911" t="s">
        <v>18</v>
      </c>
      <c r="G911">
        <v>2</v>
      </c>
      <c r="H911">
        <v>1.5</v>
      </c>
      <c r="I911">
        <v>1</v>
      </c>
      <c r="J911">
        <v>1</v>
      </c>
      <c r="K911">
        <v>30</v>
      </c>
      <c r="L911">
        <v>183</v>
      </c>
      <c r="M911">
        <v>3</v>
      </c>
      <c r="N911">
        <v>0.67</v>
      </c>
      <c r="O911">
        <f t="shared" si="28"/>
        <v>1</v>
      </c>
      <c r="P911">
        <f t="shared" si="29"/>
        <v>2</v>
      </c>
      <c r="Q911" s="2">
        <v>109</v>
      </c>
      <c r="R911" s="1">
        <v>45725</v>
      </c>
      <c r="S911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89.240000000000038</v>
      </c>
    </row>
    <row r="912" spans="1:19" x14ac:dyDescent="0.3">
      <c r="A912" t="s">
        <v>1229</v>
      </c>
      <c r="B912" t="s">
        <v>72</v>
      </c>
      <c r="C912" t="s">
        <v>20</v>
      </c>
      <c r="D912" s="3" t="s">
        <v>1230</v>
      </c>
      <c r="E912">
        <v>-73.9807795851913</v>
      </c>
      <c r="F912" t="s">
        <v>21</v>
      </c>
      <c r="G912">
        <v>3</v>
      </c>
      <c r="H912">
        <v>1</v>
      </c>
      <c r="I912">
        <v>1</v>
      </c>
      <c r="J912">
        <v>1</v>
      </c>
      <c r="K912">
        <v>30</v>
      </c>
      <c r="L912">
        <v>237</v>
      </c>
      <c r="M912">
        <v>2</v>
      </c>
      <c r="N912">
        <v>0.21</v>
      </c>
      <c r="O912">
        <f t="shared" si="28"/>
        <v>0</v>
      </c>
      <c r="P912">
        <f t="shared" si="29"/>
        <v>4</v>
      </c>
      <c r="Q912" s="2">
        <v>199</v>
      </c>
      <c r="R912" s="1">
        <v>45717</v>
      </c>
      <c r="S912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174.21</v>
      </c>
    </row>
    <row r="913" spans="1:19" x14ac:dyDescent="0.3">
      <c r="A913" t="s">
        <v>1232</v>
      </c>
      <c r="B913" t="s">
        <v>56</v>
      </c>
      <c r="C913" t="s">
        <v>17</v>
      </c>
      <c r="D913" s="3" t="s">
        <v>1228</v>
      </c>
      <c r="E913">
        <v>-73.948582999999999</v>
      </c>
      <c r="F913" t="s">
        <v>18</v>
      </c>
      <c r="G913">
        <v>1</v>
      </c>
      <c r="H913">
        <v>1.5</v>
      </c>
      <c r="I913">
        <v>1</v>
      </c>
      <c r="J913">
        <v>1</v>
      </c>
      <c r="K913">
        <v>30</v>
      </c>
      <c r="L913">
        <v>199</v>
      </c>
      <c r="M913">
        <v>3</v>
      </c>
      <c r="N913">
        <v>0.49</v>
      </c>
      <c r="O913">
        <f t="shared" si="28"/>
        <v>1</v>
      </c>
      <c r="P913">
        <f t="shared" si="29"/>
        <v>2</v>
      </c>
      <c r="Q913" s="2">
        <v>61</v>
      </c>
      <c r="R913" s="1">
        <v>45747</v>
      </c>
      <c r="S913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69.620000000000033</v>
      </c>
    </row>
    <row r="914" spans="1:19" x14ac:dyDescent="0.3">
      <c r="A914" t="s">
        <v>1233</v>
      </c>
      <c r="B914" t="s">
        <v>98</v>
      </c>
      <c r="C914" t="s">
        <v>17</v>
      </c>
      <c r="D914">
        <v>40.618810000000003</v>
      </c>
      <c r="E914">
        <v>-74.032380000000003</v>
      </c>
      <c r="F914" t="s">
        <v>18</v>
      </c>
      <c r="G914">
        <v>2</v>
      </c>
      <c r="H914">
        <v>1</v>
      </c>
      <c r="I914">
        <v>0</v>
      </c>
      <c r="J914">
        <v>1</v>
      </c>
      <c r="K914">
        <v>1</v>
      </c>
      <c r="L914">
        <v>238</v>
      </c>
      <c r="M914">
        <v>20</v>
      </c>
      <c r="N914">
        <v>1.91</v>
      </c>
      <c r="O914">
        <f t="shared" si="28"/>
        <v>1</v>
      </c>
      <c r="P914">
        <f t="shared" si="29"/>
        <v>2</v>
      </c>
      <c r="Q914" s="2">
        <v>119</v>
      </c>
      <c r="R914" s="1">
        <v>45739</v>
      </c>
      <c r="S914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178.58</v>
      </c>
    </row>
    <row r="915" spans="1:19" x14ac:dyDescent="0.3">
      <c r="A915" t="s">
        <v>1234</v>
      </c>
      <c r="B915" t="s">
        <v>98</v>
      </c>
      <c r="C915" t="s">
        <v>17</v>
      </c>
      <c r="D915">
        <v>40.618810000000003</v>
      </c>
      <c r="E915">
        <v>-74.032382400000003</v>
      </c>
      <c r="F915" t="s">
        <v>21</v>
      </c>
      <c r="G915">
        <v>2</v>
      </c>
      <c r="H915">
        <v>1</v>
      </c>
      <c r="I915">
        <v>0</v>
      </c>
      <c r="J915">
        <v>1</v>
      </c>
      <c r="K915">
        <v>1</v>
      </c>
      <c r="L915">
        <v>249</v>
      </c>
      <c r="M915">
        <v>17</v>
      </c>
      <c r="N915">
        <v>1.63</v>
      </c>
      <c r="O915">
        <f t="shared" si="28"/>
        <v>0</v>
      </c>
      <c r="P915">
        <f t="shared" si="29"/>
        <v>2</v>
      </c>
      <c r="Q915" s="2">
        <v>116</v>
      </c>
      <c r="R915" s="1">
        <v>45744</v>
      </c>
      <c r="S915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221.44000000000003</v>
      </c>
    </row>
    <row r="916" spans="1:19" x14ac:dyDescent="0.3">
      <c r="A916" t="s">
        <v>1235</v>
      </c>
      <c r="B916" t="s">
        <v>23</v>
      </c>
      <c r="C916" t="s">
        <v>17</v>
      </c>
      <c r="D916" s="3" t="s">
        <v>1236</v>
      </c>
      <c r="E916">
        <v>-73.945317680038499</v>
      </c>
      <c r="F916" t="s">
        <v>21</v>
      </c>
      <c r="G916">
        <v>2</v>
      </c>
      <c r="H916">
        <v>1</v>
      </c>
      <c r="I916">
        <v>1</v>
      </c>
      <c r="J916">
        <v>1</v>
      </c>
      <c r="K916">
        <v>30</v>
      </c>
      <c r="L916">
        <v>95</v>
      </c>
      <c r="M916">
        <v>1</v>
      </c>
      <c r="N916">
        <v>0.75</v>
      </c>
      <c r="O916">
        <f t="shared" si="28"/>
        <v>0</v>
      </c>
      <c r="P916">
        <f t="shared" si="29"/>
        <v>2</v>
      </c>
      <c r="Q916" s="2">
        <v>184</v>
      </c>
      <c r="R916" s="1">
        <v>45739</v>
      </c>
      <c r="S916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130.45000000000002</v>
      </c>
    </row>
    <row r="917" spans="1:19" x14ac:dyDescent="0.3">
      <c r="A917" t="s">
        <v>1237</v>
      </c>
      <c r="B917" t="s">
        <v>98</v>
      </c>
      <c r="C917" t="s">
        <v>17</v>
      </c>
      <c r="D917">
        <v>40.618810000000003</v>
      </c>
      <c r="E917">
        <v>-74.032382400000003</v>
      </c>
      <c r="F917" t="s">
        <v>21</v>
      </c>
      <c r="G917">
        <v>2</v>
      </c>
      <c r="H917">
        <v>1</v>
      </c>
      <c r="I917">
        <v>0</v>
      </c>
      <c r="J917">
        <v>1</v>
      </c>
      <c r="K917">
        <v>1</v>
      </c>
      <c r="L917">
        <v>127</v>
      </c>
      <c r="M917">
        <v>31</v>
      </c>
      <c r="N917">
        <v>3</v>
      </c>
      <c r="O917">
        <f t="shared" si="28"/>
        <v>0</v>
      </c>
      <c r="P917">
        <f t="shared" si="29"/>
        <v>2</v>
      </c>
      <c r="Q917" s="2">
        <v>128</v>
      </c>
      <c r="R917" s="1">
        <v>45739</v>
      </c>
      <c r="S917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226.32000000000002</v>
      </c>
    </row>
    <row r="918" spans="1:19" x14ac:dyDescent="0.3">
      <c r="A918" t="s">
        <v>1238</v>
      </c>
      <c r="B918" t="s">
        <v>98</v>
      </c>
      <c r="C918" t="s">
        <v>17</v>
      </c>
      <c r="D918">
        <v>40.618810000000003</v>
      </c>
      <c r="E918">
        <v>-74.032380000000003</v>
      </c>
      <c r="F918" t="s">
        <v>21</v>
      </c>
      <c r="G918">
        <v>2</v>
      </c>
      <c r="H918">
        <v>1</v>
      </c>
      <c r="I918">
        <v>0</v>
      </c>
      <c r="J918">
        <v>1</v>
      </c>
      <c r="K918">
        <v>1</v>
      </c>
      <c r="L918">
        <v>341</v>
      </c>
      <c r="M918">
        <v>23</v>
      </c>
      <c r="N918">
        <v>2.19</v>
      </c>
      <c r="O918">
        <f t="shared" si="28"/>
        <v>0</v>
      </c>
      <c r="P918">
        <f t="shared" si="29"/>
        <v>2</v>
      </c>
      <c r="Q918" s="2">
        <v>139</v>
      </c>
      <c r="R918" s="1">
        <v>45724</v>
      </c>
      <c r="S918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217.76000000000002</v>
      </c>
    </row>
    <row r="919" spans="1:19" x14ac:dyDescent="0.3">
      <c r="A919" t="s">
        <v>1239</v>
      </c>
      <c r="B919" t="s">
        <v>98</v>
      </c>
      <c r="C919" t="s">
        <v>17</v>
      </c>
      <c r="D919">
        <v>40.618810000000003</v>
      </c>
      <c r="E919">
        <v>-74.032380000000003</v>
      </c>
      <c r="F919" t="s">
        <v>21</v>
      </c>
      <c r="G919">
        <v>2</v>
      </c>
      <c r="H919">
        <v>1</v>
      </c>
      <c r="I919">
        <v>0</v>
      </c>
      <c r="J919">
        <v>1</v>
      </c>
      <c r="K919">
        <v>1</v>
      </c>
      <c r="L919">
        <v>339</v>
      </c>
      <c r="M919">
        <v>28</v>
      </c>
      <c r="N919">
        <v>2.68</v>
      </c>
      <c r="O919">
        <f t="shared" si="28"/>
        <v>0</v>
      </c>
      <c r="P919">
        <f t="shared" si="29"/>
        <v>2</v>
      </c>
      <c r="Q919" s="2">
        <v>128</v>
      </c>
      <c r="R919" s="1">
        <v>45745</v>
      </c>
      <c r="S919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217.84000000000003</v>
      </c>
    </row>
    <row r="920" spans="1:19" x14ac:dyDescent="0.3">
      <c r="A920" t="s">
        <v>1240</v>
      </c>
      <c r="B920" t="s">
        <v>38</v>
      </c>
      <c r="C920" t="s">
        <v>20</v>
      </c>
      <c r="D920">
        <v>40.759671300000001</v>
      </c>
      <c r="E920">
        <v>-73.990988899999905</v>
      </c>
      <c r="F920" t="s">
        <v>21</v>
      </c>
      <c r="G920">
        <v>1</v>
      </c>
      <c r="H920">
        <v>1</v>
      </c>
      <c r="I920">
        <v>1</v>
      </c>
      <c r="J920">
        <v>1</v>
      </c>
      <c r="K920">
        <v>30</v>
      </c>
      <c r="L920">
        <v>286</v>
      </c>
      <c r="M920">
        <v>1</v>
      </c>
      <c r="N920">
        <v>0.56999999999999995</v>
      </c>
      <c r="O920">
        <f t="shared" si="28"/>
        <v>0</v>
      </c>
      <c r="P920">
        <f t="shared" si="29"/>
        <v>4</v>
      </c>
      <c r="Q920" s="2">
        <v>53</v>
      </c>
      <c r="R920" s="1">
        <v>45727</v>
      </c>
      <c r="S920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134.29000000000002</v>
      </c>
    </row>
    <row r="921" spans="1:19" x14ac:dyDescent="0.3">
      <c r="A921" t="s">
        <v>1241</v>
      </c>
      <c r="B921" t="s">
        <v>114</v>
      </c>
      <c r="C921" t="s">
        <v>30</v>
      </c>
      <c r="D921">
        <v>40.778759999999998</v>
      </c>
      <c r="E921">
        <v>-73.844539999999995</v>
      </c>
      <c r="F921" t="s">
        <v>21</v>
      </c>
      <c r="G921">
        <v>2</v>
      </c>
      <c r="H921">
        <v>1</v>
      </c>
      <c r="I921">
        <v>1</v>
      </c>
      <c r="J921">
        <v>1</v>
      </c>
      <c r="K921">
        <v>5</v>
      </c>
      <c r="L921">
        <v>58</v>
      </c>
      <c r="M921">
        <v>23</v>
      </c>
      <c r="N921">
        <v>2.4900000000000002</v>
      </c>
      <c r="O921">
        <f t="shared" si="28"/>
        <v>0</v>
      </c>
      <c r="P921">
        <f t="shared" si="29"/>
        <v>0</v>
      </c>
      <c r="Q921" s="2">
        <v>129</v>
      </c>
      <c r="R921" s="1">
        <v>45744</v>
      </c>
      <c r="S921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185.22000000000003</v>
      </c>
    </row>
    <row r="922" spans="1:19" x14ac:dyDescent="0.3">
      <c r="A922" t="s">
        <v>1242</v>
      </c>
      <c r="B922" t="s">
        <v>19</v>
      </c>
      <c r="C922" t="s">
        <v>20</v>
      </c>
      <c r="D922">
        <v>40.747199999999999</v>
      </c>
      <c r="E922">
        <v>-73.987819999999999</v>
      </c>
      <c r="F922" t="s">
        <v>21</v>
      </c>
      <c r="G922">
        <v>6</v>
      </c>
      <c r="H922">
        <v>1</v>
      </c>
      <c r="I922">
        <v>0</v>
      </c>
      <c r="J922">
        <v>3</v>
      </c>
      <c r="K922">
        <v>1</v>
      </c>
      <c r="L922">
        <v>97</v>
      </c>
      <c r="M922">
        <v>5</v>
      </c>
      <c r="N922">
        <v>1.1499999999999999</v>
      </c>
      <c r="O922">
        <f t="shared" si="28"/>
        <v>0</v>
      </c>
      <c r="P922">
        <f t="shared" si="29"/>
        <v>4</v>
      </c>
      <c r="Q922" s="2">
        <v>335</v>
      </c>
      <c r="R922" s="1">
        <v>45728</v>
      </c>
      <c r="S922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333.90000000000003</v>
      </c>
    </row>
    <row r="923" spans="1:19" x14ac:dyDescent="0.3">
      <c r="A923" t="s">
        <v>1243</v>
      </c>
      <c r="B923" t="s">
        <v>36</v>
      </c>
      <c r="C923" t="s">
        <v>20</v>
      </c>
      <c r="D923">
        <v>40.769280000000002</v>
      </c>
      <c r="E923">
        <v>-73.967979999999997</v>
      </c>
      <c r="F923" t="s">
        <v>21</v>
      </c>
      <c r="G923">
        <v>4</v>
      </c>
      <c r="H923">
        <v>1.5</v>
      </c>
      <c r="I923">
        <v>2</v>
      </c>
      <c r="J923">
        <v>2</v>
      </c>
      <c r="K923">
        <v>30</v>
      </c>
      <c r="L923">
        <v>138</v>
      </c>
      <c r="M923">
        <v>3</v>
      </c>
      <c r="N923">
        <v>0.33</v>
      </c>
      <c r="O923">
        <f t="shared" si="28"/>
        <v>0</v>
      </c>
      <c r="P923">
        <f t="shared" si="29"/>
        <v>4</v>
      </c>
      <c r="Q923" s="2">
        <v>450</v>
      </c>
      <c r="R923" s="1">
        <v>45747</v>
      </c>
      <c r="S923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202.76000000000005</v>
      </c>
    </row>
    <row r="924" spans="1:19" x14ac:dyDescent="0.3">
      <c r="A924" t="s">
        <v>1244</v>
      </c>
      <c r="B924" t="s">
        <v>28</v>
      </c>
      <c r="C924" t="s">
        <v>20</v>
      </c>
      <c r="D924">
        <v>40.824170000000002</v>
      </c>
      <c r="E924">
        <v>-73.955759999999998</v>
      </c>
      <c r="F924" t="s">
        <v>18</v>
      </c>
      <c r="G924">
        <v>2</v>
      </c>
      <c r="H924">
        <v>1</v>
      </c>
      <c r="I924">
        <v>1</v>
      </c>
      <c r="J924">
        <v>1</v>
      </c>
      <c r="K924">
        <v>30</v>
      </c>
      <c r="L924">
        <v>264</v>
      </c>
      <c r="M924">
        <v>2</v>
      </c>
      <c r="N924">
        <v>0.42</v>
      </c>
      <c r="O924">
        <f t="shared" si="28"/>
        <v>1</v>
      </c>
      <c r="P924">
        <f t="shared" si="29"/>
        <v>4</v>
      </c>
      <c r="Q924" s="2">
        <v>96</v>
      </c>
      <c r="R924" s="1">
        <v>45725</v>
      </c>
      <c r="S924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110.85000000000002</v>
      </c>
    </row>
    <row r="925" spans="1:19" x14ac:dyDescent="0.3">
      <c r="A925" t="s">
        <v>1245</v>
      </c>
      <c r="B925" t="s">
        <v>132</v>
      </c>
      <c r="C925" t="s">
        <v>17</v>
      </c>
      <c r="D925" s="3" t="s">
        <v>1246</v>
      </c>
      <c r="E925">
        <v>-73.909270999999904</v>
      </c>
      <c r="F925" t="s">
        <v>21</v>
      </c>
      <c r="G925">
        <v>2</v>
      </c>
      <c r="H925">
        <v>1</v>
      </c>
      <c r="I925">
        <v>2</v>
      </c>
      <c r="J925">
        <v>2</v>
      </c>
      <c r="K925">
        <v>30</v>
      </c>
      <c r="L925">
        <v>233</v>
      </c>
      <c r="M925">
        <v>1</v>
      </c>
      <c r="N925">
        <v>0.49</v>
      </c>
      <c r="O925">
        <f t="shared" si="28"/>
        <v>0</v>
      </c>
      <c r="P925">
        <f t="shared" si="29"/>
        <v>2</v>
      </c>
      <c r="Q925" s="2">
        <v>72</v>
      </c>
      <c r="R925" s="1">
        <v>45719</v>
      </c>
      <c r="S925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124.93000000000004</v>
      </c>
    </row>
    <row r="926" spans="1:19" x14ac:dyDescent="0.3">
      <c r="A926" t="s">
        <v>1247</v>
      </c>
      <c r="B926" t="s">
        <v>36</v>
      </c>
      <c r="C926" t="s">
        <v>20</v>
      </c>
      <c r="D926">
        <v>40.776553999999997</v>
      </c>
      <c r="E926">
        <v>-73.951940199999996</v>
      </c>
      <c r="F926" t="s">
        <v>21</v>
      </c>
      <c r="G926">
        <v>4</v>
      </c>
      <c r="H926">
        <v>1</v>
      </c>
      <c r="I926">
        <v>2</v>
      </c>
      <c r="J926">
        <v>2</v>
      </c>
      <c r="K926">
        <v>30</v>
      </c>
      <c r="L926">
        <v>326</v>
      </c>
      <c r="M926">
        <v>3</v>
      </c>
      <c r="N926">
        <v>0.69</v>
      </c>
      <c r="O926">
        <f t="shared" si="28"/>
        <v>0</v>
      </c>
      <c r="P926">
        <f t="shared" si="29"/>
        <v>4</v>
      </c>
      <c r="Q926" s="2">
        <v>119</v>
      </c>
      <c r="R926" s="1">
        <v>45719</v>
      </c>
      <c r="S926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189.63000000000005</v>
      </c>
    </row>
    <row r="927" spans="1:19" x14ac:dyDescent="0.3">
      <c r="A927" t="s">
        <v>1248</v>
      </c>
      <c r="B927" t="s">
        <v>131</v>
      </c>
      <c r="C927" t="s">
        <v>20</v>
      </c>
      <c r="D927" s="3" t="s">
        <v>1249</v>
      </c>
      <c r="E927">
        <v>-74.014508978040695</v>
      </c>
      <c r="F927" t="s">
        <v>21</v>
      </c>
      <c r="G927">
        <v>2</v>
      </c>
      <c r="H927">
        <v>1</v>
      </c>
      <c r="I927">
        <v>0</v>
      </c>
      <c r="J927">
        <v>1</v>
      </c>
      <c r="K927">
        <v>1</v>
      </c>
      <c r="L927">
        <v>221</v>
      </c>
      <c r="M927">
        <v>8</v>
      </c>
      <c r="N927">
        <v>0.97</v>
      </c>
      <c r="O927">
        <f t="shared" si="28"/>
        <v>0</v>
      </c>
      <c r="P927">
        <f t="shared" si="29"/>
        <v>4</v>
      </c>
      <c r="Q927" s="2">
        <v>280</v>
      </c>
      <c r="R927" s="1">
        <v>45739</v>
      </c>
      <c r="S927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253.02000000000004</v>
      </c>
    </row>
    <row r="928" spans="1:19" x14ac:dyDescent="0.3">
      <c r="A928" t="s">
        <v>1250</v>
      </c>
      <c r="B928" t="s">
        <v>131</v>
      </c>
      <c r="C928" t="s">
        <v>20</v>
      </c>
      <c r="D928" s="3" t="s">
        <v>1251</v>
      </c>
      <c r="E928">
        <v>-74.014424327817096</v>
      </c>
      <c r="F928" t="s">
        <v>21</v>
      </c>
      <c r="G928">
        <v>2</v>
      </c>
      <c r="H928">
        <v>1</v>
      </c>
      <c r="I928">
        <v>0</v>
      </c>
      <c r="J928">
        <v>1</v>
      </c>
      <c r="K928">
        <v>1</v>
      </c>
      <c r="L928">
        <v>230</v>
      </c>
      <c r="M928">
        <v>9</v>
      </c>
      <c r="N928">
        <v>1.1000000000000001</v>
      </c>
      <c r="O928">
        <f t="shared" si="28"/>
        <v>0</v>
      </c>
      <c r="P928">
        <f t="shared" si="29"/>
        <v>4</v>
      </c>
      <c r="Q928" s="2">
        <v>361</v>
      </c>
      <c r="R928" s="1">
        <v>45724</v>
      </c>
      <c r="S928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252.66000000000003</v>
      </c>
    </row>
    <row r="929" spans="1:19" x14ac:dyDescent="0.3">
      <c r="A929" t="s">
        <v>1252</v>
      </c>
      <c r="B929" t="s">
        <v>45</v>
      </c>
      <c r="C929" t="s">
        <v>20</v>
      </c>
      <c r="D929">
        <v>40.741720000000001</v>
      </c>
      <c r="E929">
        <v>-74.002750000000006</v>
      </c>
      <c r="F929" t="s">
        <v>21</v>
      </c>
      <c r="G929">
        <v>2</v>
      </c>
      <c r="H929">
        <v>1</v>
      </c>
      <c r="I929">
        <v>0</v>
      </c>
      <c r="J929">
        <v>1</v>
      </c>
      <c r="K929">
        <v>30</v>
      </c>
      <c r="L929">
        <v>124</v>
      </c>
      <c r="M929">
        <v>3</v>
      </c>
      <c r="N929">
        <v>0.56000000000000005</v>
      </c>
      <c r="O929">
        <f t="shared" si="28"/>
        <v>0</v>
      </c>
      <c r="P929">
        <f t="shared" si="29"/>
        <v>4</v>
      </c>
      <c r="Q929" s="2">
        <v>90</v>
      </c>
      <c r="R929" s="1">
        <v>45724</v>
      </c>
      <c r="S929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159.75000000000003</v>
      </c>
    </row>
    <row r="930" spans="1:19" x14ac:dyDescent="0.3">
      <c r="A930" t="s">
        <v>1253</v>
      </c>
      <c r="B930" t="s">
        <v>78</v>
      </c>
      <c r="C930" t="s">
        <v>20</v>
      </c>
      <c r="D930">
        <v>40.761426999999998</v>
      </c>
      <c r="E930">
        <v>-73.982584000000003</v>
      </c>
      <c r="F930" t="s">
        <v>21</v>
      </c>
      <c r="G930">
        <v>6</v>
      </c>
      <c r="H930">
        <v>1</v>
      </c>
      <c r="I930">
        <v>2</v>
      </c>
      <c r="J930">
        <v>3</v>
      </c>
      <c r="K930">
        <v>30</v>
      </c>
      <c r="L930">
        <v>147</v>
      </c>
      <c r="M930">
        <v>4</v>
      </c>
      <c r="N930">
        <v>0.59</v>
      </c>
      <c r="O930">
        <f t="shared" si="28"/>
        <v>0</v>
      </c>
      <c r="P930">
        <f t="shared" si="29"/>
        <v>4</v>
      </c>
      <c r="Q930" s="2">
        <v>285</v>
      </c>
      <c r="R930" s="1">
        <v>45744</v>
      </c>
      <c r="S930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234.75000000000006</v>
      </c>
    </row>
    <row r="931" spans="1:19" x14ac:dyDescent="0.3">
      <c r="A931" t="s">
        <v>1254</v>
      </c>
      <c r="B931" t="s">
        <v>45</v>
      </c>
      <c r="C931" t="s">
        <v>20</v>
      </c>
      <c r="D931">
        <v>40.751069999999999</v>
      </c>
      <c r="E931">
        <v>-73.998149999999995</v>
      </c>
      <c r="F931" t="s">
        <v>21</v>
      </c>
      <c r="G931">
        <v>1</v>
      </c>
      <c r="H931">
        <v>1</v>
      </c>
      <c r="I931">
        <v>0</v>
      </c>
      <c r="J931">
        <v>1</v>
      </c>
      <c r="K931">
        <v>30</v>
      </c>
      <c r="L931">
        <v>236</v>
      </c>
      <c r="M931">
        <v>2</v>
      </c>
      <c r="N931">
        <v>0.27</v>
      </c>
      <c r="O931">
        <f t="shared" si="28"/>
        <v>0</v>
      </c>
      <c r="P931">
        <f t="shared" si="29"/>
        <v>4</v>
      </c>
      <c r="Q931" s="2">
        <v>54</v>
      </c>
      <c r="R931" s="1">
        <v>45739</v>
      </c>
      <c r="S931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136.29000000000002</v>
      </c>
    </row>
    <row r="932" spans="1:19" x14ac:dyDescent="0.3">
      <c r="A932" t="s">
        <v>1255</v>
      </c>
      <c r="B932" t="s">
        <v>113</v>
      </c>
      <c r="C932" t="s">
        <v>30</v>
      </c>
      <c r="D932" s="3" t="s">
        <v>1256</v>
      </c>
      <c r="E932">
        <v>-73.813271837577403</v>
      </c>
      <c r="F932" t="s">
        <v>18</v>
      </c>
      <c r="G932">
        <v>2</v>
      </c>
      <c r="H932">
        <v>1</v>
      </c>
      <c r="I932">
        <v>1</v>
      </c>
      <c r="J932">
        <v>1</v>
      </c>
      <c r="K932">
        <v>1</v>
      </c>
      <c r="L932">
        <v>143</v>
      </c>
      <c r="M932">
        <v>38</v>
      </c>
      <c r="N932">
        <v>4.37</v>
      </c>
      <c r="O932">
        <f t="shared" si="28"/>
        <v>1</v>
      </c>
      <c r="P932">
        <f t="shared" si="29"/>
        <v>0</v>
      </c>
      <c r="Q932" s="2">
        <v>73</v>
      </c>
      <c r="R932" s="1">
        <v>45746</v>
      </c>
      <c r="S932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151.92000000000002</v>
      </c>
    </row>
    <row r="933" spans="1:19" x14ac:dyDescent="0.3">
      <c r="A933" t="s">
        <v>1257</v>
      </c>
      <c r="B933" t="s">
        <v>86</v>
      </c>
      <c r="C933" t="s">
        <v>20</v>
      </c>
      <c r="D933">
        <v>40.719189999999998</v>
      </c>
      <c r="E933">
        <v>-74.001019999999997</v>
      </c>
      <c r="F933" t="s">
        <v>18</v>
      </c>
      <c r="G933">
        <v>2</v>
      </c>
      <c r="H933">
        <v>1</v>
      </c>
      <c r="I933">
        <v>1</v>
      </c>
      <c r="J933">
        <v>1</v>
      </c>
      <c r="K933">
        <v>1</v>
      </c>
      <c r="L933">
        <v>232</v>
      </c>
      <c r="M933">
        <v>33</v>
      </c>
      <c r="N933">
        <v>3.75</v>
      </c>
      <c r="O933">
        <f t="shared" si="28"/>
        <v>1</v>
      </c>
      <c r="P933">
        <f t="shared" si="29"/>
        <v>4</v>
      </c>
      <c r="Q933" s="2">
        <v>238</v>
      </c>
      <c r="R933" s="1">
        <v>45733</v>
      </c>
      <c r="S933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209.28000000000003</v>
      </c>
    </row>
    <row r="934" spans="1:19" x14ac:dyDescent="0.3">
      <c r="A934" t="s">
        <v>469</v>
      </c>
      <c r="B934" t="s">
        <v>61</v>
      </c>
      <c r="C934" t="s">
        <v>30</v>
      </c>
      <c r="D934" s="3" t="s">
        <v>1258</v>
      </c>
      <c r="E934">
        <v>-73.928203769311494</v>
      </c>
      <c r="F934" t="s">
        <v>18</v>
      </c>
      <c r="G934">
        <v>1</v>
      </c>
      <c r="H934">
        <v>1</v>
      </c>
      <c r="I934">
        <v>1</v>
      </c>
      <c r="J934">
        <v>1</v>
      </c>
      <c r="K934">
        <v>30</v>
      </c>
      <c r="L934">
        <v>195</v>
      </c>
      <c r="M934">
        <v>3</v>
      </c>
      <c r="N934">
        <v>0.49</v>
      </c>
      <c r="O934">
        <f t="shared" si="28"/>
        <v>1</v>
      </c>
      <c r="P934">
        <f t="shared" si="29"/>
        <v>0</v>
      </c>
      <c r="Q934" s="2">
        <v>50</v>
      </c>
      <c r="R934" s="1">
        <v>45720</v>
      </c>
      <c r="S934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33.710000000000008</v>
      </c>
    </row>
    <row r="935" spans="1:19" x14ac:dyDescent="0.3">
      <c r="A935" t="s">
        <v>1259</v>
      </c>
      <c r="B935" t="s">
        <v>131</v>
      </c>
      <c r="C935" t="s">
        <v>20</v>
      </c>
      <c r="D935" s="3" t="s">
        <v>1260</v>
      </c>
      <c r="E935">
        <v>-74.0085702363819</v>
      </c>
      <c r="F935" t="s">
        <v>18</v>
      </c>
      <c r="G935">
        <v>2</v>
      </c>
      <c r="H935">
        <v>1</v>
      </c>
      <c r="I935">
        <v>1</v>
      </c>
      <c r="J935">
        <v>1</v>
      </c>
      <c r="K935">
        <v>30</v>
      </c>
      <c r="L935">
        <v>214</v>
      </c>
      <c r="M935">
        <v>1</v>
      </c>
      <c r="N935">
        <v>0.65</v>
      </c>
      <c r="O935">
        <f t="shared" si="28"/>
        <v>1</v>
      </c>
      <c r="P935">
        <f t="shared" si="29"/>
        <v>4</v>
      </c>
      <c r="Q935" s="2">
        <v>225</v>
      </c>
      <c r="R935" s="1">
        <v>45734</v>
      </c>
      <c r="S935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112.85000000000002</v>
      </c>
    </row>
    <row r="936" spans="1:19" x14ac:dyDescent="0.3">
      <c r="A936" t="s">
        <v>1261</v>
      </c>
      <c r="B936" t="s">
        <v>45</v>
      </c>
      <c r="C936" t="s">
        <v>20</v>
      </c>
      <c r="D936">
        <v>40.750140000000002</v>
      </c>
      <c r="E936">
        <v>-73.997020000000006</v>
      </c>
      <c r="F936" t="s">
        <v>21</v>
      </c>
      <c r="G936">
        <v>1</v>
      </c>
      <c r="H936">
        <v>1</v>
      </c>
      <c r="I936">
        <v>1</v>
      </c>
      <c r="J936">
        <v>1</v>
      </c>
      <c r="K936">
        <v>1</v>
      </c>
      <c r="L936">
        <v>85</v>
      </c>
      <c r="M936">
        <v>36</v>
      </c>
      <c r="N936">
        <v>4.2699999999999996</v>
      </c>
      <c r="O936">
        <f t="shared" si="28"/>
        <v>0</v>
      </c>
      <c r="P936">
        <f t="shared" si="29"/>
        <v>4</v>
      </c>
      <c r="Q936" s="2">
        <v>104</v>
      </c>
      <c r="R936" s="1">
        <v>45747</v>
      </c>
      <c r="S936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239.48000000000002</v>
      </c>
    </row>
    <row r="937" spans="1:19" x14ac:dyDescent="0.3">
      <c r="A937" t="s">
        <v>1231</v>
      </c>
      <c r="B937" t="s">
        <v>67</v>
      </c>
      <c r="C937" t="s">
        <v>17</v>
      </c>
      <c r="D937" s="3" t="s">
        <v>1262</v>
      </c>
      <c r="E937">
        <v>-73.917047309327899</v>
      </c>
      <c r="F937" t="s">
        <v>18</v>
      </c>
      <c r="G937">
        <v>2</v>
      </c>
      <c r="H937">
        <v>1</v>
      </c>
      <c r="I937">
        <v>1</v>
      </c>
      <c r="J937">
        <v>1</v>
      </c>
      <c r="K937">
        <v>30</v>
      </c>
      <c r="L937">
        <v>336</v>
      </c>
      <c r="M937">
        <v>1</v>
      </c>
      <c r="N937">
        <v>0.88</v>
      </c>
      <c r="O937">
        <f t="shared" si="28"/>
        <v>1</v>
      </c>
      <c r="P937">
        <f t="shared" si="29"/>
        <v>2</v>
      </c>
      <c r="Q937" s="2">
        <v>58</v>
      </c>
      <c r="R937" s="1">
        <v>45745</v>
      </c>
      <c r="S937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77.510000000000019</v>
      </c>
    </row>
    <row r="938" spans="1:19" x14ac:dyDescent="0.3">
      <c r="A938" t="s">
        <v>1263</v>
      </c>
      <c r="B938" t="s">
        <v>41</v>
      </c>
      <c r="C938" t="s">
        <v>20</v>
      </c>
      <c r="D938">
        <v>40.732046099999998</v>
      </c>
      <c r="E938">
        <v>-73.988602</v>
      </c>
      <c r="F938" t="s">
        <v>21</v>
      </c>
      <c r="G938">
        <v>2</v>
      </c>
      <c r="H938">
        <v>1</v>
      </c>
      <c r="I938">
        <v>1</v>
      </c>
      <c r="J938">
        <v>1</v>
      </c>
      <c r="K938">
        <v>30</v>
      </c>
      <c r="L938">
        <v>298</v>
      </c>
      <c r="M938">
        <v>2</v>
      </c>
      <c r="N938">
        <v>0.45</v>
      </c>
      <c r="O938">
        <f t="shared" si="28"/>
        <v>0</v>
      </c>
      <c r="P938">
        <f t="shared" si="29"/>
        <v>4</v>
      </c>
      <c r="Q938" s="2">
        <v>257</v>
      </c>
      <c r="R938" s="1">
        <v>45719</v>
      </c>
      <c r="S938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152.79000000000002</v>
      </c>
    </row>
    <row r="939" spans="1:19" x14ac:dyDescent="0.3">
      <c r="A939" t="s">
        <v>1264</v>
      </c>
      <c r="B939" t="s">
        <v>41</v>
      </c>
      <c r="C939" t="s">
        <v>20</v>
      </c>
      <c r="D939">
        <v>40.724170000000001</v>
      </c>
      <c r="E939">
        <v>-73.991169999999997</v>
      </c>
      <c r="F939" t="s">
        <v>21</v>
      </c>
      <c r="G939">
        <v>2</v>
      </c>
      <c r="H939">
        <v>1</v>
      </c>
      <c r="I939">
        <v>1</v>
      </c>
      <c r="J939">
        <v>1</v>
      </c>
      <c r="K939">
        <v>30</v>
      </c>
      <c r="L939">
        <v>356</v>
      </c>
      <c r="M939">
        <v>2</v>
      </c>
      <c r="N939">
        <v>0.48</v>
      </c>
      <c r="O939">
        <f t="shared" si="28"/>
        <v>0</v>
      </c>
      <c r="P939">
        <f t="shared" si="29"/>
        <v>4</v>
      </c>
      <c r="Q939" s="2">
        <v>180</v>
      </c>
      <c r="R939" s="1">
        <v>45738</v>
      </c>
      <c r="S939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150.47000000000003</v>
      </c>
    </row>
    <row r="940" spans="1:19" x14ac:dyDescent="0.3">
      <c r="A940" t="s">
        <v>1265</v>
      </c>
      <c r="B940" t="s">
        <v>62</v>
      </c>
      <c r="C940" t="s">
        <v>20</v>
      </c>
      <c r="D940" s="3" t="s">
        <v>1266</v>
      </c>
      <c r="E940">
        <v>-73.994649259130099</v>
      </c>
      <c r="F940" t="s">
        <v>18</v>
      </c>
      <c r="G940">
        <v>4</v>
      </c>
      <c r="H940">
        <v>1</v>
      </c>
      <c r="I940">
        <v>1</v>
      </c>
      <c r="J940">
        <v>2</v>
      </c>
      <c r="K940">
        <v>1</v>
      </c>
      <c r="L940">
        <v>348</v>
      </c>
      <c r="M940">
        <v>5</v>
      </c>
      <c r="N940">
        <v>0.68</v>
      </c>
      <c r="O940">
        <f t="shared" si="28"/>
        <v>1</v>
      </c>
      <c r="P940">
        <f t="shared" si="29"/>
        <v>4</v>
      </c>
      <c r="Q940" s="2">
        <v>263</v>
      </c>
      <c r="R940" s="1">
        <v>45737</v>
      </c>
      <c r="S940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242.60000000000008</v>
      </c>
    </row>
    <row r="941" spans="1:19" x14ac:dyDescent="0.3">
      <c r="A941" t="s">
        <v>1267</v>
      </c>
      <c r="B941" t="s">
        <v>62</v>
      </c>
      <c r="C941" t="s">
        <v>20</v>
      </c>
      <c r="D941" s="3" t="s">
        <v>1268</v>
      </c>
      <c r="E941">
        <v>-73.994028323434094</v>
      </c>
      <c r="F941" t="s">
        <v>18</v>
      </c>
      <c r="G941">
        <v>4</v>
      </c>
      <c r="H941">
        <v>1</v>
      </c>
      <c r="I941">
        <v>1</v>
      </c>
      <c r="J941">
        <v>2</v>
      </c>
      <c r="K941">
        <v>1</v>
      </c>
      <c r="L941">
        <v>318</v>
      </c>
      <c r="M941">
        <v>8</v>
      </c>
      <c r="N941">
        <v>1.37</v>
      </c>
      <c r="O941">
        <f t="shared" si="28"/>
        <v>1</v>
      </c>
      <c r="P941">
        <f t="shared" si="29"/>
        <v>4</v>
      </c>
      <c r="Q941" s="2">
        <v>255</v>
      </c>
      <c r="R941" s="1">
        <v>45743</v>
      </c>
      <c r="S941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243.80000000000007</v>
      </c>
    </row>
    <row r="942" spans="1:19" x14ac:dyDescent="0.3">
      <c r="A942" t="s">
        <v>1269</v>
      </c>
      <c r="B942" t="s">
        <v>242</v>
      </c>
      <c r="C942" t="s">
        <v>31</v>
      </c>
      <c r="D942" s="3" t="s">
        <v>1270</v>
      </c>
      <c r="E942">
        <v>-73.847359473068096</v>
      </c>
      <c r="F942" t="s">
        <v>18</v>
      </c>
      <c r="G942">
        <v>1</v>
      </c>
      <c r="H942">
        <v>1</v>
      </c>
      <c r="I942">
        <v>1</v>
      </c>
      <c r="J942">
        <v>1</v>
      </c>
      <c r="K942">
        <v>1</v>
      </c>
      <c r="L942">
        <v>89</v>
      </c>
      <c r="M942">
        <v>18</v>
      </c>
      <c r="N942">
        <v>3.62</v>
      </c>
      <c r="O942">
        <f t="shared" si="28"/>
        <v>1</v>
      </c>
      <c r="P942">
        <f t="shared" si="29"/>
        <v>0</v>
      </c>
      <c r="Q942" s="2">
        <v>106</v>
      </c>
      <c r="R942" s="1">
        <v>45722</v>
      </c>
      <c r="S942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135.10000000000002</v>
      </c>
    </row>
    <row r="943" spans="1:19" x14ac:dyDescent="0.3">
      <c r="A943" t="s">
        <v>1271</v>
      </c>
      <c r="B943" t="s">
        <v>19</v>
      </c>
      <c r="C943" t="s">
        <v>20</v>
      </c>
      <c r="D943">
        <v>40.754624100000001</v>
      </c>
      <c r="E943">
        <v>-73.966456999999906</v>
      </c>
      <c r="F943" t="s">
        <v>21</v>
      </c>
      <c r="G943">
        <v>4</v>
      </c>
      <c r="H943">
        <v>1</v>
      </c>
      <c r="I943">
        <v>2</v>
      </c>
      <c r="J943">
        <v>2</v>
      </c>
      <c r="K943">
        <v>30</v>
      </c>
      <c r="L943">
        <v>243</v>
      </c>
      <c r="M943">
        <v>4</v>
      </c>
      <c r="N943">
        <v>0.67</v>
      </c>
      <c r="O943">
        <f t="shared" si="28"/>
        <v>0</v>
      </c>
      <c r="P943">
        <f t="shared" si="29"/>
        <v>4</v>
      </c>
      <c r="Q943" s="2">
        <v>194</v>
      </c>
      <c r="R943" s="1">
        <v>45717</v>
      </c>
      <c r="S943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192.95000000000005</v>
      </c>
    </row>
    <row r="944" spans="1:19" x14ac:dyDescent="0.3">
      <c r="A944" t="s">
        <v>1272</v>
      </c>
      <c r="B944" t="s">
        <v>49</v>
      </c>
      <c r="C944" t="s">
        <v>20</v>
      </c>
      <c r="D944" s="3" t="s">
        <v>1273</v>
      </c>
      <c r="E944">
        <v>-73.978392838933701</v>
      </c>
      <c r="F944" t="s">
        <v>21</v>
      </c>
      <c r="G944">
        <v>4</v>
      </c>
      <c r="H944">
        <v>0</v>
      </c>
      <c r="I944">
        <v>0</v>
      </c>
      <c r="J944">
        <v>2</v>
      </c>
      <c r="K944">
        <v>30</v>
      </c>
      <c r="L944">
        <v>273</v>
      </c>
      <c r="M944">
        <v>2</v>
      </c>
      <c r="N944">
        <v>0.33</v>
      </c>
      <c r="O944">
        <f t="shared" si="28"/>
        <v>0</v>
      </c>
      <c r="P944">
        <f t="shared" si="29"/>
        <v>4</v>
      </c>
      <c r="Q944" s="2">
        <v>155</v>
      </c>
      <c r="R944" s="1">
        <v>45728</v>
      </c>
      <c r="S944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180.53000000000003</v>
      </c>
    </row>
    <row r="945" spans="1:19" x14ac:dyDescent="0.3">
      <c r="A945" t="s">
        <v>1274</v>
      </c>
      <c r="B945" t="s">
        <v>36</v>
      </c>
      <c r="C945" t="s">
        <v>20</v>
      </c>
      <c r="D945">
        <v>40.771189999999997</v>
      </c>
      <c r="E945">
        <v>-73.955870000000004</v>
      </c>
      <c r="F945" t="s">
        <v>21</v>
      </c>
      <c r="G945">
        <v>2</v>
      </c>
      <c r="H945">
        <v>1</v>
      </c>
      <c r="I945">
        <v>0</v>
      </c>
      <c r="J945">
        <v>1</v>
      </c>
      <c r="K945">
        <v>30</v>
      </c>
      <c r="L945">
        <v>271</v>
      </c>
      <c r="M945">
        <v>1</v>
      </c>
      <c r="N945">
        <v>0.48</v>
      </c>
      <c r="O945">
        <f t="shared" si="28"/>
        <v>0</v>
      </c>
      <c r="P945">
        <f t="shared" si="29"/>
        <v>4</v>
      </c>
      <c r="Q945" s="2">
        <v>137</v>
      </c>
      <c r="R945" s="1">
        <v>45718</v>
      </c>
      <c r="S945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153.87</v>
      </c>
    </row>
    <row r="946" spans="1:19" x14ac:dyDescent="0.3">
      <c r="A946" t="s">
        <v>1275</v>
      </c>
      <c r="B946" t="s">
        <v>38</v>
      </c>
      <c r="C946" t="s">
        <v>20</v>
      </c>
      <c r="D946">
        <v>40.763136786216002</v>
      </c>
      <c r="E946">
        <v>-73.992883980507798</v>
      </c>
      <c r="F946" t="s">
        <v>21</v>
      </c>
      <c r="G946">
        <v>4</v>
      </c>
      <c r="H946">
        <v>1</v>
      </c>
      <c r="I946">
        <v>2</v>
      </c>
      <c r="J946">
        <v>2</v>
      </c>
      <c r="K946">
        <v>30</v>
      </c>
      <c r="L946">
        <v>364</v>
      </c>
      <c r="M946">
        <v>1</v>
      </c>
      <c r="N946">
        <v>0.91</v>
      </c>
      <c r="O946">
        <f t="shared" si="28"/>
        <v>0</v>
      </c>
      <c r="P946">
        <f t="shared" si="29"/>
        <v>4</v>
      </c>
      <c r="Q946" s="2">
        <v>237</v>
      </c>
      <c r="R946" s="1">
        <v>45747</v>
      </c>
      <c r="S946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188.11</v>
      </c>
    </row>
    <row r="947" spans="1:19" x14ac:dyDescent="0.3">
      <c r="A947" t="s">
        <v>1276</v>
      </c>
      <c r="B947" t="s">
        <v>27</v>
      </c>
      <c r="C947" t="s">
        <v>17</v>
      </c>
      <c r="D947">
        <v>40.68412</v>
      </c>
      <c r="E947">
        <v>-73.946560000000005</v>
      </c>
      <c r="F947" t="s">
        <v>21</v>
      </c>
      <c r="G947">
        <v>4</v>
      </c>
      <c r="H947">
        <v>1</v>
      </c>
      <c r="I947">
        <v>1</v>
      </c>
      <c r="J947">
        <v>1</v>
      </c>
      <c r="K947">
        <v>30</v>
      </c>
      <c r="L947">
        <v>305</v>
      </c>
      <c r="M947">
        <v>2</v>
      </c>
      <c r="N947">
        <v>0.31</v>
      </c>
      <c r="O947">
        <f t="shared" si="28"/>
        <v>0</v>
      </c>
      <c r="P947">
        <f t="shared" si="29"/>
        <v>2</v>
      </c>
      <c r="Q947" s="2">
        <v>97</v>
      </c>
      <c r="R947" s="1">
        <v>45747</v>
      </c>
      <c r="S947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160.01000000000005</v>
      </c>
    </row>
    <row r="948" spans="1:19" x14ac:dyDescent="0.3">
      <c r="A948" t="s">
        <v>1277</v>
      </c>
      <c r="B948" t="s">
        <v>224</v>
      </c>
      <c r="C948" t="s">
        <v>31</v>
      </c>
      <c r="D948" s="3" t="s">
        <v>1278</v>
      </c>
      <c r="E948">
        <v>-73.906832092276403</v>
      </c>
      <c r="F948" t="s">
        <v>18</v>
      </c>
      <c r="G948">
        <v>2</v>
      </c>
      <c r="H948">
        <v>0</v>
      </c>
      <c r="I948">
        <v>1</v>
      </c>
      <c r="J948">
        <v>1</v>
      </c>
      <c r="K948">
        <v>30</v>
      </c>
      <c r="L948">
        <v>288</v>
      </c>
      <c r="M948">
        <v>3</v>
      </c>
      <c r="N948">
        <v>0.43</v>
      </c>
      <c r="O948">
        <f t="shared" si="28"/>
        <v>1</v>
      </c>
      <c r="P948">
        <f t="shared" si="29"/>
        <v>0</v>
      </c>
      <c r="Q948" s="2">
        <v>72</v>
      </c>
      <c r="R948" s="1">
        <v>45722</v>
      </c>
      <c r="S948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37.750000000000028</v>
      </c>
    </row>
    <row r="949" spans="1:19" x14ac:dyDescent="0.3">
      <c r="A949" t="s">
        <v>1279</v>
      </c>
      <c r="B949" t="s">
        <v>19</v>
      </c>
      <c r="C949" t="s">
        <v>20</v>
      </c>
      <c r="D949" s="3" t="s">
        <v>1280</v>
      </c>
      <c r="E949">
        <v>-73.988756489495898</v>
      </c>
      <c r="F949" t="s">
        <v>18</v>
      </c>
      <c r="G949">
        <v>5</v>
      </c>
      <c r="H949">
        <v>1</v>
      </c>
      <c r="I949">
        <v>1</v>
      </c>
      <c r="J949">
        <v>3</v>
      </c>
      <c r="K949">
        <v>1</v>
      </c>
      <c r="L949">
        <v>288</v>
      </c>
      <c r="M949">
        <v>8</v>
      </c>
      <c r="N949">
        <v>1.01</v>
      </c>
      <c r="O949">
        <f t="shared" si="28"/>
        <v>1</v>
      </c>
      <c r="P949">
        <f t="shared" si="29"/>
        <v>4</v>
      </c>
      <c r="Q949" s="2">
        <v>339</v>
      </c>
      <c r="R949" s="1">
        <v>45739</v>
      </c>
      <c r="S949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263.98</v>
      </c>
    </row>
    <row r="950" spans="1:19" x14ac:dyDescent="0.3">
      <c r="A950" t="s">
        <v>1281</v>
      </c>
      <c r="B950" t="s">
        <v>97</v>
      </c>
      <c r="C950" t="s">
        <v>20</v>
      </c>
      <c r="D950">
        <v>40.709119999999999</v>
      </c>
      <c r="E950">
        <v>-74.018259999999998</v>
      </c>
      <c r="F950" t="s">
        <v>21</v>
      </c>
      <c r="G950">
        <v>3</v>
      </c>
      <c r="H950">
        <v>1.5</v>
      </c>
      <c r="I950">
        <v>1</v>
      </c>
      <c r="J950">
        <v>1</v>
      </c>
      <c r="K950">
        <v>30</v>
      </c>
      <c r="L950">
        <v>85</v>
      </c>
      <c r="M950">
        <v>1</v>
      </c>
      <c r="N950">
        <v>0.5</v>
      </c>
      <c r="O950">
        <f t="shared" si="28"/>
        <v>0</v>
      </c>
      <c r="P950">
        <f t="shared" si="29"/>
        <v>4</v>
      </c>
      <c r="Q950" s="2">
        <v>180</v>
      </c>
      <c r="R950" s="1">
        <v>45720</v>
      </c>
      <c r="S950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185.90000000000003</v>
      </c>
    </row>
    <row r="951" spans="1:19" x14ac:dyDescent="0.3">
      <c r="A951" t="s">
        <v>1282</v>
      </c>
      <c r="B951" t="s">
        <v>19</v>
      </c>
      <c r="C951" t="s">
        <v>20</v>
      </c>
      <c r="D951" s="3" t="s">
        <v>1283</v>
      </c>
      <c r="E951">
        <v>-73.988345492352707</v>
      </c>
      <c r="F951" t="s">
        <v>18</v>
      </c>
      <c r="G951">
        <v>2</v>
      </c>
      <c r="H951">
        <v>1</v>
      </c>
      <c r="I951">
        <v>1</v>
      </c>
      <c r="J951">
        <v>1</v>
      </c>
      <c r="K951">
        <v>1</v>
      </c>
      <c r="L951">
        <v>282</v>
      </c>
      <c r="M951">
        <v>6</v>
      </c>
      <c r="N951">
        <v>0.92</v>
      </c>
      <c r="O951">
        <f t="shared" si="28"/>
        <v>1</v>
      </c>
      <c r="P951">
        <f t="shared" si="29"/>
        <v>4</v>
      </c>
      <c r="Q951" s="2">
        <v>162</v>
      </c>
      <c r="R951" s="1">
        <v>45726</v>
      </c>
      <c r="S951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207.28000000000003</v>
      </c>
    </row>
    <row r="952" spans="1:19" x14ac:dyDescent="0.3">
      <c r="A952" t="s">
        <v>1284</v>
      </c>
      <c r="B952" t="s">
        <v>58</v>
      </c>
      <c r="C952" t="s">
        <v>17</v>
      </c>
      <c r="D952">
        <v>40.680549999999997</v>
      </c>
      <c r="E952">
        <v>-73.983559999999997</v>
      </c>
      <c r="F952" t="s">
        <v>18</v>
      </c>
      <c r="G952">
        <v>4</v>
      </c>
      <c r="H952">
        <v>1</v>
      </c>
      <c r="I952">
        <v>1</v>
      </c>
      <c r="J952">
        <v>2</v>
      </c>
      <c r="K952">
        <v>1</v>
      </c>
      <c r="L952">
        <v>154</v>
      </c>
      <c r="M952">
        <v>3</v>
      </c>
      <c r="N952">
        <v>1.61</v>
      </c>
      <c r="O952">
        <f t="shared" si="28"/>
        <v>1</v>
      </c>
      <c r="P952">
        <f t="shared" si="29"/>
        <v>2</v>
      </c>
      <c r="Q952" s="2">
        <v>418</v>
      </c>
      <c r="R952" s="1">
        <v>45738</v>
      </c>
      <c r="S952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219.90000000000006</v>
      </c>
    </row>
    <row r="953" spans="1:19" x14ac:dyDescent="0.3">
      <c r="A953" t="s">
        <v>1285</v>
      </c>
      <c r="B953" t="s">
        <v>44</v>
      </c>
      <c r="C953" t="s">
        <v>30</v>
      </c>
      <c r="D953">
        <v>40.702669999999998</v>
      </c>
      <c r="E953">
        <v>-73.807360000000003</v>
      </c>
      <c r="F953" t="s">
        <v>21</v>
      </c>
      <c r="G953">
        <v>7</v>
      </c>
      <c r="H953">
        <v>1</v>
      </c>
      <c r="I953">
        <v>3</v>
      </c>
      <c r="J953">
        <v>1</v>
      </c>
      <c r="K953">
        <v>30</v>
      </c>
      <c r="L953">
        <v>90</v>
      </c>
      <c r="M953">
        <v>1</v>
      </c>
      <c r="N953">
        <v>0.49</v>
      </c>
      <c r="O953">
        <f t="shared" si="28"/>
        <v>0</v>
      </c>
      <c r="P953">
        <f t="shared" si="29"/>
        <v>0</v>
      </c>
      <c r="Q953" s="2">
        <v>100</v>
      </c>
      <c r="R953" s="1">
        <v>45719</v>
      </c>
      <c r="S953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195.09000000000006</v>
      </c>
    </row>
    <row r="954" spans="1:19" x14ac:dyDescent="0.3">
      <c r="A954" t="s">
        <v>1286</v>
      </c>
      <c r="B954" t="s">
        <v>119</v>
      </c>
      <c r="C954" t="s">
        <v>31</v>
      </c>
      <c r="D954" s="3" t="s">
        <v>1287</v>
      </c>
      <c r="E954">
        <v>-73.927211327041803</v>
      </c>
      <c r="F954" t="s">
        <v>21</v>
      </c>
      <c r="G954">
        <v>4</v>
      </c>
      <c r="H954">
        <v>2</v>
      </c>
      <c r="I954">
        <v>2</v>
      </c>
      <c r="J954">
        <v>2</v>
      </c>
      <c r="K954">
        <v>30</v>
      </c>
      <c r="L954">
        <v>116</v>
      </c>
      <c r="M954">
        <v>2</v>
      </c>
      <c r="N954">
        <v>0.3</v>
      </c>
      <c r="O954">
        <f t="shared" si="28"/>
        <v>0</v>
      </c>
      <c r="P954">
        <f t="shared" si="29"/>
        <v>0</v>
      </c>
      <c r="Q954" s="2">
        <v>109</v>
      </c>
      <c r="R954" s="1">
        <v>45719</v>
      </c>
      <c r="S954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148.33000000000004</v>
      </c>
    </row>
    <row r="955" spans="1:19" x14ac:dyDescent="0.3">
      <c r="A955" t="s">
        <v>1288</v>
      </c>
      <c r="B955" t="s">
        <v>201</v>
      </c>
      <c r="C955" t="s">
        <v>30</v>
      </c>
      <c r="D955">
        <v>40.665140000000001</v>
      </c>
      <c r="E955">
        <v>-73.774640000000005</v>
      </c>
      <c r="F955" t="s">
        <v>21</v>
      </c>
      <c r="G955">
        <v>8</v>
      </c>
      <c r="H955">
        <v>2</v>
      </c>
      <c r="I955">
        <v>3</v>
      </c>
      <c r="J955">
        <v>4</v>
      </c>
      <c r="K955">
        <v>2</v>
      </c>
      <c r="L955">
        <v>142</v>
      </c>
      <c r="M955">
        <v>12</v>
      </c>
      <c r="N955">
        <v>1.72</v>
      </c>
      <c r="O955">
        <f t="shared" si="28"/>
        <v>0</v>
      </c>
      <c r="P955">
        <f t="shared" si="29"/>
        <v>0</v>
      </c>
      <c r="Q955" s="2">
        <v>244</v>
      </c>
      <c r="R955" s="1">
        <v>45718</v>
      </c>
      <c r="S955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317.01000000000005</v>
      </c>
    </row>
    <row r="956" spans="1:19" x14ac:dyDescent="0.3">
      <c r="A956" t="s">
        <v>1289</v>
      </c>
      <c r="B956" t="s">
        <v>19</v>
      </c>
      <c r="C956" t="s">
        <v>20</v>
      </c>
      <c r="D956" s="3" t="s">
        <v>1290</v>
      </c>
      <c r="E956">
        <v>-73.986765091394304</v>
      </c>
      <c r="F956" t="s">
        <v>18</v>
      </c>
      <c r="G956">
        <v>4</v>
      </c>
      <c r="H956">
        <v>1</v>
      </c>
      <c r="I956">
        <v>1</v>
      </c>
      <c r="J956">
        <v>3</v>
      </c>
      <c r="K956">
        <v>1</v>
      </c>
      <c r="L956">
        <v>271</v>
      </c>
      <c r="M956">
        <v>8</v>
      </c>
      <c r="N956">
        <v>1.45</v>
      </c>
      <c r="O956">
        <f t="shared" si="28"/>
        <v>1</v>
      </c>
      <c r="P956">
        <f t="shared" si="29"/>
        <v>4</v>
      </c>
      <c r="Q956" s="2">
        <v>154</v>
      </c>
      <c r="R956" s="1">
        <v>45735</v>
      </c>
      <c r="S956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245.68000000000006</v>
      </c>
    </row>
    <row r="957" spans="1:19" x14ac:dyDescent="0.3">
      <c r="A957" t="s">
        <v>1291</v>
      </c>
      <c r="B957" t="s">
        <v>95</v>
      </c>
      <c r="C957" t="s">
        <v>20</v>
      </c>
      <c r="D957">
        <v>40.749299999999998</v>
      </c>
      <c r="E957">
        <v>-73.976699999999994</v>
      </c>
      <c r="F957" t="s">
        <v>18</v>
      </c>
      <c r="G957">
        <v>2</v>
      </c>
      <c r="H957">
        <v>1</v>
      </c>
      <c r="I957">
        <v>1</v>
      </c>
      <c r="J957">
        <v>1</v>
      </c>
      <c r="K957">
        <v>1</v>
      </c>
      <c r="L957">
        <v>114</v>
      </c>
      <c r="M957">
        <v>2</v>
      </c>
      <c r="N957">
        <v>0.47</v>
      </c>
      <c r="O957">
        <f t="shared" si="28"/>
        <v>1</v>
      </c>
      <c r="P957">
        <f t="shared" si="29"/>
        <v>4</v>
      </c>
      <c r="Q957" s="2">
        <v>240</v>
      </c>
      <c r="R957" s="1">
        <v>45733</v>
      </c>
      <c r="S957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214.00000000000006</v>
      </c>
    </row>
    <row r="958" spans="1:19" x14ac:dyDescent="0.3">
      <c r="A958" t="s">
        <v>1292</v>
      </c>
      <c r="B958" t="s">
        <v>19</v>
      </c>
      <c r="C958" t="s">
        <v>20</v>
      </c>
      <c r="D958">
        <v>40.755697900000001</v>
      </c>
      <c r="E958">
        <v>-73.969159599999998</v>
      </c>
      <c r="F958" t="s">
        <v>18</v>
      </c>
      <c r="G958">
        <v>2</v>
      </c>
      <c r="H958">
        <v>1</v>
      </c>
      <c r="I958">
        <v>1</v>
      </c>
      <c r="J958">
        <v>1</v>
      </c>
      <c r="K958">
        <v>1</v>
      </c>
      <c r="L958">
        <v>105</v>
      </c>
      <c r="M958">
        <v>2</v>
      </c>
      <c r="N958">
        <v>0.39</v>
      </c>
      <c r="O958">
        <f t="shared" si="28"/>
        <v>1</v>
      </c>
      <c r="P958">
        <f t="shared" si="29"/>
        <v>4</v>
      </c>
      <c r="Q958" s="2">
        <v>226</v>
      </c>
      <c r="R958" s="1">
        <v>45722</v>
      </c>
      <c r="S958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214.36000000000007</v>
      </c>
    </row>
    <row r="959" spans="1:19" x14ac:dyDescent="0.3">
      <c r="A959" t="s">
        <v>1293</v>
      </c>
      <c r="B959" t="s">
        <v>95</v>
      </c>
      <c r="C959" t="s">
        <v>20</v>
      </c>
      <c r="D959">
        <v>40.749299999999998</v>
      </c>
      <c r="E959">
        <v>-73.976699999999994</v>
      </c>
      <c r="F959" t="s">
        <v>18</v>
      </c>
      <c r="G959">
        <v>2</v>
      </c>
      <c r="H959">
        <v>1</v>
      </c>
      <c r="I959">
        <v>1</v>
      </c>
      <c r="J959">
        <v>1</v>
      </c>
      <c r="K959">
        <v>1</v>
      </c>
      <c r="L959">
        <v>111</v>
      </c>
      <c r="M959">
        <v>8</v>
      </c>
      <c r="N959">
        <v>1.94</v>
      </c>
      <c r="O959">
        <f t="shared" si="28"/>
        <v>1</v>
      </c>
      <c r="P959">
        <f t="shared" si="29"/>
        <v>4</v>
      </c>
      <c r="Q959" s="2">
        <v>222</v>
      </c>
      <c r="R959" s="1">
        <v>45746</v>
      </c>
      <c r="S959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214.12000000000006</v>
      </c>
    </row>
    <row r="960" spans="1:19" x14ac:dyDescent="0.3">
      <c r="A960" t="s">
        <v>1294</v>
      </c>
      <c r="B960" t="s">
        <v>36</v>
      </c>
      <c r="C960" t="s">
        <v>20</v>
      </c>
      <c r="D960" s="3" t="s">
        <v>1295</v>
      </c>
      <c r="E960">
        <v>-73.9501264674049</v>
      </c>
      <c r="F960" t="s">
        <v>21</v>
      </c>
      <c r="G960">
        <v>2</v>
      </c>
      <c r="H960">
        <v>1</v>
      </c>
      <c r="I960">
        <v>0</v>
      </c>
      <c r="J960">
        <v>1</v>
      </c>
      <c r="K960">
        <v>30</v>
      </c>
      <c r="L960">
        <v>336</v>
      </c>
      <c r="M960">
        <v>2</v>
      </c>
      <c r="N960">
        <v>0.71</v>
      </c>
      <c r="O960">
        <f t="shared" si="28"/>
        <v>0</v>
      </c>
      <c r="P960">
        <f t="shared" si="29"/>
        <v>4</v>
      </c>
      <c r="Q960" s="2">
        <v>150</v>
      </c>
      <c r="R960" s="1">
        <v>45747</v>
      </c>
      <c r="S960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151.27000000000004</v>
      </c>
    </row>
    <row r="961" spans="1:19" x14ac:dyDescent="0.3">
      <c r="A961" t="s">
        <v>1296</v>
      </c>
      <c r="B961" t="s">
        <v>48</v>
      </c>
      <c r="C961" t="s">
        <v>20</v>
      </c>
      <c r="D961">
        <v>40.734470000000002</v>
      </c>
      <c r="E961">
        <v>-73.998059999999995</v>
      </c>
      <c r="F961" t="s">
        <v>21</v>
      </c>
      <c r="G961">
        <v>2</v>
      </c>
      <c r="H961">
        <v>1</v>
      </c>
      <c r="I961">
        <v>1</v>
      </c>
      <c r="J961">
        <v>1</v>
      </c>
      <c r="K961">
        <v>30</v>
      </c>
      <c r="L961">
        <v>119</v>
      </c>
      <c r="M961">
        <v>1</v>
      </c>
      <c r="N961">
        <v>0.53</v>
      </c>
      <c r="O961">
        <f t="shared" si="28"/>
        <v>0</v>
      </c>
      <c r="P961">
        <f t="shared" si="29"/>
        <v>4</v>
      </c>
      <c r="Q961" s="2">
        <v>379</v>
      </c>
      <c r="R961" s="1">
        <v>45723</v>
      </c>
      <c r="S961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159.95000000000002</v>
      </c>
    </row>
    <row r="962" spans="1:19" x14ac:dyDescent="0.3">
      <c r="A962" t="s">
        <v>1297</v>
      </c>
      <c r="B962" t="s">
        <v>16</v>
      </c>
      <c r="C962" t="s">
        <v>17</v>
      </c>
      <c r="D962">
        <v>40.641739999999999</v>
      </c>
      <c r="E962">
        <v>-73.981070000000003</v>
      </c>
      <c r="F962" t="s">
        <v>18</v>
      </c>
      <c r="G962">
        <v>2</v>
      </c>
      <c r="H962">
        <v>1</v>
      </c>
      <c r="I962">
        <v>1</v>
      </c>
      <c r="J962">
        <v>1</v>
      </c>
      <c r="K962">
        <v>30</v>
      </c>
      <c r="L962">
        <v>351</v>
      </c>
      <c r="M962">
        <v>2</v>
      </c>
      <c r="N962">
        <v>0.34</v>
      </c>
      <c r="O962">
        <f t="shared" si="28"/>
        <v>1</v>
      </c>
      <c r="P962">
        <f t="shared" si="29"/>
        <v>2</v>
      </c>
      <c r="Q962" s="2">
        <v>72</v>
      </c>
      <c r="R962" s="1">
        <v>45725</v>
      </c>
      <c r="S962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76.910000000000025</v>
      </c>
    </row>
    <row r="963" spans="1:19" x14ac:dyDescent="0.3">
      <c r="A963" t="s">
        <v>1298</v>
      </c>
      <c r="B963" t="s">
        <v>66</v>
      </c>
      <c r="C963" t="s">
        <v>30</v>
      </c>
      <c r="D963">
        <v>40.739559999999997</v>
      </c>
      <c r="E963">
        <v>-73.91722</v>
      </c>
      <c r="F963" t="s">
        <v>21</v>
      </c>
      <c r="G963">
        <v>4</v>
      </c>
      <c r="H963">
        <v>1</v>
      </c>
      <c r="I963">
        <v>1</v>
      </c>
      <c r="J963">
        <v>2</v>
      </c>
      <c r="K963">
        <v>30</v>
      </c>
      <c r="L963">
        <v>334</v>
      </c>
      <c r="M963">
        <v>1</v>
      </c>
      <c r="N963">
        <v>0.91</v>
      </c>
      <c r="O963">
        <f t="shared" ref="O963:O1026" si="30">IF(F963="Private room",1,0)</f>
        <v>0</v>
      </c>
      <c r="P963">
        <f t="shared" ref="P963:P1026" si="31">IF(C963="Manhattan",4,IF(C963="Brooklyn",2,0))</f>
        <v>0</v>
      </c>
      <c r="Q963" s="2">
        <v>170</v>
      </c>
      <c r="R963" s="1">
        <v>45747</v>
      </c>
      <c r="S963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128.39000000000004</v>
      </c>
    </row>
    <row r="964" spans="1:19" x14ac:dyDescent="0.3">
      <c r="A964" t="s">
        <v>1299</v>
      </c>
      <c r="B964" t="s">
        <v>19</v>
      </c>
      <c r="C964" t="s">
        <v>20</v>
      </c>
      <c r="D964">
        <v>40.75835</v>
      </c>
      <c r="E964">
        <v>-73.971559999999997</v>
      </c>
      <c r="F964" t="s">
        <v>21</v>
      </c>
      <c r="G964">
        <v>2</v>
      </c>
      <c r="H964">
        <v>1</v>
      </c>
      <c r="I964">
        <v>1</v>
      </c>
      <c r="J964">
        <v>1</v>
      </c>
      <c r="K964">
        <v>30</v>
      </c>
      <c r="L964">
        <v>348</v>
      </c>
      <c r="M964">
        <v>2</v>
      </c>
      <c r="N964">
        <v>0.44</v>
      </c>
      <c r="O964">
        <f t="shared" si="30"/>
        <v>0</v>
      </c>
      <c r="P964">
        <f t="shared" si="31"/>
        <v>4</v>
      </c>
      <c r="Q964" s="2">
        <v>289</v>
      </c>
      <c r="R964" s="1">
        <v>45720</v>
      </c>
      <c r="S964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150.79000000000002</v>
      </c>
    </row>
    <row r="965" spans="1:19" x14ac:dyDescent="0.3">
      <c r="A965" t="s">
        <v>1300</v>
      </c>
      <c r="B965" t="s">
        <v>67</v>
      </c>
      <c r="C965" t="s">
        <v>17</v>
      </c>
      <c r="D965">
        <v>40.692329999999998</v>
      </c>
      <c r="E965">
        <v>-73.921310000000005</v>
      </c>
      <c r="F965" t="s">
        <v>18</v>
      </c>
      <c r="G965">
        <v>2</v>
      </c>
      <c r="H965">
        <v>1</v>
      </c>
      <c r="I965">
        <v>1</v>
      </c>
      <c r="J965">
        <v>1</v>
      </c>
      <c r="K965">
        <v>1</v>
      </c>
      <c r="L965">
        <v>159</v>
      </c>
      <c r="M965">
        <v>15</v>
      </c>
      <c r="N965">
        <v>2.15</v>
      </c>
      <c r="O965">
        <f t="shared" si="30"/>
        <v>1</v>
      </c>
      <c r="P965">
        <f t="shared" si="31"/>
        <v>2</v>
      </c>
      <c r="Q965" s="2">
        <v>233</v>
      </c>
      <c r="R965" s="1">
        <v>45746</v>
      </c>
      <c r="S965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181.74000000000004</v>
      </c>
    </row>
    <row r="966" spans="1:19" x14ac:dyDescent="0.3">
      <c r="A966" t="s">
        <v>1301</v>
      </c>
      <c r="B966" t="s">
        <v>27</v>
      </c>
      <c r="C966" t="s">
        <v>17</v>
      </c>
      <c r="D966">
        <v>40.6869041</v>
      </c>
      <c r="E966">
        <v>-73.949384100000003</v>
      </c>
      <c r="F966" t="s">
        <v>21</v>
      </c>
      <c r="G966">
        <v>2</v>
      </c>
      <c r="H966">
        <v>1</v>
      </c>
      <c r="I966">
        <v>1</v>
      </c>
      <c r="J966">
        <v>1</v>
      </c>
      <c r="K966">
        <v>30</v>
      </c>
      <c r="L966">
        <v>148</v>
      </c>
      <c r="M966">
        <v>2</v>
      </c>
      <c r="N966">
        <v>0.85</v>
      </c>
      <c r="O966">
        <f t="shared" si="30"/>
        <v>0</v>
      </c>
      <c r="P966">
        <f t="shared" si="31"/>
        <v>2</v>
      </c>
      <c r="Q966" s="2">
        <v>102</v>
      </c>
      <c r="R966" s="1">
        <v>45740</v>
      </c>
      <c r="S966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128.33000000000001</v>
      </c>
    </row>
    <row r="967" spans="1:19" x14ac:dyDescent="0.3">
      <c r="A967" t="s">
        <v>1303</v>
      </c>
      <c r="B967" t="s">
        <v>61</v>
      </c>
      <c r="C967" t="s">
        <v>30</v>
      </c>
      <c r="D967" s="3" t="s">
        <v>1304</v>
      </c>
      <c r="E967">
        <v>-73.923714627802497</v>
      </c>
      <c r="F967" t="s">
        <v>21</v>
      </c>
      <c r="G967">
        <v>1</v>
      </c>
      <c r="H967">
        <v>1</v>
      </c>
      <c r="I967">
        <v>1</v>
      </c>
      <c r="J967">
        <v>1</v>
      </c>
      <c r="K967">
        <v>30</v>
      </c>
      <c r="L967">
        <v>109</v>
      </c>
      <c r="M967">
        <v>2</v>
      </c>
      <c r="N967">
        <v>0.52</v>
      </c>
      <c r="O967">
        <f t="shared" si="30"/>
        <v>0</v>
      </c>
      <c r="P967">
        <f t="shared" si="31"/>
        <v>0</v>
      </c>
      <c r="Q967" s="2">
        <v>115</v>
      </c>
      <c r="R967" s="1">
        <v>45717</v>
      </c>
      <c r="S967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80.45</v>
      </c>
    </row>
    <row r="968" spans="1:19" x14ac:dyDescent="0.3">
      <c r="A968" t="s">
        <v>1305</v>
      </c>
      <c r="B968" t="s">
        <v>356</v>
      </c>
      <c r="C968" t="s">
        <v>30</v>
      </c>
      <c r="D968" s="3" t="s">
        <v>1306</v>
      </c>
      <c r="E968">
        <v>-73.7578595894702</v>
      </c>
      <c r="F968" t="s">
        <v>18</v>
      </c>
      <c r="G968">
        <v>2</v>
      </c>
      <c r="H968">
        <v>1</v>
      </c>
      <c r="I968">
        <v>1</v>
      </c>
      <c r="J968">
        <v>1</v>
      </c>
      <c r="K968">
        <v>30</v>
      </c>
      <c r="L968">
        <v>350</v>
      </c>
      <c r="M968">
        <v>2</v>
      </c>
      <c r="N968">
        <v>0.5</v>
      </c>
      <c r="O968">
        <f t="shared" si="30"/>
        <v>1</v>
      </c>
      <c r="P968">
        <f t="shared" si="31"/>
        <v>0</v>
      </c>
      <c r="Q968" s="2">
        <v>50</v>
      </c>
      <c r="R968" s="1">
        <v>45722</v>
      </c>
      <c r="S968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46.490000000000023</v>
      </c>
    </row>
    <row r="969" spans="1:19" x14ac:dyDescent="0.3">
      <c r="A969" t="s">
        <v>1307</v>
      </c>
      <c r="B969" t="s">
        <v>19</v>
      </c>
      <c r="C969" t="s">
        <v>20</v>
      </c>
      <c r="D969">
        <v>40.752429999999997</v>
      </c>
      <c r="E969">
        <v>-73.989459999999994</v>
      </c>
      <c r="F969" t="s">
        <v>18</v>
      </c>
      <c r="G969">
        <v>2</v>
      </c>
      <c r="H969">
        <v>1</v>
      </c>
      <c r="I969">
        <v>1</v>
      </c>
      <c r="J969">
        <v>1</v>
      </c>
      <c r="K969">
        <v>1</v>
      </c>
      <c r="L969">
        <v>96</v>
      </c>
      <c r="M969">
        <v>3</v>
      </c>
      <c r="N969">
        <v>0.45</v>
      </c>
      <c r="O969">
        <f t="shared" si="30"/>
        <v>1</v>
      </c>
      <c r="P969">
        <f t="shared" si="31"/>
        <v>4</v>
      </c>
      <c r="Q969" s="2">
        <v>277</v>
      </c>
      <c r="R969" s="1">
        <v>45739</v>
      </c>
      <c r="S969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214.72000000000003</v>
      </c>
    </row>
    <row r="970" spans="1:19" x14ac:dyDescent="0.3">
      <c r="A970" t="s">
        <v>1308</v>
      </c>
      <c r="B970" t="s">
        <v>38</v>
      </c>
      <c r="C970" t="s">
        <v>20</v>
      </c>
      <c r="D970">
        <v>40.7611439</v>
      </c>
      <c r="E970">
        <v>-73.994135299999996</v>
      </c>
      <c r="F970" t="s">
        <v>21</v>
      </c>
      <c r="G970">
        <v>4</v>
      </c>
      <c r="H970">
        <v>1</v>
      </c>
      <c r="I970">
        <v>2</v>
      </c>
      <c r="J970">
        <v>2</v>
      </c>
      <c r="K970">
        <v>30</v>
      </c>
      <c r="L970">
        <v>275</v>
      </c>
      <c r="M970">
        <v>1</v>
      </c>
      <c r="N970">
        <v>0.56999999999999995</v>
      </c>
      <c r="O970">
        <f t="shared" si="30"/>
        <v>0</v>
      </c>
      <c r="P970">
        <f t="shared" si="31"/>
        <v>4</v>
      </c>
      <c r="Q970" s="2">
        <v>135</v>
      </c>
      <c r="R970" s="1">
        <v>45727</v>
      </c>
      <c r="S970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191.67000000000002</v>
      </c>
    </row>
    <row r="971" spans="1:19" x14ac:dyDescent="0.3">
      <c r="A971" t="s">
        <v>1309</v>
      </c>
      <c r="B971" t="s">
        <v>62</v>
      </c>
      <c r="C971" t="s">
        <v>20</v>
      </c>
      <c r="D971">
        <v>40.717140000000001</v>
      </c>
      <c r="E971">
        <v>-73.993160000000003</v>
      </c>
      <c r="F971" t="s">
        <v>21</v>
      </c>
      <c r="G971">
        <v>3</v>
      </c>
      <c r="H971">
        <v>1.5</v>
      </c>
      <c r="I971">
        <v>1</v>
      </c>
      <c r="J971">
        <v>1</v>
      </c>
      <c r="K971">
        <v>30</v>
      </c>
      <c r="L971">
        <v>182</v>
      </c>
      <c r="M971">
        <v>2</v>
      </c>
      <c r="N971">
        <v>0.57999999999999996</v>
      </c>
      <c r="O971">
        <f t="shared" si="30"/>
        <v>0</v>
      </c>
      <c r="P971">
        <f t="shared" si="31"/>
        <v>4</v>
      </c>
      <c r="Q971" s="2">
        <v>175</v>
      </c>
      <c r="R971" s="1">
        <v>45718</v>
      </c>
      <c r="S971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182.02000000000004</v>
      </c>
    </row>
    <row r="972" spans="1:19" x14ac:dyDescent="0.3">
      <c r="A972" t="s">
        <v>1310</v>
      </c>
      <c r="B972" t="s">
        <v>24</v>
      </c>
      <c r="C972" t="s">
        <v>20</v>
      </c>
      <c r="D972" s="3" t="s">
        <v>1311</v>
      </c>
      <c r="E972">
        <v>-73.941715588710395</v>
      </c>
      <c r="F972" t="s">
        <v>21</v>
      </c>
      <c r="G972">
        <v>5</v>
      </c>
      <c r="H972">
        <v>1</v>
      </c>
      <c r="I972">
        <v>2</v>
      </c>
      <c r="J972">
        <v>2</v>
      </c>
      <c r="K972">
        <v>30</v>
      </c>
      <c r="L972">
        <v>243</v>
      </c>
      <c r="M972">
        <v>3</v>
      </c>
      <c r="N972">
        <v>0.54</v>
      </c>
      <c r="O972">
        <f t="shared" si="30"/>
        <v>0</v>
      </c>
      <c r="P972">
        <f t="shared" si="31"/>
        <v>4</v>
      </c>
      <c r="Q972" s="2">
        <v>143</v>
      </c>
      <c r="R972" s="1">
        <v>45747</v>
      </c>
      <c r="S972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211.93</v>
      </c>
    </row>
    <row r="973" spans="1:19" x14ac:dyDescent="0.3">
      <c r="A973" t="s">
        <v>1312</v>
      </c>
      <c r="B973" t="s">
        <v>50</v>
      </c>
      <c r="C973" t="s">
        <v>20</v>
      </c>
      <c r="D973">
        <v>40.7294921711268</v>
      </c>
      <c r="E973">
        <v>-74.002348245312504</v>
      </c>
      <c r="F973" t="s">
        <v>21</v>
      </c>
      <c r="G973">
        <v>2</v>
      </c>
      <c r="H973">
        <v>1</v>
      </c>
      <c r="I973">
        <v>1</v>
      </c>
      <c r="J973">
        <v>1</v>
      </c>
      <c r="K973">
        <v>30</v>
      </c>
      <c r="L973">
        <v>283</v>
      </c>
      <c r="M973">
        <v>1</v>
      </c>
      <c r="N973">
        <v>0.49</v>
      </c>
      <c r="O973">
        <f t="shared" si="30"/>
        <v>0</v>
      </c>
      <c r="P973">
        <f t="shared" si="31"/>
        <v>4</v>
      </c>
      <c r="Q973" s="2">
        <v>185</v>
      </c>
      <c r="R973" s="1">
        <v>45718</v>
      </c>
      <c r="S973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153.39000000000004</v>
      </c>
    </row>
    <row r="974" spans="1:19" x14ac:dyDescent="0.3">
      <c r="A974" t="s">
        <v>1313</v>
      </c>
      <c r="B974" t="s">
        <v>38</v>
      </c>
      <c r="C974" t="s">
        <v>20</v>
      </c>
      <c r="D974" s="3" t="s">
        <v>1314</v>
      </c>
      <c r="E974">
        <v>-73.992519643799994</v>
      </c>
      <c r="F974" t="s">
        <v>18</v>
      </c>
      <c r="G974">
        <v>1</v>
      </c>
      <c r="H974">
        <v>1</v>
      </c>
      <c r="I974">
        <v>1</v>
      </c>
      <c r="J974">
        <v>1</v>
      </c>
      <c r="K974">
        <v>30</v>
      </c>
      <c r="L974">
        <v>169</v>
      </c>
      <c r="M974">
        <v>1</v>
      </c>
      <c r="N974">
        <v>0.48</v>
      </c>
      <c r="O974">
        <f t="shared" si="30"/>
        <v>1</v>
      </c>
      <c r="P974">
        <f t="shared" si="31"/>
        <v>4</v>
      </c>
      <c r="Q974" s="2">
        <v>60</v>
      </c>
      <c r="R974" s="1">
        <v>45717</v>
      </c>
      <c r="S974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95.67</v>
      </c>
    </row>
    <row r="975" spans="1:19" x14ac:dyDescent="0.3">
      <c r="A975" t="s">
        <v>1315</v>
      </c>
      <c r="B975" t="s">
        <v>55</v>
      </c>
      <c r="C975" t="s">
        <v>17</v>
      </c>
      <c r="D975">
        <v>40.666679700000003</v>
      </c>
      <c r="E975">
        <v>-73.983266200000003</v>
      </c>
      <c r="F975" t="s">
        <v>21</v>
      </c>
      <c r="G975">
        <v>2</v>
      </c>
      <c r="H975">
        <v>1</v>
      </c>
      <c r="I975">
        <v>1</v>
      </c>
      <c r="J975">
        <v>1</v>
      </c>
      <c r="K975">
        <v>30</v>
      </c>
      <c r="L975">
        <v>112</v>
      </c>
      <c r="M975">
        <v>2</v>
      </c>
      <c r="N975">
        <v>0.63</v>
      </c>
      <c r="O975">
        <f t="shared" si="30"/>
        <v>0</v>
      </c>
      <c r="P975">
        <f t="shared" si="31"/>
        <v>2</v>
      </c>
      <c r="Q975" s="2">
        <v>221</v>
      </c>
      <c r="R975" s="1">
        <v>45747</v>
      </c>
      <c r="S975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129.77000000000001</v>
      </c>
    </row>
    <row r="976" spans="1:19" x14ac:dyDescent="0.3">
      <c r="A976" t="s">
        <v>1316</v>
      </c>
      <c r="B976" t="s">
        <v>19</v>
      </c>
      <c r="C976" t="s">
        <v>20</v>
      </c>
      <c r="D976" s="3" t="s">
        <v>1317</v>
      </c>
      <c r="E976">
        <v>-73.986000125429399</v>
      </c>
      <c r="F976" t="s">
        <v>18</v>
      </c>
      <c r="G976">
        <v>1</v>
      </c>
      <c r="H976">
        <v>1</v>
      </c>
      <c r="I976">
        <v>1</v>
      </c>
      <c r="J976">
        <v>1</v>
      </c>
      <c r="K976">
        <v>30</v>
      </c>
      <c r="L976">
        <v>334</v>
      </c>
      <c r="M976">
        <v>1</v>
      </c>
      <c r="N976">
        <v>0.48</v>
      </c>
      <c r="O976">
        <f t="shared" si="30"/>
        <v>1</v>
      </c>
      <c r="P976">
        <f t="shared" si="31"/>
        <v>4</v>
      </c>
      <c r="Q976" s="2">
        <v>80</v>
      </c>
      <c r="R976" s="1">
        <v>45718</v>
      </c>
      <c r="S976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89.070000000000007</v>
      </c>
    </row>
    <row r="977" spans="1:19" x14ac:dyDescent="0.3">
      <c r="A977" t="s">
        <v>1318</v>
      </c>
      <c r="B977" t="s">
        <v>24</v>
      </c>
      <c r="C977" t="s">
        <v>20</v>
      </c>
      <c r="D977">
        <v>40.789679999999997</v>
      </c>
      <c r="E977">
        <v>-73.941649999999996</v>
      </c>
      <c r="F977" t="s">
        <v>21</v>
      </c>
      <c r="G977">
        <v>2</v>
      </c>
      <c r="H977">
        <v>1</v>
      </c>
      <c r="I977">
        <v>1</v>
      </c>
      <c r="J977">
        <v>1</v>
      </c>
      <c r="K977">
        <v>30</v>
      </c>
      <c r="L977">
        <v>269</v>
      </c>
      <c r="M977">
        <v>1</v>
      </c>
      <c r="N977">
        <v>0.67</v>
      </c>
      <c r="O977">
        <f t="shared" si="30"/>
        <v>0</v>
      </c>
      <c r="P977">
        <f t="shared" si="31"/>
        <v>4</v>
      </c>
      <c r="Q977" s="2">
        <v>75</v>
      </c>
      <c r="R977" s="1">
        <v>45734</v>
      </c>
      <c r="S977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153.95000000000002</v>
      </c>
    </row>
    <row r="978" spans="1:19" x14ac:dyDescent="0.3">
      <c r="A978" t="s">
        <v>938</v>
      </c>
      <c r="B978" t="s">
        <v>68</v>
      </c>
      <c r="C978" t="s">
        <v>20</v>
      </c>
      <c r="D978" s="3" t="s">
        <v>1319</v>
      </c>
      <c r="E978">
        <v>-73.935622085348299</v>
      </c>
      <c r="F978" t="s">
        <v>18</v>
      </c>
      <c r="G978">
        <v>2</v>
      </c>
      <c r="H978">
        <v>1</v>
      </c>
      <c r="I978">
        <v>1</v>
      </c>
      <c r="J978">
        <v>1</v>
      </c>
      <c r="K978">
        <v>30</v>
      </c>
      <c r="L978">
        <v>59</v>
      </c>
      <c r="M978">
        <v>1</v>
      </c>
      <c r="N978">
        <v>0.48</v>
      </c>
      <c r="O978">
        <f t="shared" si="30"/>
        <v>1</v>
      </c>
      <c r="P978">
        <f t="shared" si="31"/>
        <v>4</v>
      </c>
      <c r="Q978" s="2">
        <v>53</v>
      </c>
      <c r="R978" s="1">
        <v>45718</v>
      </c>
      <c r="S978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119.05000000000003</v>
      </c>
    </row>
    <row r="979" spans="1:19" x14ac:dyDescent="0.3">
      <c r="A979" t="s">
        <v>1320</v>
      </c>
      <c r="B979" t="s">
        <v>60</v>
      </c>
      <c r="C979" t="s">
        <v>17</v>
      </c>
      <c r="D979">
        <v>40.644449999999999</v>
      </c>
      <c r="E979">
        <v>-73.925389999999993</v>
      </c>
      <c r="F979" t="s">
        <v>18</v>
      </c>
      <c r="G979">
        <v>4</v>
      </c>
      <c r="H979">
        <v>2.5</v>
      </c>
      <c r="I979">
        <v>2</v>
      </c>
      <c r="J979">
        <v>2</v>
      </c>
      <c r="K979">
        <v>1</v>
      </c>
      <c r="L979">
        <v>348</v>
      </c>
      <c r="M979">
        <v>5</v>
      </c>
      <c r="N979">
        <v>1.97</v>
      </c>
      <c r="O979">
        <f t="shared" si="30"/>
        <v>1</v>
      </c>
      <c r="P979">
        <f t="shared" si="31"/>
        <v>2</v>
      </c>
      <c r="Q979" s="2">
        <v>350</v>
      </c>
      <c r="R979" s="1">
        <v>45746</v>
      </c>
      <c r="S979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228.97000000000006</v>
      </c>
    </row>
    <row r="980" spans="1:19" x14ac:dyDescent="0.3">
      <c r="A980" t="s">
        <v>1321</v>
      </c>
      <c r="B980" t="s">
        <v>160</v>
      </c>
      <c r="C980" t="s">
        <v>31</v>
      </c>
      <c r="D980" s="3" t="s">
        <v>1322</v>
      </c>
      <c r="E980">
        <v>-73.841151308557301</v>
      </c>
      <c r="F980" t="s">
        <v>21</v>
      </c>
      <c r="G980">
        <v>2</v>
      </c>
      <c r="H980">
        <v>1</v>
      </c>
      <c r="I980">
        <v>1</v>
      </c>
      <c r="J980">
        <v>2</v>
      </c>
      <c r="K980">
        <v>30</v>
      </c>
      <c r="L980">
        <v>58</v>
      </c>
      <c r="M980">
        <v>3</v>
      </c>
      <c r="N980">
        <v>0.66</v>
      </c>
      <c r="O980">
        <f t="shared" si="30"/>
        <v>0</v>
      </c>
      <c r="P980">
        <f t="shared" si="31"/>
        <v>0</v>
      </c>
      <c r="Q980" s="2">
        <v>65</v>
      </c>
      <c r="R980" s="1">
        <v>45726</v>
      </c>
      <c r="S980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101.47000000000003</v>
      </c>
    </row>
    <row r="981" spans="1:19" x14ac:dyDescent="0.3">
      <c r="A981" t="s">
        <v>1323</v>
      </c>
      <c r="B981" t="s">
        <v>36</v>
      </c>
      <c r="C981" t="s">
        <v>20</v>
      </c>
      <c r="D981">
        <v>40.773600000000002</v>
      </c>
      <c r="E981">
        <v>-73.957579999999993</v>
      </c>
      <c r="F981" t="s">
        <v>21</v>
      </c>
      <c r="G981">
        <v>2</v>
      </c>
      <c r="H981">
        <v>1</v>
      </c>
      <c r="I981">
        <v>1</v>
      </c>
      <c r="J981">
        <v>1</v>
      </c>
      <c r="K981">
        <v>4</v>
      </c>
      <c r="L981">
        <v>244</v>
      </c>
      <c r="M981">
        <v>10</v>
      </c>
      <c r="N981">
        <v>1.89</v>
      </c>
      <c r="O981">
        <f t="shared" si="30"/>
        <v>0</v>
      </c>
      <c r="P981">
        <f t="shared" si="31"/>
        <v>4</v>
      </c>
      <c r="Q981" s="2">
        <v>243</v>
      </c>
      <c r="R981" s="1">
        <v>45747</v>
      </c>
      <c r="S981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242.05</v>
      </c>
    </row>
    <row r="982" spans="1:19" x14ac:dyDescent="0.3">
      <c r="A982" t="s">
        <v>230</v>
      </c>
      <c r="B982" t="s">
        <v>23</v>
      </c>
      <c r="C982" t="s">
        <v>17</v>
      </c>
      <c r="D982">
        <v>40.719349999999999</v>
      </c>
      <c r="E982">
        <v>-73.941370000000006</v>
      </c>
      <c r="F982" t="s">
        <v>18</v>
      </c>
      <c r="G982">
        <v>1</v>
      </c>
      <c r="H982">
        <v>1</v>
      </c>
      <c r="I982">
        <v>1</v>
      </c>
      <c r="J982">
        <v>1</v>
      </c>
      <c r="K982">
        <v>30</v>
      </c>
      <c r="L982">
        <v>81</v>
      </c>
      <c r="M982">
        <v>1</v>
      </c>
      <c r="N982">
        <v>0.91</v>
      </c>
      <c r="O982">
        <f t="shared" si="30"/>
        <v>1</v>
      </c>
      <c r="P982">
        <f t="shared" si="31"/>
        <v>2</v>
      </c>
      <c r="Q982" s="2">
        <v>55</v>
      </c>
      <c r="R982" s="1">
        <v>45746</v>
      </c>
      <c r="S982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68.730000000000018</v>
      </c>
    </row>
    <row r="983" spans="1:19" x14ac:dyDescent="0.3">
      <c r="A983" t="s">
        <v>1324</v>
      </c>
      <c r="B983" t="s">
        <v>24</v>
      </c>
      <c r="C983" t="s">
        <v>20</v>
      </c>
      <c r="D983">
        <v>40.801749999999998</v>
      </c>
      <c r="E983">
        <v>-73.9435</v>
      </c>
      <c r="F983" t="s">
        <v>21</v>
      </c>
      <c r="G983">
        <v>4</v>
      </c>
      <c r="H983">
        <v>1</v>
      </c>
      <c r="I983">
        <v>0</v>
      </c>
      <c r="J983">
        <v>2</v>
      </c>
      <c r="K983">
        <v>1</v>
      </c>
      <c r="L983">
        <v>191</v>
      </c>
      <c r="M983">
        <v>7</v>
      </c>
      <c r="N983">
        <v>1.72</v>
      </c>
      <c r="O983">
        <f t="shared" si="30"/>
        <v>0</v>
      </c>
      <c r="P983">
        <f t="shared" si="31"/>
        <v>4</v>
      </c>
      <c r="Q983" s="2">
        <v>180</v>
      </c>
      <c r="R983" s="1">
        <v>45739</v>
      </c>
      <c r="S983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292.18000000000006</v>
      </c>
    </row>
    <row r="984" spans="1:19" x14ac:dyDescent="0.3">
      <c r="A984" t="s">
        <v>1325</v>
      </c>
      <c r="B984" t="s">
        <v>23</v>
      </c>
      <c r="C984" t="s">
        <v>17</v>
      </c>
      <c r="D984">
        <v>40.711701599999998</v>
      </c>
      <c r="E984">
        <v>-73.962876399999999</v>
      </c>
      <c r="F984" t="s">
        <v>18</v>
      </c>
      <c r="G984">
        <v>2</v>
      </c>
      <c r="H984">
        <v>1</v>
      </c>
      <c r="I984">
        <v>1</v>
      </c>
      <c r="J984">
        <v>1</v>
      </c>
      <c r="K984">
        <v>1</v>
      </c>
      <c r="L984">
        <v>109</v>
      </c>
      <c r="M984">
        <v>3</v>
      </c>
      <c r="N984">
        <v>0.99</v>
      </c>
      <c r="O984">
        <f t="shared" si="30"/>
        <v>1</v>
      </c>
      <c r="P984">
        <f t="shared" si="31"/>
        <v>2</v>
      </c>
      <c r="Q984" s="2">
        <v>292</v>
      </c>
      <c r="R984" s="1">
        <v>45727</v>
      </c>
      <c r="S984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183.74000000000004</v>
      </c>
    </row>
    <row r="985" spans="1:19" x14ac:dyDescent="0.3">
      <c r="A985" t="s">
        <v>1326</v>
      </c>
      <c r="B985" t="s">
        <v>28</v>
      </c>
      <c r="C985" t="s">
        <v>20</v>
      </c>
      <c r="D985">
        <v>40.82123</v>
      </c>
      <c r="E985">
        <v>-73.940640000000002</v>
      </c>
      <c r="F985" t="s">
        <v>18</v>
      </c>
      <c r="G985">
        <v>1</v>
      </c>
      <c r="H985">
        <v>1</v>
      </c>
      <c r="I985">
        <v>1</v>
      </c>
      <c r="J985">
        <v>1</v>
      </c>
      <c r="K985">
        <v>30</v>
      </c>
      <c r="L985">
        <v>280</v>
      </c>
      <c r="M985">
        <v>2</v>
      </c>
      <c r="N985">
        <v>0.39</v>
      </c>
      <c r="O985">
        <f t="shared" si="30"/>
        <v>1</v>
      </c>
      <c r="P985">
        <f t="shared" si="31"/>
        <v>4</v>
      </c>
      <c r="Q985" s="2">
        <v>54</v>
      </c>
      <c r="R985" s="1">
        <v>45742</v>
      </c>
      <c r="S985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91.23</v>
      </c>
    </row>
    <row r="986" spans="1:19" x14ac:dyDescent="0.3">
      <c r="A986" t="s">
        <v>1327</v>
      </c>
      <c r="B986" t="s">
        <v>84</v>
      </c>
      <c r="C986" t="s">
        <v>17</v>
      </c>
      <c r="D986">
        <v>40.659019999999998</v>
      </c>
      <c r="E986">
        <v>-73.952219999999997</v>
      </c>
      <c r="F986" t="s">
        <v>21</v>
      </c>
      <c r="G986">
        <v>2</v>
      </c>
      <c r="H986">
        <v>1</v>
      </c>
      <c r="I986">
        <v>1</v>
      </c>
      <c r="J986">
        <v>1</v>
      </c>
      <c r="K986">
        <v>30</v>
      </c>
      <c r="L986">
        <v>115</v>
      </c>
      <c r="M986">
        <v>1</v>
      </c>
      <c r="N986">
        <v>0.94</v>
      </c>
      <c r="O986">
        <f t="shared" si="30"/>
        <v>0</v>
      </c>
      <c r="P986">
        <f t="shared" si="31"/>
        <v>2</v>
      </c>
      <c r="Q986" s="2">
        <v>116</v>
      </c>
      <c r="R986" s="1">
        <v>45747</v>
      </c>
      <c r="S986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129.65000000000003</v>
      </c>
    </row>
    <row r="987" spans="1:19" x14ac:dyDescent="0.3">
      <c r="A987" t="s">
        <v>1328</v>
      </c>
      <c r="B987" t="s">
        <v>140</v>
      </c>
      <c r="C987" t="s">
        <v>17</v>
      </c>
      <c r="D987" s="3" t="s">
        <v>1329</v>
      </c>
      <c r="E987">
        <v>-74.004845023155198</v>
      </c>
      <c r="F987" t="s">
        <v>21</v>
      </c>
      <c r="G987">
        <v>4</v>
      </c>
      <c r="H987">
        <v>1</v>
      </c>
      <c r="I987">
        <v>2</v>
      </c>
      <c r="J987">
        <v>2</v>
      </c>
      <c r="K987">
        <v>30</v>
      </c>
      <c r="L987">
        <v>364</v>
      </c>
      <c r="M987">
        <v>1</v>
      </c>
      <c r="N987">
        <v>0.88</v>
      </c>
      <c r="O987">
        <f t="shared" si="30"/>
        <v>0</v>
      </c>
      <c r="P987">
        <f t="shared" si="31"/>
        <v>2</v>
      </c>
      <c r="Q987" s="2">
        <v>141</v>
      </c>
      <c r="R987" s="1">
        <v>45746</v>
      </c>
      <c r="S987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157.65000000000003</v>
      </c>
    </row>
    <row r="988" spans="1:19" x14ac:dyDescent="0.3">
      <c r="A988" t="s">
        <v>1330</v>
      </c>
      <c r="B988" t="s">
        <v>27</v>
      </c>
      <c r="C988" t="s">
        <v>17</v>
      </c>
      <c r="D988" s="3" t="s">
        <v>1331</v>
      </c>
      <c r="E988">
        <v>-73.922157286768297</v>
      </c>
      <c r="F988" t="s">
        <v>21</v>
      </c>
      <c r="G988">
        <v>2</v>
      </c>
      <c r="H988">
        <v>1</v>
      </c>
      <c r="I988">
        <v>1</v>
      </c>
      <c r="J988">
        <v>1</v>
      </c>
      <c r="K988">
        <v>30</v>
      </c>
      <c r="L988">
        <v>180</v>
      </c>
      <c r="M988">
        <v>2</v>
      </c>
      <c r="N988">
        <v>0.49</v>
      </c>
      <c r="O988">
        <f t="shared" si="30"/>
        <v>0</v>
      </c>
      <c r="P988">
        <f t="shared" si="31"/>
        <v>2</v>
      </c>
      <c r="Q988" s="2">
        <v>130</v>
      </c>
      <c r="R988" s="1">
        <v>45718</v>
      </c>
      <c r="S988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127.05000000000001</v>
      </c>
    </row>
    <row r="989" spans="1:19" x14ac:dyDescent="0.3">
      <c r="A989" t="s">
        <v>1332</v>
      </c>
      <c r="B989" t="s">
        <v>27</v>
      </c>
      <c r="C989" t="s">
        <v>17</v>
      </c>
      <c r="D989" s="3" t="s">
        <v>1333</v>
      </c>
      <c r="E989">
        <v>-73.9287297230848</v>
      </c>
      <c r="F989" t="s">
        <v>18</v>
      </c>
      <c r="G989">
        <v>1</v>
      </c>
      <c r="H989">
        <v>3</v>
      </c>
      <c r="I989">
        <v>1</v>
      </c>
      <c r="J989">
        <v>1</v>
      </c>
      <c r="K989">
        <v>30</v>
      </c>
      <c r="L989">
        <v>265</v>
      </c>
      <c r="M989">
        <v>1</v>
      </c>
      <c r="N989">
        <v>0.48</v>
      </c>
      <c r="O989">
        <f t="shared" si="30"/>
        <v>1</v>
      </c>
      <c r="P989">
        <f t="shared" si="31"/>
        <v>2</v>
      </c>
      <c r="Q989" s="2">
        <v>55</v>
      </c>
      <c r="R989" s="1">
        <v>45717</v>
      </c>
      <c r="S989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83.81</v>
      </c>
    </row>
    <row r="990" spans="1:19" x14ac:dyDescent="0.3">
      <c r="A990" t="s">
        <v>1334</v>
      </c>
      <c r="B990" t="s">
        <v>27</v>
      </c>
      <c r="C990" t="s">
        <v>17</v>
      </c>
      <c r="D990">
        <v>40.680010000000003</v>
      </c>
      <c r="E990">
        <v>-73.91919</v>
      </c>
      <c r="F990" t="s">
        <v>21</v>
      </c>
      <c r="G990">
        <v>2</v>
      </c>
      <c r="H990">
        <v>1</v>
      </c>
      <c r="I990">
        <v>1</v>
      </c>
      <c r="J990">
        <v>1</v>
      </c>
      <c r="K990">
        <v>30</v>
      </c>
      <c r="L990">
        <v>353</v>
      </c>
      <c r="M990">
        <v>1</v>
      </c>
      <c r="N990">
        <v>0.48</v>
      </c>
      <c r="O990">
        <f t="shared" si="30"/>
        <v>0</v>
      </c>
      <c r="P990">
        <f t="shared" si="31"/>
        <v>2</v>
      </c>
      <c r="Q990" s="2">
        <v>96</v>
      </c>
      <c r="R990" s="1">
        <v>45717</v>
      </c>
      <c r="S990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120.13000000000002</v>
      </c>
    </row>
    <row r="991" spans="1:19" x14ac:dyDescent="0.3">
      <c r="A991" t="s">
        <v>1335</v>
      </c>
      <c r="B991" t="s">
        <v>19</v>
      </c>
      <c r="C991" t="s">
        <v>20</v>
      </c>
      <c r="D991" s="3" t="s">
        <v>1336</v>
      </c>
      <c r="E991">
        <v>-73.967232450403401</v>
      </c>
      <c r="F991" t="s">
        <v>21</v>
      </c>
      <c r="G991">
        <v>4</v>
      </c>
      <c r="H991">
        <v>1</v>
      </c>
      <c r="I991">
        <v>2</v>
      </c>
      <c r="J991">
        <v>2</v>
      </c>
      <c r="K991">
        <v>30</v>
      </c>
      <c r="L991">
        <v>254</v>
      </c>
      <c r="M991">
        <v>2</v>
      </c>
      <c r="N991">
        <v>0.5</v>
      </c>
      <c r="O991">
        <f t="shared" si="30"/>
        <v>0</v>
      </c>
      <c r="P991">
        <f t="shared" si="31"/>
        <v>4</v>
      </c>
      <c r="Q991" s="2">
        <v>171</v>
      </c>
      <c r="R991" s="1">
        <v>45718</v>
      </c>
      <c r="S991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192.51000000000005</v>
      </c>
    </row>
    <row r="992" spans="1:19" x14ac:dyDescent="0.3">
      <c r="A992" t="s">
        <v>1337</v>
      </c>
      <c r="B992" t="s">
        <v>85</v>
      </c>
      <c r="C992" t="s">
        <v>20</v>
      </c>
      <c r="D992">
        <v>40.719136599999999</v>
      </c>
      <c r="E992">
        <v>-73.994767299999907</v>
      </c>
      <c r="F992" t="s">
        <v>21</v>
      </c>
      <c r="G992">
        <v>4</v>
      </c>
      <c r="H992">
        <v>2</v>
      </c>
      <c r="I992">
        <v>2</v>
      </c>
      <c r="J992">
        <v>2</v>
      </c>
      <c r="K992">
        <v>30</v>
      </c>
      <c r="L992">
        <v>335</v>
      </c>
      <c r="M992">
        <v>1</v>
      </c>
      <c r="N992">
        <v>0.59</v>
      </c>
      <c r="O992">
        <f t="shared" si="30"/>
        <v>0</v>
      </c>
      <c r="P992">
        <f t="shared" si="31"/>
        <v>4</v>
      </c>
      <c r="Q992" s="2">
        <v>170</v>
      </c>
      <c r="R992" s="1">
        <v>45728</v>
      </c>
      <c r="S992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200.49</v>
      </c>
    </row>
    <row r="993" spans="1:19" x14ac:dyDescent="0.3">
      <c r="A993" t="s">
        <v>1338</v>
      </c>
      <c r="B993" t="s">
        <v>38</v>
      </c>
      <c r="C993" t="s">
        <v>20</v>
      </c>
      <c r="D993">
        <v>40.764480900000002</v>
      </c>
      <c r="E993">
        <v>-73.988945799999996</v>
      </c>
      <c r="F993" t="s">
        <v>21</v>
      </c>
      <c r="G993">
        <v>2</v>
      </c>
      <c r="H993">
        <v>1</v>
      </c>
      <c r="I993">
        <v>1</v>
      </c>
      <c r="J993">
        <v>1</v>
      </c>
      <c r="K993">
        <v>30</v>
      </c>
      <c r="L993">
        <v>294</v>
      </c>
      <c r="M993">
        <v>2</v>
      </c>
      <c r="N993">
        <v>0.49</v>
      </c>
      <c r="O993">
        <f t="shared" si="30"/>
        <v>0</v>
      </c>
      <c r="P993">
        <f t="shared" si="31"/>
        <v>4</v>
      </c>
      <c r="Q993" s="2">
        <v>150</v>
      </c>
      <c r="R993" s="1">
        <v>45747</v>
      </c>
      <c r="S993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152.95000000000002</v>
      </c>
    </row>
    <row r="994" spans="1:19" x14ac:dyDescent="0.3">
      <c r="A994" t="s">
        <v>1339</v>
      </c>
      <c r="B994" t="s">
        <v>66</v>
      </c>
      <c r="C994" t="s">
        <v>30</v>
      </c>
      <c r="D994" s="3" t="s">
        <v>1340</v>
      </c>
      <c r="E994">
        <v>-73.915813118219305</v>
      </c>
      <c r="F994" t="s">
        <v>21</v>
      </c>
      <c r="G994">
        <v>5</v>
      </c>
      <c r="H994">
        <v>1</v>
      </c>
      <c r="I994">
        <v>1</v>
      </c>
      <c r="J994">
        <v>2</v>
      </c>
      <c r="K994">
        <v>30</v>
      </c>
      <c r="L994">
        <v>271</v>
      </c>
      <c r="M994">
        <v>2</v>
      </c>
      <c r="N994">
        <v>0.66</v>
      </c>
      <c r="O994">
        <f t="shared" si="30"/>
        <v>0</v>
      </c>
      <c r="P994">
        <f t="shared" si="31"/>
        <v>0</v>
      </c>
      <c r="Q994" s="2">
        <v>110</v>
      </c>
      <c r="R994" s="1">
        <v>45719</v>
      </c>
      <c r="S994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149.89000000000001</v>
      </c>
    </row>
    <row r="995" spans="1:19" x14ac:dyDescent="0.3">
      <c r="A995" t="s">
        <v>1341</v>
      </c>
      <c r="B995" t="s">
        <v>23</v>
      </c>
      <c r="C995" t="s">
        <v>17</v>
      </c>
      <c r="D995">
        <v>40.718395673520099</v>
      </c>
      <c r="E995">
        <v>-73.958707181382806</v>
      </c>
      <c r="F995" t="s">
        <v>21</v>
      </c>
      <c r="G995">
        <v>2</v>
      </c>
      <c r="H995">
        <v>1</v>
      </c>
      <c r="I995">
        <v>1</v>
      </c>
      <c r="J995">
        <v>1</v>
      </c>
      <c r="K995">
        <v>30</v>
      </c>
      <c r="L995">
        <v>358</v>
      </c>
      <c r="M995">
        <v>1</v>
      </c>
      <c r="N995">
        <v>0.94</v>
      </c>
      <c r="O995">
        <f t="shared" si="30"/>
        <v>0</v>
      </c>
      <c r="P995">
        <f t="shared" si="31"/>
        <v>2</v>
      </c>
      <c r="Q995" s="2">
        <v>163</v>
      </c>
      <c r="R995" s="1">
        <v>45747</v>
      </c>
      <c r="S995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119.93000000000004</v>
      </c>
    </row>
    <row r="996" spans="1:19" x14ac:dyDescent="0.3">
      <c r="A996" t="s">
        <v>1342</v>
      </c>
      <c r="B996" t="s">
        <v>53</v>
      </c>
      <c r="C996" t="s">
        <v>20</v>
      </c>
      <c r="D996" s="3" t="s">
        <v>1343</v>
      </c>
      <c r="E996">
        <v>-73.972854812917802</v>
      </c>
      <c r="F996" t="s">
        <v>21</v>
      </c>
      <c r="G996">
        <v>2</v>
      </c>
      <c r="H996">
        <v>1</v>
      </c>
      <c r="I996">
        <v>1</v>
      </c>
      <c r="J996">
        <v>1</v>
      </c>
      <c r="K996">
        <v>30</v>
      </c>
      <c r="L996">
        <v>32</v>
      </c>
      <c r="M996">
        <v>1</v>
      </c>
      <c r="N996">
        <v>0.91</v>
      </c>
      <c r="O996">
        <f t="shared" si="30"/>
        <v>0</v>
      </c>
      <c r="P996">
        <f t="shared" si="31"/>
        <v>4</v>
      </c>
      <c r="Q996" s="2">
        <v>140</v>
      </c>
      <c r="R996" s="1">
        <v>45746</v>
      </c>
      <c r="S996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163.43</v>
      </c>
    </row>
    <row r="997" spans="1:19" x14ac:dyDescent="0.3">
      <c r="A997" t="s">
        <v>1344</v>
      </c>
      <c r="B997" t="s">
        <v>23</v>
      </c>
      <c r="C997" t="s">
        <v>17</v>
      </c>
      <c r="D997" s="3" t="s">
        <v>1345</v>
      </c>
      <c r="E997">
        <v>-73.953201315093906</v>
      </c>
      <c r="F997" t="s">
        <v>21</v>
      </c>
      <c r="G997">
        <v>2</v>
      </c>
      <c r="H997">
        <v>1</v>
      </c>
      <c r="I997">
        <v>1</v>
      </c>
      <c r="J997">
        <v>1</v>
      </c>
      <c r="K997">
        <v>30</v>
      </c>
      <c r="L997">
        <v>340</v>
      </c>
      <c r="M997">
        <v>1</v>
      </c>
      <c r="N997">
        <v>0.56999999999999995</v>
      </c>
      <c r="O997">
        <f t="shared" si="30"/>
        <v>0</v>
      </c>
      <c r="P997">
        <f t="shared" si="31"/>
        <v>2</v>
      </c>
      <c r="Q997" s="2">
        <v>126</v>
      </c>
      <c r="R997" s="1">
        <v>45726</v>
      </c>
      <c r="S997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120.65000000000003</v>
      </c>
    </row>
    <row r="998" spans="1:19" x14ac:dyDescent="0.3">
      <c r="A998" t="s">
        <v>1346</v>
      </c>
      <c r="B998" t="s">
        <v>53</v>
      </c>
      <c r="C998" t="s">
        <v>20</v>
      </c>
      <c r="D998">
        <v>40.780686899999999</v>
      </c>
      <c r="E998">
        <v>-73.981035700000007</v>
      </c>
      <c r="F998" t="s">
        <v>21</v>
      </c>
      <c r="G998">
        <v>4</v>
      </c>
      <c r="H998">
        <v>1</v>
      </c>
      <c r="I998">
        <v>1</v>
      </c>
      <c r="J998">
        <v>2</v>
      </c>
      <c r="K998">
        <v>1</v>
      </c>
      <c r="L998">
        <v>257</v>
      </c>
      <c r="M998">
        <v>18</v>
      </c>
      <c r="N998">
        <v>0.47</v>
      </c>
      <c r="O998">
        <f t="shared" si="30"/>
        <v>0</v>
      </c>
      <c r="P998">
        <f t="shared" si="31"/>
        <v>4</v>
      </c>
      <c r="Q998" s="2">
        <v>433</v>
      </c>
      <c r="R998" s="1">
        <v>45728</v>
      </c>
      <c r="S998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289.54000000000002</v>
      </c>
    </row>
    <row r="999" spans="1:19" x14ac:dyDescent="0.3">
      <c r="A999" t="s">
        <v>1347</v>
      </c>
      <c r="B999" t="s">
        <v>53</v>
      </c>
      <c r="C999" t="s">
        <v>20</v>
      </c>
      <c r="D999">
        <v>40.780686899999999</v>
      </c>
      <c r="E999">
        <v>-73.981035700000007</v>
      </c>
      <c r="F999" t="s">
        <v>21</v>
      </c>
      <c r="G999">
        <v>2</v>
      </c>
      <c r="H999">
        <v>1</v>
      </c>
      <c r="I999">
        <v>1</v>
      </c>
      <c r="J999">
        <v>1</v>
      </c>
      <c r="K999">
        <v>1</v>
      </c>
      <c r="L999">
        <v>300</v>
      </c>
      <c r="M999">
        <v>3</v>
      </c>
      <c r="N999">
        <v>0.18</v>
      </c>
      <c r="O999">
        <f t="shared" si="30"/>
        <v>0</v>
      </c>
      <c r="P999">
        <f t="shared" si="31"/>
        <v>4</v>
      </c>
      <c r="Q999" s="2">
        <v>394</v>
      </c>
      <c r="R999" s="1">
        <v>45743</v>
      </c>
      <c r="S999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249.86</v>
      </c>
    </row>
    <row r="1000" spans="1:19" x14ac:dyDescent="0.3">
      <c r="A1000" t="s">
        <v>1348</v>
      </c>
      <c r="B1000" t="s">
        <v>53</v>
      </c>
      <c r="C1000" t="s">
        <v>20</v>
      </c>
      <c r="D1000">
        <v>40.780686899999999</v>
      </c>
      <c r="E1000">
        <v>-73.981035700000007</v>
      </c>
      <c r="F1000" t="s">
        <v>21</v>
      </c>
      <c r="G1000">
        <v>2</v>
      </c>
      <c r="H1000">
        <v>1</v>
      </c>
      <c r="I1000">
        <v>1</v>
      </c>
      <c r="J1000">
        <v>1</v>
      </c>
      <c r="K1000">
        <v>1</v>
      </c>
      <c r="L1000">
        <v>300</v>
      </c>
      <c r="M1000">
        <v>8</v>
      </c>
      <c r="N1000">
        <v>0.35</v>
      </c>
      <c r="O1000">
        <f t="shared" si="30"/>
        <v>0</v>
      </c>
      <c r="P1000">
        <f t="shared" si="31"/>
        <v>4</v>
      </c>
      <c r="Q1000" s="2">
        <v>394</v>
      </c>
      <c r="R1000" s="1">
        <v>45734</v>
      </c>
      <c r="S1000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249.86</v>
      </c>
    </row>
    <row r="1001" spans="1:19" x14ac:dyDescent="0.3">
      <c r="A1001" t="s">
        <v>1349</v>
      </c>
      <c r="B1001" t="s">
        <v>59</v>
      </c>
      <c r="C1001" t="s">
        <v>17</v>
      </c>
      <c r="D1001">
        <v>40.682279999999999</v>
      </c>
      <c r="E1001">
        <v>-73.963809999999995</v>
      </c>
      <c r="F1001" t="s">
        <v>21</v>
      </c>
      <c r="G1001">
        <v>4</v>
      </c>
      <c r="H1001">
        <v>1</v>
      </c>
      <c r="I1001">
        <v>1</v>
      </c>
      <c r="J1001">
        <v>1</v>
      </c>
      <c r="K1001">
        <v>30</v>
      </c>
      <c r="L1001">
        <v>180</v>
      </c>
      <c r="M1001">
        <v>1</v>
      </c>
      <c r="N1001">
        <v>0.48</v>
      </c>
      <c r="O1001">
        <f t="shared" si="30"/>
        <v>0</v>
      </c>
      <c r="P1001">
        <f t="shared" si="31"/>
        <v>2</v>
      </c>
      <c r="Q1001" s="2">
        <v>210</v>
      </c>
      <c r="R1001" s="1">
        <v>45717</v>
      </c>
      <c r="S1001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165.01000000000005</v>
      </c>
    </row>
    <row r="1002" spans="1:19" x14ac:dyDescent="0.3">
      <c r="A1002" t="s">
        <v>1350</v>
      </c>
      <c r="B1002" t="s">
        <v>27</v>
      </c>
      <c r="C1002" t="s">
        <v>17</v>
      </c>
      <c r="D1002">
        <v>40.682053099999997</v>
      </c>
      <c r="E1002">
        <v>-73.913321699999997</v>
      </c>
      <c r="F1002" t="s">
        <v>21</v>
      </c>
      <c r="G1002">
        <v>3</v>
      </c>
      <c r="H1002">
        <v>1</v>
      </c>
      <c r="I1002">
        <v>2</v>
      </c>
      <c r="J1002">
        <v>2</v>
      </c>
      <c r="K1002">
        <v>30</v>
      </c>
      <c r="L1002">
        <v>278</v>
      </c>
      <c r="M1002">
        <v>2</v>
      </c>
      <c r="N1002">
        <v>0.66</v>
      </c>
      <c r="O1002">
        <f t="shared" si="30"/>
        <v>0</v>
      </c>
      <c r="P1002">
        <f t="shared" si="31"/>
        <v>2</v>
      </c>
      <c r="Q1002" s="2">
        <v>117</v>
      </c>
      <c r="R1002" s="1">
        <v>45745</v>
      </c>
      <c r="S1002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142.11000000000001</v>
      </c>
    </row>
    <row r="1003" spans="1:19" x14ac:dyDescent="0.3">
      <c r="A1003" t="s">
        <v>1351</v>
      </c>
      <c r="B1003" t="s">
        <v>73</v>
      </c>
      <c r="C1003" t="s">
        <v>30</v>
      </c>
      <c r="D1003" s="3" t="s">
        <v>1352</v>
      </c>
      <c r="E1003">
        <v>-73.936735755450002</v>
      </c>
      <c r="F1003" t="s">
        <v>21</v>
      </c>
      <c r="G1003">
        <v>5</v>
      </c>
      <c r="H1003">
        <v>1</v>
      </c>
      <c r="I1003">
        <v>1</v>
      </c>
      <c r="J1003">
        <v>3</v>
      </c>
      <c r="K1003">
        <v>30</v>
      </c>
      <c r="L1003">
        <v>244</v>
      </c>
      <c r="M1003">
        <v>1</v>
      </c>
      <c r="N1003">
        <v>0.54</v>
      </c>
      <c r="O1003">
        <f t="shared" si="30"/>
        <v>0</v>
      </c>
      <c r="P1003">
        <f t="shared" si="31"/>
        <v>0</v>
      </c>
      <c r="Q1003" s="2">
        <v>80</v>
      </c>
      <c r="R1003" s="1">
        <v>45724</v>
      </c>
      <c r="S1003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150.97000000000003</v>
      </c>
    </row>
    <row r="1004" spans="1:19" x14ac:dyDescent="0.3">
      <c r="A1004" t="s">
        <v>1353</v>
      </c>
      <c r="B1004" t="s">
        <v>134</v>
      </c>
      <c r="C1004" t="s">
        <v>30</v>
      </c>
      <c r="D1004">
        <v>40.703838500000003</v>
      </c>
      <c r="E1004">
        <v>-73.748360300000002</v>
      </c>
      <c r="F1004" t="s">
        <v>21</v>
      </c>
      <c r="G1004">
        <v>4</v>
      </c>
      <c r="H1004">
        <v>1</v>
      </c>
      <c r="I1004">
        <v>2</v>
      </c>
      <c r="J1004">
        <v>2</v>
      </c>
      <c r="K1004">
        <v>30</v>
      </c>
      <c r="L1004">
        <v>212</v>
      </c>
      <c r="M1004">
        <v>2</v>
      </c>
      <c r="N1004">
        <v>0.46</v>
      </c>
      <c r="O1004">
        <f t="shared" si="30"/>
        <v>0</v>
      </c>
      <c r="P1004">
        <f t="shared" si="31"/>
        <v>0</v>
      </c>
      <c r="Q1004" s="2">
        <v>105</v>
      </c>
      <c r="R1004" s="1">
        <v>45717</v>
      </c>
      <c r="S1004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133.27000000000004</v>
      </c>
    </row>
    <row r="1005" spans="1:19" x14ac:dyDescent="0.3">
      <c r="A1005" t="s">
        <v>1354</v>
      </c>
      <c r="B1005" t="s">
        <v>42</v>
      </c>
      <c r="C1005" t="s">
        <v>17</v>
      </c>
      <c r="D1005" s="3" t="s">
        <v>1355</v>
      </c>
      <c r="E1005">
        <v>-73.939042389392796</v>
      </c>
      <c r="F1005" t="s">
        <v>21</v>
      </c>
      <c r="G1005">
        <v>3</v>
      </c>
      <c r="H1005">
        <v>1</v>
      </c>
      <c r="I1005">
        <v>1</v>
      </c>
      <c r="J1005">
        <v>1</v>
      </c>
      <c r="K1005">
        <v>30</v>
      </c>
      <c r="L1005">
        <v>179</v>
      </c>
      <c r="M1005">
        <v>2</v>
      </c>
      <c r="N1005">
        <v>0.67</v>
      </c>
      <c r="O1005">
        <f t="shared" si="30"/>
        <v>0</v>
      </c>
      <c r="P1005">
        <f t="shared" si="31"/>
        <v>2</v>
      </c>
      <c r="Q1005" s="2">
        <v>140</v>
      </c>
      <c r="R1005" s="1">
        <v>45742</v>
      </c>
      <c r="S1005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146.07000000000002</v>
      </c>
    </row>
    <row r="1006" spans="1:19" x14ac:dyDescent="0.3">
      <c r="A1006" t="s">
        <v>1357</v>
      </c>
      <c r="B1006" t="s">
        <v>202</v>
      </c>
      <c r="C1006" t="s">
        <v>20</v>
      </c>
      <c r="D1006" s="3" t="s">
        <v>1358</v>
      </c>
      <c r="E1006">
        <v>-73.909919969737501</v>
      </c>
      <c r="F1006" t="s">
        <v>21</v>
      </c>
      <c r="G1006">
        <v>2</v>
      </c>
      <c r="H1006">
        <v>1</v>
      </c>
      <c r="I1006">
        <v>1</v>
      </c>
      <c r="J1006">
        <v>1</v>
      </c>
      <c r="K1006">
        <v>30</v>
      </c>
      <c r="L1006">
        <v>92</v>
      </c>
      <c r="M1006">
        <v>1</v>
      </c>
      <c r="N1006">
        <v>0.48</v>
      </c>
      <c r="O1006">
        <f t="shared" si="30"/>
        <v>0</v>
      </c>
      <c r="P1006">
        <f t="shared" si="31"/>
        <v>4</v>
      </c>
      <c r="Q1006" s="2">
        <v>92</v>
      </c>
      <c r="R1006" s="1">
        <v>45718</v>
      </c>
      <c r="S1006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161.03000000000003</v>
      </c>
    </row>
    <row r="1007" spans="1:19" x14ac:dyDescent="0.3">
      <c r="A1007" t="s">
        <v>1359</v>
      </c>
      <c r="B1007" t="s">
        <v>32</v>
      </c>
      <c r="C1007" t="s">
        <v>20</v>
      </c>
      <c r="D1007" s="3" t="s">
        <v>1360</v>
      </c>
      <c r="E1007">
        <v>-73.964242209746203</v>
      </c>
      <c r="F1007" t="s">
        <v>21</v>
      </c>
      <c r="G1007">
        <v>4</v>
      </c>
      <c r="H1007">
        <v>1</v>
      </c>
      <c r="I1007">
        <v>2</v>
      </c>
      <c r="J1007">
        <v>2</v>
      </c>
      <c r="K1007">
        <v>30</v>
      </c>
      <c r="L1007">
        <v>133</v>
      </c>
      <c r="M1007">
        <v>1</v>
      </c>
      <c r="N1007">
        <v>0.51</v>
      </c>
      <c r="O1007">
        <f t="shared" si="30"/>
        <v>0</v>
      </c>
      <c r="P1007">
        <f t="shared" si="31"/>
        <v>4</v>
      </c>
      <c r="Q1007" s="2">
        <v>179</v>
      </c>
      <c r="R1007" s="1">
        <v>45721</v>
      </c>
      <c r="S1007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197.35000000000002</v>
      </c>
    </row>
    <row r="1008" spans="1:19" x14ac:dyDescent="0.3">
      <c r="A1008" t="s">
        <v>1356</v>
      </c>
      <c r="B1008" t="s">
        <v>53</v>
      </c>
      <c r="C1008" t="s">
        <v>20</v>
      </c>
      <c r="D1008">
        <v>40.790750000000003</v>
      </c>
      <c r="E1008">
        <v>-73.975930000000005</v>
      </c>
      <c r="F1008" t="s">
        <v>21</v>
      </c>
      <c r="G1008">
        <v>2</v>
      </c>
      <c r="H1008">
        <v>1</v>
      </c>
      <c r="I1008">
        <v>1</v>
      </c>
      <c r="J1008">
        <v>1</v>
      </c>
      <c r="K1008">
        <v>30</v>
      </c>
      <c r="L1008">
        <v>365</v>
      </c>
      <c r="M1008">
        <v>2</v>
      </c>
      <c r="N1008">
        <v>0.67</v>
      </c>
      <c r="O1008">
        <f t="shared" si="30"/>
        <v>0</v>
      </c>
      <c r="P1008">
        <f t="shared" si="31"/>
        <v>4</v>
      </c>
      <c r="Q1008" s="2">
        <v>150</v>
      </c>
      <c r="R1008" s="1">
        <v>45734</v>
      </c>
      <c r="S1008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150.11000000000001</v>
      </c>
    </row>
    <row r="1009" spans="1:19" x14ac:dyDescent="0.3">
      <c r="A1009" t="s">
        <v>1178</v>
      </c>
      <c r="B1009" t="s">
        <v>85</v>
      </c>
      <c r="C1009" t="s">
        <v>20</v>
      </c>
      <c r="D1009">
        <v>40.719136599999999</v>
      </c>
      <c r="E1009">
        <v>-73.994767299999907</v>
      </c>
      <c r="F1009" t="s">
        <v>21</v>
      </c>
      <c r="G1009">
        <v>2</v>
      </c>
      <c r="H1009">
        <v>1</v>
      </c>
      <c r="I1009">
        <v>0</v>
      </c>
      <c r="J1009">
        <v>1</v>
      </c>
      <c r="K1009">
        <v>30</v>
      </c>
      <c r="L1009">
        <v>270</v>
      </c>
      <c r="M1009">
        <v>1</v>
      </c>
      <c r="N1009">
        <v>0.48</v>
      </c>
      <c r="O1009">
        <f t="shared" si="30"/>
        <v>0</v>
      </c>
      <c r="P1009">
        <f t="shared" si="31"/>
        <v>4</v>
      </c>
      <c r="Q1009" s="2">
        <v>125</v>
      </c>
      <c r="R1009" s="1">
        <v>45717</v>
      </c>
      <c r="S1009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153.91000000000003</v>
      </c>
    </row>
    <row r="1010" spans="1:19" x14ac:dyDescent="0.3">
      <c r="A1010" t="s">
        <v>1361</v>
      </c>
      <c r="B1010" t="s">
        <v>62</v>
      </c>
      <c r="C1010" t="s">
        <v>20</v>
      </c>
      <c r="D1010" s="3" t="s">
        <v>1362</v>
      </c>
      <c r="E1010">
        <v>-73.991042262565102</v>
      </c>
      <c r="F1010" t="s">
        <v>21</v>
      </c>
      <c r="G1010">
        <v>3</v>
      </c>
      <c r="H1010">
        <v>1</v>
      </c>
      <c r="I1010">
        <v>1</v>
      </c>
      <c r="J1010">
        <v>1</v>
      </c>
      <c r="K1010">
        <v>3</v>
      </c>
      <c r="L1010">
        <v>218</v>
      </c>
      <c r="M1010">
        <v>1</v>
      </c>
      <c r="N1010">
        <v>0.79</v>
      </c>
      <c r="O1010">
        <f t="shared" si="30"/>
        <v>0</v>
      </c>
      <c r="P1010">
        <f t="shared" si="31"/>
        <v>4</v>
      </c>
      <c r="Q1010" s="2">
        <v>239</v>
      </c>
      <c r="R1010" s="1">
        <v>45741</v>
      </c>
      <c r="S1010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265.42</v>
      </c>
    </row>
    <row r="1011" spans="1:19" x14ac:dyDescent="0.3">
      <c r="A1011" t="s">
        <v>1363</v>
      </c>
      <c r="B1011" t="s">
        <v>94</v>
      </c>
      <c r="C1011" t="s">
        <v>17</v>
      </c>
      <c r="D1011" s="3" t="s">
        <v>1364</v>
      </c>
      <c r="E1011">
        <v>-73.879826840235495</v>
      </c>
      <c r="F1011" t="s">
        <v>21</v>
      </c>
      <c r="G1011">
        <v>2</v>
      </c>
      <c r="H1011">
        <v>1</v>
      </c>
      <c r="I1011">
        <v>0</v>
      </c>
      <c r="J1011">
        <v>1</v>
      </c>
      <c r="K1011">
        <v>30</v>
      </c>
      <c r="L1011">
        <v>264</v>
      </c>
      <c r="M1011">
        <v>1</v>
      </c>
      <c r="N1011">
        <v>0.48</v>
      </c>
      <c r="O1011">
        <f t="shared" si="30"/>
        <v>0</v>
      </c>
      <c r="P1011">
        <f t="shared" si="31"/>
        <v>2</v>
      </c>
      <c r="Q1011" s="2">
        <v>77</v>
      </c>
      <c r="R1011" s="1">
        <v>45718</v>
      </c>
      <c r="S1011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123.69000000000003</v>
      </c>
    </row>
    <row r="1012" spans="1:19" x14ac:dyDescent="0.3">
      <c r="A1012" t="s">
        <v>1365</v>
      </c>
      <c r="B1012" t="s">
        <v>38</v>
      </c>
      <c r="C1012" t="s">
        <v>20</v>
      </c>
      <c r="D1012">
        <v>40.7611439</v>
      </c>
      <c r="E1012">
        <v>-73.994135299999996</v>
      </c>
      <c r="F1012" t="s">
        <v>21</v>
      </c>
      <c r="G1012">
        <v>3</v>
      </c>
      <c r="H1012">
        <v>1</v>
      </c>
      <c r="I1012">
        <v>1</v>
      </c>
      <c r="J1012">
        <v>1</v>
      </c>
      <c r="K1012">
        <v>30</v>
      </c>
      <c r="L1012">
        <v>274</v>
      </c>
      <c r="M1012">
        <v>1</v>
      </c>
      <c r="N1012">
        <v>0.6</v>
      </c>
      <c r="O1012">
        <f t="shared" si="30"/>
        <v>0</v>
      </c>
      <c r="P1012">
        <f t="shared" si="31"/>
        <v>4</v>
      </c>
      <c r="Q1012" s="2">
        <v>105</v>
      </c>
      <c r="R1012" s="1">
        <v>45730</v>
      </c>
      <c r="S1012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172.73000000000002</v>
      </c>
    </row>
    <row r="1013" spans="1:19" x14ac:dyDescent="0.3">
      <c r="A1013" t="s">
        <v>1366</v>
      </c>
      <c r="B1013" t="s">
        <v>19</v>
      </c>
      <c r="C1013" t="s">
        <v>20</v>
      </c>
      <c r="D1013" s="3" t="s">
        <v>1367</v>
      </c>
      <c r="E1013">
        <v>-73.987108248895396</v>
      </c>
      <c r="F1013" t="s">
        <v>18</v>
      </c>
      <c r="G1013">
        <v>8</v>
      </c>
      <c r="H1013">
        <v>1</v>
      </c>
      <c r="I1013">
        <v>1</v>
      </c>
      <c r="J1013">
        <v>2</v>
      </c>
      <c r="K1013">
        <v>1</v>
      </c>
      <c r="L1013">
        <v>291</v>
      </c>
      <c r="M1013">
        <v>5</v>
      </c>
      <c r="N1013">
        <v>1.39</v>
      </c>
      <c r="O1013">
        <f t="shared" si="30"/>
        <v>1</v>
      </c>
      <c r="P1013">
        <f t="shared" si="31"/>
        <v>4</v>
      </c>
      <c r="Q1013" s="2">
        <v>260</v>
      </c>
      <c r="R1013" s="1">
        <v>45739</v>
      </c>
      <c r="S1013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320.80000000000007</v>
      </c>
    </row>
    <row r="1014" spans="1:19" x14ac:dyDescent="0.3">
      <c r="A1014" t="s">
        <v>1368</v>
      </c>
      <c r="B1014" t="s">
        <v>44</v>
      </c>
      <c r="C1014" t="s">
        <v>30</v>
      </c>
      <c r="D1014">
        <v>40.706499999999998</v>
      </c>
      <c r="E1014">
        <v>-73.803319999999999</v>
      </c>
      <c r="F1014" t="s">
        <v>21</v>
      </c>
      <c r="G1014">
        <v>2</v>
      </c>
      <c r="H1014">
        <v>1</v>
      </c>
      <c r="I1014">
        <v>0</v>
      </c>
      <c r="J1014">
        <v>1</v>
      </c>
      <c r="K1014">
        <v>30</v>
      </c>
      <c r="L1014">
        <v>175</v>
      </c>
      <c r="M1014">
        <v>1</v>
      </c>
      <c r="N1014">
        <v>0.51</v>
      </c>
      <c r="O1014">
        <f t="shared" si="30"/>
        <v>0</v>
      </c>
      <c r="P1014">
        <f t="shared" si="31"/>
        <v>0</v>
      </c>
      <c r="Q1014" s="2">
        <v>151</v>
      </c>
      <c r="R1014" s="1">
        <v>45721</v>
      </c>
      <c r="S1014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96.79000000000002</v>
      </c>
    </row>
    <row r="1015" spans="1:19" x14ac:dyDescent="0.3">
      <c r="A1015" t="s">
        <v>1302</v>
      </c>
      <c r="B1015" t="s">
        <v>111</v>
      </c>
      <c r="C1015" t="s">
        <v>30</v>
      </c>
      <c r="D1015">
        <v>40.761510000000001</v>
      </c>
      <c r="E1015">
        <v>-73.771739999999994</v>
      </c>
      <c r="F1015" t="s">
        <v>21</v>
      </c>
      <c r="G1015">
        <v>2</v>
      </c>
      <c r="H1015">
        <v>1</v>
      </c>
      <c r="I1015">
        <v>1</v>
      </c>
      <c r="J1015">
        <v>1</v>
      </c>
      <c r="K1015">
        <v>30</v>
      </c>
      <c r="L1015">
        <v>289</v>
      </c>
      <c r="M1015">
        <v>1</v>
      </c>
      <c r="N1015">
        <v>0.91</v>
      </c>
      <c r="O1015">
        <f t="shared" si="30"/>
        <v>0</v>
      </c>
      <c r="P1015">
        <f t="shared" si="31"/>
        <v>0</v>
      </c>
      <c r="Q1015" s="2">
        <v>120</v>
      </c>
      <c r="R1015" s="1">
        <v>45747</v>
      </c>
      <c r="S1015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92.230000000000018</v>
      </c>
    </row>
    <row r="1016" spans="1:19" x14ac:dyDescent="0.3">
      <c r="A1016" t="s">
        <v>1369</v>
      </c>
      <c r="B1016" t="s">
        <v>19</v>
      </c>
      <c r="C1016" t="s">
        <v>20</v>
      </c>
      <c r="D1016">
        <v>40.746180000000003</v>
      </c>
      <c r="E1016">
        <v>-73.988529999999997</v>
      </c>
      <c r="F1016" t="s">
        <v>18</v>
      </c>
      <c r="G1016">
        <v>8</v>
      </c>
      <c r="H1016">
        <v>0</v>
      </c>
      <c r="I1016">
        <v>1</v>
      </c>
      <c r="J1016">
        <v>4</v>
      </c>
      <c r="K1016">
        <v>1</v>
      </c>
      <c r="L1016">
        <v>282</v>
      </c>
      <c r="M1016">
        <v>2</v>
      </c>
      <c r="N1016">
        <v>0.46</v>
      </c>
      <c r="O1016">
        <f t="shared" si="30"/>
        <v>1</v>
      </c>
      <c r="P1016">
        <f t="shared" si="31"/>
        <v>4</v>
      </c>
      <c r="Q1016" s="2">
        <v>276</v>
      </c>
      <c r="R1016" s="1">
        <v>45718</v>
      </c>
      <c r="S1016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309.94000000000005</v>
      </c>
    </row>
    <row r="1017" spans="1:19" x14ac:dyDescent="0.3">
      <c r="A1017" t="s">
        <v>1178</v>
      </c>
      <c r="B1017" t="s">
        <v>85</v>
      </c>
      <c r="C1017" t="s">
        <v>20</v>
      </c>
      <c r="D1017">
        <v>40.719136599999999</v>
      </c>
      <c r="E1017">
        <v>-73.994767299999907</v>
      </c>
      <c r="F1017" t="s">
        <v>21</v>
      </c>
      <c r="G1017">
        <v>2</v>
      </c>
      <c r="H1017">
        <v>1</v>
      </c>
      <c r="I1017">
        <v>0</v>
      </c>
      <c r="J1017">
        <v>1</v>
      </c>
      <c r="K1017">
        <v>30</v>
      </c>
      <c r="L1017">
        <v>294</v>
      </c>
      <c r="M1017">
        <v>1</v>
      </c>
      <c r="N1017">
        <v>0.48</v>
      </c>
      <c r="O1017">
        <f t="shared" si="30"/>
        <v>0</v>
      </c>
      <c r="P1017">
        <f t="shared" si="31"/>
        <v>4</v>
      </c>
      <c r="Q1017" s="2">
        <v>120</v>
      </c>
      <c r="R1017" s="1">
        <v>45717</v>
      </c>
      <c r="S1017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152.95000000000002</v>
      </c>
    </row>
    <row r="1018" spans="1:19" x14ac:dyDescent="0.3">
      <c r="A1018" t="s">
        <v>1370</v>
      </c>
      <c r="B1018" t="s">
        <v>40</v>
      </c>
      <c r="C1018" t="s">
        <v>17</v>
      </c>
      <c r="D1018" s="3" t="s">
        <v>1371</v>
      </c>
      <c r="E1018">
        <v>-73.962621466608695</v>
      </c>
      <c r="F1018" t="s">
        <v>18</v>
      </c>
      <c r="G1018">
        <v>2</v>
      </c>
      <c r="H1018">
        <v>1</v>
      </c>
      <c r="I1018">
        <v>1</v>
      </c>
      <c r="J1018">
        <v>1</v>
      </c>
      <c r="K1018">
        <v>1</v>
      </c>
      <c r="L1018">
        <v>346</v>
      </c>
      <c r="M1018">
        <v>3</v>
      </c>
      <c r="N1018">
        <v>1.48</v>
      </c>
      <c r="O1018">
        <f t="shared" si="30"/>
        <v>1</v>
      </c>
      <c r="P1018">
        <f t="shared" si="31"/>
        <v>2</v>
      </c>
      <c r="Q1018" s="2">
        <v>114</v>
      </c>
      <c r="R1018" s="1">
        <v>45733</v>
      </c>
      <c r="S1018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174.26000000000002</v>
      </c>
    </row>
    <row r="1019" spans="1:19" x14ac:dyDescent="0.3">
      <c r="A1019" t="s">
        <v>1372</v>
      </c>
      <c r="B1019" t="s">
        <v>19</v>
      </c>
      <c r="C1019" t="s">
        <v>20</v>
      </c>
      <c r="D1019">
        <v>40.76473</v>
      </c>
      <c r="E1019">
        <v>-73.982230000000001</v>
      </c>
      <c r="F1019" t="s">
        <v>18</v>
      </c>
      <c r="G1019">
        <v>1</v>
      </c>
      <c r="H1019">
        <v>1</v>
      </c>
      <c r="I1019">
        <v>1</v>
      </c>
      <c r="J1019">
        <v>1</v>
      </c>
      <c r="K1019">
        <v>30</v>
      </c>
      <c r="L1019">
        <v>91</v>
      </c>
      <c r="M1019">
        <v>1</v>
      </c>
      <c r="N1019">
        <v>0.91</v>
      </c>
      <c r="O1019">
        <f t="shared" si="30"/>
        <v>1</v>
      </c>
      <c r="P1019">
        <f t="shared" si="31"/>
        <v>4</v>
      </c>
      <c r="Q1019" s="2">
        <v>97</v>
      </c>
      <c r="R1019" s="1">
        <v>45747</v>
      </c>
      <c r="S1019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98.79</v>
      </c>
    </row>
    <row r="1020" spans="1:19" x14ac:dyDescent="0.3">
      <c r="A1020" t="s">
        <v>1373</v>
      </c>
      <c r="B1020" t="s">
        <v>251</v>
      </c>
      <c r="C1020" t="s">
        <v>30</v>
      </c>
      <c r="D1020">
        <v>40.6845511</v>
      </c>
      <c r="E1020">
        <v>-73.746996899999999</v>
      </c>
      <c r="F1020" t="s">
        <v>18</v>
      </c>
      <c r="G1020">
        <v>2</v>
      </c>
      <c r="H1020">
        <v>1</v>
      </c>
      <c r="I1020">
        <v>1</v>
      </c>
      <c r="J1020">
        <v>1</v>
      </c>
      <c r="K1020">
        <v>1</v>
      </c>
      <c r="L1020">
        <v>229</v>
      </c>
      <c r="M1020">
        <v>2</v>
      </c>
      <c r="N1020">
        <v>0.87</v>
      </c>
      <c r="O1020">
        <f t="shared" si="30"/>
        <v>1</v>
      </c>
      <c r="P1020">
        <f t="shared" si="31"/>
        <v>0</v>
      </c>
      <c r="Q1020" s="2">
        <v>80</v>
      </c>
      <c r="R1020" s="1">
        <v>45739</v>
      </c>
      <c r="S1020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148.48000000000002</v>
      </c>
    </row>
    <row r="1021" spans="1:19" x14ac:dyDescent="0.3">
      <c r="A1021" t="s">
        <v>1374</v>
      </c>
      <c r="B1021" t="s">
        <v>65</v>
      </c>
      <c r="C1021" t="s">
        <v>17</v>
      </c>
      <c r="D1021">
        <v>40.687049999999999</v>
      </c>
      <c r="E1021">
        <v>-73.982159999999993</v>
      </c>
      <c r="F1021" t="s">
        <v>21</v>
      </c>
      <c r="G1021">
        <v>2</v>
      </c>
      <c r="H1021">
        <v>1</v>
      </c>
      <c r="I1021">
        <v>1</v>
      </c>
      <c r="J1021">
        <v>1</v>
      </c>
      <c r="K1021">
        <v>30</v>
      </c>
      <c r="L1021">
        <v>120</v>
      </c>
      <c r="M1021">
        <v>1</v>
      </c>
      <c r="N1021">
        <v>0.88</v>
      </c>
      <c r="O1021">
        <f t="shared" si="30"/>
        <v>0</v>
      </c>
      <c r="P1021">
        <f t="shared" si="31"/>
        <v>2</v>
      </c>
      <c r="Q1021" s="2">
        <v>128</v>
      </c>
      <c r="R1021" s="1">
        <v>45746</v>
      </c>
      <c r="S1021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129.45000000000002</v>
      </c>
    </row>
    <row r="1022" spans="1:19" x14ac:dyDescent="0.3">
      <c r="A1022" t="s">
        <v>1375</v>
      </c>
      <c r="B1022" t="s">
        <v>60</v>
      </c>
      <c r="C1022" t="s">
        <v>17</v>
      </c>
      <c r="D1022">
        <v>40.6509</v>
      </c>
      <c r="E1022">
        <v>-73.912610000000001</v>
      </c>
      <c r="F1022" t="s">
        <v>21</v>
      </c>
      <c r="G1022">
        <v>2</v>
      </c>
      <c r="H1022">
        <v>1</v>
      </c>
      <c r="I1022">
        <v>1</v>
      </c>
      <c r="J1022">
        <v>1</v>
      </c>
      <c r="K1022">
        <v>30</v>
      </c>
      <c r="L1022">
        <v>302</v>
      </c>
      <c r="M1022">
        <v>1</v>
      </c>
      <c r="N1022">
        <v>0.88</v>
      </c>
      <c r="O1022">
        <f t="shared" si="30"/>
        <v>0</v>
      </c>
      <c r="P1022">
        <f t="shared" si="31"/>
        <v>2</v>
      </c>
      <c r="Q1022" s="2">
        <v>85</v>
      </c>
      <c r="R1022" s="1">
        <v>45746</v>
      </c>
      <c r="S1022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122.17000000000002</v>
      </c>
    </row>
    <row r="1023" spans="1:19" x14ac:dyDescent="0.3">
      <c r="A1023" t="s">
        <v>1376</v>
      </c>
      <c r="B1023" t="s">
        <v>23</v>
      </c>
      <c r="C1023" t="s">
        <v>17</v>
      </c>
      <c r="D1023">
        <v>40.711860000000001</v>
      </c>
      <c r="E1023">
        <v>-73.958240000000004</v>
      </c>
      <c r="F1023" t="s">
        <v>21</v>
      </c>
      <c r="G1023">
        <v>2</v>
      </c>
      <c r="H1023">
        <v>1</v>
      </c>
      <c r="I1023">
        <v>1</v>
      </c>
      <c r="J1023">
        <v>1</v>
      </c>
      <c r="K1023">
        <v>30</v>
      </c>
      <c r="L1023">
        <v>122</v>
      </c>
      <c r="M1023">
        <v>1</v>
      </c>
      <c r="N1023">
        <v>0.71</v>
      </c>
      <c r="O1023">
        <f t="shared" si="30"/>
        <v>0</v>
      </c>
      <c r="P1023">
        <f t="shared" si="31"/>
        <v>2</v>
      </c>
      <c r="Q1023" s="2">
        <v>184</v>
      </c>
      <c r="R1023" s="1">
        <v>45737</v>
      </c>
      <c r="S1023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129.37000000000003</v>
      </c>
    </row>
    <row r="1024" spans="1:19" x14ac:dyDescent="0.3">
      <c r="A1024" t="s">
        <v>1377</v>
      </c>
      <c r="B1024" t="s">
        <v>67</v>
      </c>
      <c r="C1024" t="s">
        <v>17</v>
      </c>
      <c r="D1024">
        <v>40.689120000000003</v>
      </c>
      <c r="E1024">
        <v>-73.918949999999995</v>
      </c>
      <c r="F1024" t="s">
        <v>21</v>
      </c>
      <c r="G1024">
        <v>2</v>
      </c>
      <c r="H1024">
        <v>1</v>
      </c>
      <c r="I1024">
        <v>2</v>
      </c>
      <c r="J1024">
        <v>1</v>
      </c>
      <c r="K1024">
        <v>30</v>
      </c>
      <c r="L1024">
        <v>123</v>
      </c>
      <c r="M1024">
        <v>1</v>
      </c>
      <c r="N1024">
        <v>0.91</v>
      </c>
      <c r="O1024">
        <f t="shared" si="30"/>
        <v>0</v>
      </c>
      <c r="P1024">
        <f t="shared" si="31"/>
        <v>2</v>
      </c>
      <c r="Q1024" s="2">
        <v>150</v>
      </c>
      <c r="R1024" s="1">
        <v>45747</v>
      </c>
      <c r="S1024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129.33000000000001</v>
      </c>
    </row>
    <row r="1025" spans="1:19" x14ac:dyDescent="0.3">
      <c r="A1025" t="s">
        <v>1378</v>
      </c>
      <c r="B1025" t="s">
        <v>101</v>
      </c>
      <c r="C1025" t="s">
        <v>30</v>
      </c>
      <c r="D1025">
        <v>40.760689999999997</v>
      </c>
      <c r="E1025">
        <v>-73.872950000000003</v>
      </c>
      <c r="F1025" t="s">
        <v>18</v>
      </c>
      <c r="G1025">
        <v>2</v>
      </c>
      <c r="H1025">
        <v>1</v>
      </c>
      <c r="I1025">
        <v>1</v>
      </c>
      <c r="J1025">
        <v>1</v>
      </c>
      <c r="K1025">
        <v>1</v>
      </c>
      <c r="L1025">
        <v>350</v>
      </c>
      <c r="M1025">
        <v>1</v>
      </c>
      <c r="N1025">
        <v>0.65</v>
      </c>
      <c r="O1025">
        <f t="shared" si="30"/>
        <v>1</v>
      </c>
      <c r="P1025">
        <f t="shared" si="31"/>
        <v>0</v>
      </c>
      <c r="Q1025" s="2">
        <v>89</v>
      </c>
      <c r="R1025" s="1">
        <v>45734</v>
      </c>
      <c r="S1025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143.64000000000004</v>
      </c>
    </row>
    <row r="1026" spans="1:19" x14ac:dyDescent="0.3">
      <c r="A1026" t="s">
        <v>1379</v>
      </c>
      <c r="B1026" t="s">
        <v>42</v>
      </c>
      <c r="C1026" t="s">
        <v>17</v>
      </c>
      <c r="D1026" s="3" t="s">
        <v>1380</v>
      </c>
      <c r="E1026">
        <v>-73.945246229955202</v>
      </c>
      <c r="F1026" t="s">
        <v>21</v>
      </c>
      <c r="G1026">
        <v>2</v>
      </c>
      <c r="H1026">
        <v>1</v>
      </c>
      <c r="I1026">
        <v>1</v>
      </c>
      <c r="J1026">
        <v>2</v>
      </c>
      <c r="K1026">
        <v>30</v>
      </c>
      <c r="L1026">
        <v>169</v>
      </c>
      <c r="M1026">
        <v>1</v>
      </c>
      <c r="N1026">
        <v>0.94</v>
      </c>
      <c r="O1026">
        <f t="shared" si="30"/>
        <v>0</v>
      </c>
      <c r="P1026">
        <f t="shared" si="31"/>
        <v>2</v>
      </c>
      <c r="Q1026" s="2">
        <v>100</v>
      </c>
      <c r="R1026" s="1">
        <v>45747</v>
      </c>
      <c r="S1026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127.49000000000001</v>
      </c>
    </row>
    <row r="1027" spans="1:19" x14ac:dyDescent="0.3">
      <c r="A1027" t="s">
        <v>1381</v>
      </c>
      <c r="B1027" t="s">
        <v>273</v>
      </c>
      <c r="C1027" t="s">
        <v>30</v>
      </c>
      <c r="D1027" s="3" t="s">
        <v>1382</v>
      </c>
      <c r="E1027">
        <v>-73.7266455386644</v>
      </c>
      <c r="F1027" t="s">
        <v>21</v>
      </c>
      <c r="G1027">
        <v>2</v>
      </c>
      <c r="H1027">
        <v>1</v>
      </c>
      <c r="I1027">
        <v>0</v>
      </c>
      <c r="J1027">
        <v>1</v>
      </c>
      <c r="K1027">
        <v>5</v>
      </c>
      <c r="L1027">
        <v>322</v>
      </c>
      <c r="M1027">
        <v>1</v>
      </c>
      <c r="N1027">
        <v>0.88</v>
      </c>
      <c r="O1027">
        <f t="shared" ref="O1027:O1043" si="32">IF(F1027="Private room",1,0)</f>
        <v>0</v>
      </c>
      <c r="P1027">
        <f t="shared" ref="P1027:P1043" si="33">IF(C1027="Manhattan",4,IF(C1027="Brooklyn",2,0))</f>
        <v>0</v>
      </c>
      <c r="Q1027" s="2">
        <v>90</v>
      </c>
      <c r="R1027" s="1">
        <v>45746</v>
      </c>
      <c r="S1027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174.66000000000003</v>
      </c>
    </row>
    <row r="1028" spans="1:19" x14ac:dyDescent="0.3">
      <c r="A1028" t="s">
        <v>1383</v>
      </c>
      <c r="B1028" t="s">
        <v>37</v>
      </c>
      <c r="C1028" t="s">
        <v>30</v>
      </c>
      <c r="D1028" s="3" t="s">
        <v>1384</v>
      </c>
      <c r="E1028">
        <v>-73.906062413795794</v>
      </c>
      <c r="F1028" t="s">
        <v>21</v>
      </c>
      <c r="G1028">
        <v>4</v>
      </c>
      <c r="H1028">
        <v>1</v>
      </c>
      <c r="I1028">
        <v>2</v>
      </c>
      <c r="J1028">
        <v>2</v>
      </c>
      <c r="K1028">
        <v>30</v>
      </c>
      <c r="L1028">
        <v>265</v>
      </c>
      <c r="M1028">
        <v>1</v>
      </c>
      <c r="N1028">
        <v>0.88</v>
      </c>
      <c r="O1028">
        <f t="shared" si="32"/>
        <v>0</v>
      </c>
      <c r="P1028">
        <f t="shared" si="33"/>
        <v>0</v>
      </c>
      <c r="Q1028" s="2">
        <v>141</v>
      </c>
      <c r="R1028" s="1">
        <v>45746</v>
      </c>
      <c r="S1028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131.15000000000003</v>
      </c>
    </row>
    <row r="1029" spans="1:19" x14ac:dyDescent="0.3">
      <c r="A1029" t="s">
        <v>1385</v>
      </c>
      <c r="B1029" t="s">
        <v>83</v>
      </c>
      <c r="C1029" t="s">
        <v>20</v>
      </c>
      <c r="D1029">
        <v>40.868087299999999</v>
      </c>
      <c r="E1029">
        <v>-73.924474799999999</v>
      </c>
      <c r="F1029" t="s">
        <v>21</v>
      </c>
      <c r="G1029">
        <v>2</v>
      </c>
      <c r="H1029">
        <v>1</v>
      </c>
      <c r="I1029">
        <v>1</v>
      </c>
      <c r="J1029">
        <v>2</v>
      </c>
      <c r="K1029">
        <v>30</v>
      </c>
      <c r="L1029">
        <v>349</v>
      </c>
      <c r="M1029">
        <v>1</v>
      </c>
      <c r="N1029">
        <v>0.64</v>
      </c>
      <c r="O1029">
        <f t="shared" si="32"/>
        <v>0</v>
      </c>
      <c r="P1029">
        <f t="shared" si="33"/>
        <v>4</v>
      </c>
      <c r="Q1029" s="2">
        <v>103</v>
      </c>
      <c r="R1029" s="1">
        <v>45733</v>
      </c>
      <c r="S1029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150.75</v>
      </c>
    </row>
    <row r="1030" spans="1:19" x14ac:dyDescent="0.3">
      <c r="A1030" t="s">
        <v>1386</v>
      </c>
      <c r="B1030" t="s">
        <v>38</v>
      </c>
      <c r="C1030" t="s">
        <v>20</v>
      </c>
      <c r="D1030">
        <v>40.759671300000001</v>
      </c>
      <c r="E1030">
        <v>-73.990988899999905</v>
      </c>
      <c r="F1030" t="s">
        <v>21</v>
      </c>
      <c r="G1030">
        <v>1</v>
      </c>
      <c r="H1030">
        <v>1</v>
      </c>
      <c r="I1030">
        <v>1</v>
      </c>
      <c r="J1030">
        <v>1</v>
      </c>
      <c r="K1030">
        <v>30</v>
      </c>
      <c r="L1030">
        <v>268</v>
      </c>
      <c r="M1030">
        <v>1</v>
      </c>
      <c r="N1030">
        <v>0.56000000000000005</v>
      </c>
      <c r="O1030">
        <f t="shared" si="32"/>
        <v>0</v>
      </c>
      <c r="P1030">
        <f t="shared" si="33"/>
        <v>4</v>
      </c>
      <c r="Q1030" s="2">
        <v>53</v>
      </c>
      <c r="R1030" s="1">
        <v>45726</v>
      </c>
      <c r="S1030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135.01</v>
      </c>
    </row>
    <row r="1031" spans="1:19" x14ac:dyDescent="0.3">
      <c r="A1031" t="s">
        <v>1387</v>
      </c>
      <c r="B1031" t="s">
        <v>27</v>
      </c>
      <c r="C1031" t="s">
        <v>17</v>
      </c>
      <c r="D1031">
        <v>40.680039999999998</v>
      </c>
      <c r="E1031">
        <v>-73.941800000000001</v>
      </c>
      <c r="F1031" t="s">
        <v>18</v>
      </c>
      <c r="G1031">
        <v>6</v>
      </c>
      <c r="H1031">
        <v>3</v>
      </c>
      <c r="I1031">
        <v>3</v>
      </c>
      <c r="J1031">
        <v>3</v>
      </c>
      <c r="K1031">
        <v>30</v>
      </c>
      <c r="L1031">
        <v>326</v>
      </c>
      <c r="M1031">
        <v>1</v>
      </c>
      <c r="N1031">
        <v>0.91</v>
      </c>
      <c r="O1031">
        <f t="shared" si="32"/>
        <v>1</v>
      </c>
      <c r="P1031">
        <f t="shared" si="33"/>
        <v>2</v>
      </c>
      <c r="Q1031" s="2">
        <v>292</v>
      </c>
      <c r="R1031" s="1">
        <v>45746</v>
      </c>
      <c r="S1031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176.27000000000007</v>
      </c>
    </row>
    <row r="1032" spans="1:19" x14ac:dyDescent="0.3">
      <c r="A1032" t="s">
        <v>1388</v>
      </c>
      <c r="B1032" t="s">
        <v>36</v>
      </c>
      <c r="C1032" t="s">
        <v>20</v>
      </c>
      <c r="D1032">
        <v>40.765320000000003</v>
      </c>
      <c r="E1032">
        <v>-73.969740000000002</v>
      </c>
      <c r="F1032" t="s">
        <v>21</v>
      </c>
      <c r="G1032">
        <v>4</v>
      </c>
      <c r="H1032">
        <v>1</v>
      </c>
      <c r="I1032">
        <v>0</v>
      </c>
      <c r="J1032">
        <v>2</v>
      </c>
      <c r="K1032">
        <v>30</v>
      </c>
      <c r="L1032">
        <v>126</v>
      </c>
      <c r="M1032">
        <v>1</v>
      </c>
      <c r="N1032">
        <v>0.73</v>
      </c>
      <c r="O1032">
        <f t="shared" si="32"/>
        <v>0</v>
      </c>
      <c r="P1032">
        <f t="shared" si="33"/>
        <v>4</v>
      </c>
      <c r="Q1032" s="2">
        <v>92</v>
      </c>
      <c r="R1032" s="1">
        <v>45738</v>
      </c>
      <c r="S1032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197.63000000000005</v>
      </c>
    </row>
    <row r="1033" spans="1:19" x14ac:dyDescent="0.3">
      <c r="A1033" t="s">
        <v>1389</v>
      </c>
      <c r="B1033" t="s">
        <v>62</v>
      </c>
      <c r="C1033" t="s">
        <v>20</v>
      </c>
      <c r="D1033">
        <v>40.714604420672799</v>
      </c>
      <c r="E1033">
        <v>-73.991059765557907</v>
      </c>
      <c r="F1033" t="s">
        <v>18</v>
      </c>
      <c r="G1033">
        <v>1</v>
      </c>
      <c r="H1033">
        <v>2</v>
      </c>
      <c r="I1033">
        <v>1</v>
      </c>
      <c r="J1033">
        <v>1</v>
      </c>
      <c r="K1033">
        <v>30</v>
      </c>
      <c r="L1033">
        <v>338</v>
      </c>
      <c r="M1033">
        <v>1</v>
      </c>
      <c r="N1033">
        <v>0.77</v>
      </c>
      <c r="O1033">
        <f t="shared" si="32"/>
        <v>1</v>
      </c>
      <c r="P1033">
        <f t="shared" si="33"/>
        <v>4</v>
      </c>
      <c r="Q1033" s="2">
        <v>68</v>
      </c>
      <c r="R1033" s="1">
        <v>45740</v>
      </c>
      <c r="S1033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100.13000000000001</v>
      </c>
    </row>
    <row r="1034" spans="1:19" x14ac:dyDescent="0.3">
      <c r="A1034" t="s">
        <v>1390</v>
      </c>
      <c r="B1034" t="s">
        <v>67</v>
      </c>
      <c r="C1034" t="s">
        <v>17</v>
      </c>
      <c r="D1034">
        <v>40.695632699999997</v>
      </c>
      <c r="E1034">
        <v>-73.930981699999904</v>
      </c>
      <c r="F1034" t="s">
        <v>21</v>
      </c>
      <c r="G1034">
        <v>2</v>
      </c>
      <c r="H1034">
        <v>1.5</v>
      </c>
      <c r="I1034">
        <v>1</v>
      </c>
      <c r="J1034">
        <v>1</v>
      </c>
      <c r="K1034">
        <v>30</v>
      </c>
      <c r="L1034">
        <v>308</v>
      </c>
      <c r="M1034">
        <v>1</v>
      </c>
      <c r="N1034">
        <v>0.86</v>
      </c>
      <c r="O1034">
        <f t="shared" si="32"/>
        <v>0</v>
      </c>
      <c r="P1034">
        <f t="shared" si="33"/>
        <v>2</v>
      </c>
      <c r="Q1034" s="2">
        <v>115</v>
      </c>
      <c r="R1034" s="1">
        <v>45744</v>
      </c>
      <c r="S1034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127.54000000000005</v>
      </c>
    </row>
    <row r="1035" spans="1:19" x14ac:dyDescent="0.3">
      <c r="A1035" t="s">
        <v>1391</v>
      </c>
      <c r="B1035" t="s">
        <v>45</v>
      </c>
      <c r="C1035" t="s">
        <v>20</v>
      </c>
      <c r="D1035">
        <v>40.750565999999999</v>
      </c>
      <c r="E1035">
        <v>-73.996878999999893</v>
      </c>
      <c r="F1035" t="s">
        <v>21</v>
      </c>
      <c r="G1035">
        <v>1</v>
      </c>
      <c r="H1035">
        <v>1</v>
      </c>
      <c r="I1035">
        <v>1</v>
      </c>
      <c r="J1035">
        <v>1</v>
      </c>
      <c r="K1035">
        <v>30</v>
      </c>
      <c r="L1035">
        <v>153</v>
      </c>
      <c r="M1035">
        <v>1</v>
      </c>
      <c r="N1035">
        <v>0.79</v>
      </c>
      <c r="O1035">
        <f t="shared" si="32"/>
        <v>0</v>
      </c>
      <c r="P1035">
        <f t="shared" si="33"/>
        <v>4</v>
      </c>
      <c r="Q1035" s="2">
        <v>53</v>
      </c>
      <c r="R1035" s="1">
        <v>45741</v>
      </c>
      <c r="S1035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139.61000000000001</v>
      </c>
    </row>
    <row r="1036" spans="1:19" x14ac:dyDescent="0.3">
      <c r="A1036" t="s">
        <v>1392</v>
      </c>
      <c r="B1036" t="s">
        <v>84</v>
      </c>
      <c r="C1036" t="s">
        <v>17</v>
      </c>
      <c r="D1036" s="3" t="s">
        <v>1393</v>
      </c>
      <c r="E1036">
        <v>-73.960965752682</v>
      </c>
      <c r="F1036" t="s">
        <v>21</v>
      </c>
      <c r="G1036">
        <v>6</v>
      </c>
      <c r="H1036">
        <v>1</v>
      </c>
      <c r="I1036">
        <v>2</v>
      </c>
      <c r="J1036">
        <v>3</v>
      </c>
      <c r="K1036">
        <v>30</v>
      </c>
      <c r="L1036">
        <v>288</v>
      </c>
      <c r="M1036">
        <v>1</v>
      </c>
      <c r="N1036">
        <v>0.79</v>
      </c>
      <c r="O1036">
        <f t="shared" si="32"/>
        <v>0</v>
      </c>
      <c r="P1036">
        <f t="shared" si="33"/>
        <v>2</v>
      </c>
      <c r="Q1036" s="2">
        <v>108</v>
      </c>
      <c r="R1036" s="1">
        <v>45741</v>
      </c>
      <c r="S1036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198.65000000000003</v>
      </c>
    </row>
    <row r="1037" spans="1:19" x14ac:dyDescent="0.3">
      <c r="A1037" t="s">
        <v>1394</v>
      </c>
      <c r="B1037" t="s">
        <v>196</v>
      </c>
      <c r="C1037" t="s">
        <v>17</v>
      </c>
      <c r="D1037" s="3" t="s">
        <v>1395</v>
      </c>
      <c r="E1037">
        <v>-73.8764532500592</v>
      </c>
      <c r="F1037" t="s">
        <v>21</v>
      </c>
      <c r="G1037">
        <v>2</v>
      </c>
      <c r="H1037">
        <v>1</v>
      </c>
      <c r="I1037">
        <v>1</v>
      </c>
      <c r="J1037">
        <v>1</v>
      </c>
      <c r="K1037">
        <v>30</v>
      </c>
      <c r="L1037">
        <v>292</v>
      </c>
      <c r="M1037">
        <v>1</v>
      </c>
      <c r="N1037">
        <v>0.91</v>
      </c>
      <c r="O1037">
        <f t="shared" si="32"/>
        <v>0</v>
      </c>
      <c r="P1037">
        <f t="shared" si="33"/>
        <v>2</v>
      </c>
      <c r="Q1037" s="2">
        <v>70</v>
      </c>
      <c r="R1037" s="1">
        <v>45747</v>
      </c>
      <c r="S1037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122.57000000000002</v>
      </c>
    </row>
    <row r="1038" spans="1:19" x14ac:dyDescent="0.3">
      <c r="A1038" t="s">
        <v>1396</v>
      </c>
      <c r="B1038" t="s">
        <v>149</v>
      </c>
      <c r="C1038" t="s">
        <v>30</v>
      </c>
      <c r="D1038" s="3" t="s">
        <v>1397</v>
      </c>
      <c r="E1038">
        <v>-73.851520983827697</v>
      </c>
      <c r="F1038" t="s">
        <v>21</v>
      </c>
      <c r="G1038">
        <v>2</v>
      </c>
      <c r="H1038">
        <v>1</v>
      </c>
      <c r="I1038">
        <v>1</v>
      </c>
      <c r="J1038">
        <v>1</v>
      </c>
      <c r="K1038">
        <v>30</v>
      </c>
      <c r="L1038">
        <v>150</v>
      </c>
      <c r="M1038">
        <v>1</v>
      </c>
      <c r="N1038">
        <v>0.86</v>
      </c>
      <c r="O1038">
        <f t="shared" si="32"/>
        <v>0</v>
      </c>
      <c r="P1038">
        <f t="shared" si="33"/>
        <v>0</v>
      </c>
      <c r="Q1038" s="2">
        <v>250</v>
      </c>
      <c r="R1038" s="1">
        <v>45745</v>
      </c>
      <c r="S1038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97.79000000000002</v>
      </c>
    </row>
    <row r="1039" spans="1:19" x14ac:dyDescent="0.3">
      <c r="A1039" t="s">
        <v>1398</v>
      </c>
      <c r="B1039" t="s">
        <v>295</v>
      </c>
      <c r="C1039" t="s">
        <v>31</v>
      </c>
      <c r="D1039" s="3" t="s">
        <v>1399</v>
      </c>
      <c r="E1039">
        <v>-73.840800114388799</v>
      </c>
      <c r="F1039" t="s">
        <v>18</v>
      </c>
      <c r="G1039">
        <v>2</v>
      </c>
      <c r="H1039">
        <v>2</v>
      </c>
      <c r="I1039">
        <v>1</v>
      </c>
      <c r="J1039">
        <v>1</v>
      </c>
      <c r="K1039">
        <v>30</v>
      </c>
      <c r="L1039">
        <v>336</v>
      </c>
      <c r="M1039">
        <v>1</v>
      </c>
      <c r="N1039">
        <v>0.91</v>
      </c>
      <c r="O1039">
        <f t="shared" si="32"/>
        <v>1</v>
      </c>
      <c r="P1039">
        <f t="shared" si="33"/>
        <v>0</v>
      </c>
      <c r="Q1039" s="2">
        <v>50</v>
      </c>
      <c r="R1039" s="1">
        <v>45747</v>
      </c>
      <c r="S1039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58.270000000000024</v>
      </c>
    </row>
    <row r="1040" spans="1:19" x14ac:dyDescent="0.3">
      <c r="A1040" t="s">
        <v>1400</v>
      </c>
      <c r="B1040" t="s">
        <v>19</v>
      </c>
      <c r="C1040" t="s">
        <v>20</v>
      </c>
      <c r="D1040">
        <v>40.747321900000003</v>
      </c>
      <c r="E1040">
        <v>-73.988025999999905</v>
      </c>
      <c r="F1040" t="s">
        <v>21</v>
      </c>
      <c r="G1040">
        <v>6</v>
      </c>
      <c r="H1040">
        <v>1</v>
      </c>
      <c r="I1040">
        <v>1</v>
      </c>
      <c r="J1040">
        <v>6</v>
      </c>
      <c r="K1040">
        <v>5</v>
      </c>
      <c r="L1040">
        <v>222</v>
      </c>
      <c r="M1040">
        <v>1</v>
      </c>
      <c r="N1040">
        <v>0.52</v>
      </c>
      <c r="O1040">
        <f t="shared" si="32"/>
        <v>0</v>
      </c>
      <c r="P1040">
        <f t="shared" si="33"/>
        <v>4</v>
      </c>
      <c r="Q1040" s="2">
        <v>354</v>
      </c>
      <c r="R1040" s="1">
        <v>45721</v>
      </c>
      <c r="S1040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315.50000000000006</v>
      </c>
    </row>
    <row r="1041" spans="1:19" x14ac:dyDescent="0.3">
      <c r="A1041" t="s">
        <v>1401</v>
      </c>
      <c r="B1041" t="s">
        <v>72</v>
      </c>
      <c r="C1041" t="s">
        <v>20</v>
      </c>
      <c r="D1041">
        <v>40.734738200000002</v>
      </c>
      <c r="E1041">
        <v>-73.986961499999893</v>
      </c>
      <c r="F1041" t="s">
        <v>21</v>
      </c>
      <c r="G1041">
        <v>2</v>
      </c>
      <c r="H1041">
        <v>1</v>
      </c>
      <c r="I1041">
        <v>1</v>
      </c>
      <c r="J1041">
        <v>3</v>
      </c>
      <c r="K1041">
        <v>1</v>
      </c>
      <c r="L1041">
        <v>52</v>
      </c>
      <c r="M1041">
        <v>2</v>
      </c>
      <c r="N1041">
        <v>1.22</v>
      </c>
      <c r="O1041">
        <f t="shared" si="32"/>
        <v>0</v>
      </c>
      <c r="P1041">
        <f t="shared" si="33"/>
        <v>4</v>
      </c>
      <c r="Q1041" s="2">
        <v>104</v>
      </c>
      <c r="R1041" s="1">
        <v>45739</v>
      </c>
      <c r="S1041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259.78000000000003</v>
      </c>
    </row>
    <row r="1042" spans="1:19" x14ac:dyDescent="0.3">
      <c r="A1042" t="s">
        <v>1402</v>
      </c>
      <c r="B1042" t="s">
        <v>49</v>
      </c>
      <c r="C1042" t="s">
        <v>20</v>
      </c>
      <c r="D1042">
        <v>40.740951000000003</v>
      </c>
      <c r="E1042">
        <v>-73.983440000000002</v>
      </c>
      <c r="F1042" t="s">
        <v>18</v>
      </c>
      <c r="G1042">
        <v>2</v>
      </c>
      <c r="H1042">
        <v>1</v>
      </c>
      <c r="I1042">
        <v>1</v>
      </c>
      <c r="J1042">
        <v>1</v>
      </c>
      <c r="K1042">
        <v>1</v>
      </c>
      <c r="L1042">
        <v>91</v>
      </c>
      <c r="M1042">
        <v>1</v>
      </c>
      <c r="N1042">
        <v>0.56000000000000005</v>
      </c>
      <c r="O1042">
        <f t="shared" si="32"/>
        <v>1</v>
      </c>
      <c r="P1042">
        <f t="shared" si="33"/>
        <v>4</v>
      </c>
      <c r="Q1042" s="2">
        <v>274</v>
      </c>
      <c r="R1042" s="1">
        <v>45726</v>
      </c>
      <c r="S1042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214.92000000000007</v>
      </c>
    </row>
    <row r="1043" spans="1:19" x14ac:dyDescent="0.3">
      <c r="A1043" t="s">
        <v>1403</v>
      </c>
      <c r="B1043" t="s">
        <v>43</v>
      </c>
      <c r="C1043" t="s">
        <v>20</v>
      </c>
      <c r="D1043" s="3" t="s">
        <v>1404</v>
      </c>
      <c r="E1043">
        <v>-73.990166675817505</v>
      </c>
      <c r="F1043" t="s">
        <v>18</v>
      </c>
      <c r="G1043">
        <v>4</v>
      </c>
      <c r="H1043">
        <v>1</v>
      </c>
      <c r="I1043">
        <v>0</v>
      </c>
      <c r="J1043">
        <v>2</v>
      </c>
      <c r="K1043">
        <v>1</v>
      </c>
      <c r="L1043">
        <v>66</v>
      </c>
      <c r="M1043">
        <v>1</v>
      </c>
      <c r="N1043">
        <v>0.83</v>
      </c>
      <c r="O1043">
        <f t="shared" si="32"/>
        <v>1</v>
      </c>
      <c r="P1043">
        <f t="shared" si="33"/>
        <v>4</v>
      </c>
      <c r="Q1043" s="2">
        <v>359</v>
      </c>
      <c r="R1043" s="1">
        <v>45744</v>
      </c>
      <c r="S1043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253.88000000000005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63DC3-0A02-4FB1-993B-E724F083521B}">
  <dimension ref="A1:F1043"/>
  <sheetViews>
    <sheetView workbookViewId="0">
      <selection activeCell="K8" sqref="K8"/>
    </sheetView>
  </sheetViews>
  <sheetFormatPr defaultRowHeight="14.4" x14ac:dyDescent="0.3"/>
  <cols>
    <col min="1" max="1" width="13.33203125" customWidth="1"/>
    <col min="5" max="5" width="16.109375" bestFit="1" customWidth="1"/>
    <col min="6" max="6" width="12" bestFit="1" customWidth="1"/>
  </cols>
  <sheetData>
    <row r="1" spans="1:6" x14ac:dyDescent="0.3">
      <c r="A1" s="7" t="s">
        <v>1407</v>
      </c>
    </row>
    <row r="2" spans="1:6" ht="15" thickBot="1" x14ac:dyDescent="0.35">
      <c r="A2" s="7">
        <v>59</v>
      </c>
    </row>
    <row r="3" spans="1:6" x14ac:dyDescent="0.3">
      <c r="A3" s="7">
        <v>85</v>
      </c>
      <c r="E3" s="6" t="s">
        <v>1407</v>
      </c>
      <c r="F3" s="6"/>
    </row>
    <row r="4" spans="1:6" x14ac:dyDescent="0.3">
      <c r="A4" s="7">
        <v>90</v>
      </c>
    </row>
    <row r="5" spans="1:6" x14ac:dyDescent="0.3">
      <c r="A5" s="7">
        <v>116</v>
      </c>
      <c r="E5" t="s">
        <v>1408</v>
      </c>
      <c r="F5">
        <v>158.71305182341652</v>
      </c>
    </row>
    <row r="6" spans="1:6" x14ac:dyDescent="0.3">
      <c r="A6" s="7">
        <v>60</v>
      </c>
      <c r="E6" t="s">
        <v>1409</v>
      </c>
      <c r="F6">
        <v>2.7247419249973102</v>
      </c>
    </row>
    <row r="7" spans="1:6" x14ac:dyDescent="0.3">
      <c r="A7" s="7">
        <v>195</v>
      </c>
      <c r="E7" t="s">
        <v>1410</v>
      </c>
      <c r="F7">
        <v>134</v>
      </c>
    </row>
    <row r="8" spans="1:6" x14ac:dyDescent="0.3">
      <c r="A8" s="7">
        <v>336</v>
      </c>
      <c r="E8" t="s">
        <v>1411</v>
      </c>
      <c r="F8">
        <v>120</v>
      </c>
    </row>
    <row r="9" spans="1:6" x14ac:dyDescent="0.3">
      <c r="A9" s="7">
        <v>246</v>
      </c>
      <c r="E9" t="s">
        <v>1412</v>
      </c>
      <c r="F9">
        <v>87.954736866568169</v>
      </c>
    </row>
    <row r="10" spans="1:6" x14ac:dyDescent="0.3">
      <c r="A10" s="7">
        <v>130</v>
      </c>
      <c r="E10" t="s">
        <v>1413</v>
      </c>
      <c r="F10">
        <v>7736.0357372672452</v>
      </c>
    </row>
    <row r="11" spans="1:6" x14ac:dyDescent="0.3">
      <c r="A11" s="7">
        <v>78</v>
      </c>
      <c r="E11" t="s">
        <v>1414</v>
      </c>
      <c r="F11">
        <v>0.77340631204561561</v>
      </c>
    </row>
    <row r="12" spans="1:6" x14ac:dyDescent="0.3">
      <c r="A12" s="7">
        <v>95</v>
      </c>
      <c r="E12" t="s">
        <v>1415</v>
      </c>
      <c r="F12">
        <v>1.1313053087580958</v>
      </c>
    </row>
    <row r="13" spans="1:6" x14ac:dyDescent="0.3">
      <c r="A13" s="7">
        <v>50</v>
      </c>
      <c r="E13" t="s">
        <v>1416</v>
      </c>
      <c r="F13">
        <v>400</v>
      </c>
    </row>
    <row r="14" spans="1:6" x14ac:dyDescent="0.3">
      <c r="A14" s="7">
        <v>150</v>
      </c>
      <c r="E14" t="s">
        <v>1417</v>
      </c>
      <c r="F14">
        <v>50</v>
      </c>
    </row>
    <row r="15" spans="1:6" x14ac:dyDescent="0.3">
      <c r="A15" s="7">
        <v>117</v>
      </c>
      <c r="E15" t="s">
        <v>1418</v>
      </c>
      <c r="F15">
        <v>450</v>
      </c>
    </row>
    <row r="16" spans="1:6" x14ac:dyDescent="0.3">
      <c r="A16" s="7">
        <v>297</v>
      </c>
      <c r="E16" t="s">
        <v>1419</v>
      </c>
      <c r="F16">
        <v>165379</v>
      </c>
    </row>
    <row r="17" spans="1:6" ht="15" thickBot="1" x14ac:dyDescent="0.35">
      <c r="A17" s="7">
        <v>109</v>
      </c>
      <c r="E17" s="4" t="s">
        <v>1420</v>
      </c>
      <c r="F17" s="4">
        <v>1042</v>
      </c>
    </row>
    <row r="18" spans="1:6" x14ac:dyDescent="0.3">
      <c r="A18" s="7">
        <v>293</v>
      </c>
    </row>
    <row r="19" spans="1:6" x14ac:dyDescent="0.3">
      <c r="A19" s="7">
        <v>165</v>
      </c>
    </row>
    <row r="20" spans="1:6" x14ac:dyDescent="0.3">
      <c r="A20" s="7">
        <v>128</v>
      </c>
    </row>
    <row r="21" spans="1:6" x14ac:dyDescent="0.3">
      <c r="A21" s="7">
        <v>110</v>
      </c>
    </row>
    <row r="22" spans="1:6" x14ac:dyDescent="0.3">
      <c r="A22" s="7">
        <v>232</v>
      </c>
    </row>
    <row r="23" spans="1:6" x14ac:dyDescent="0.3">
      <c r="A23" s="7">
        <v>143</v>
      </c>
    </row>
    <row r="24" spans="1:6" x14ac:dyDescent="0.3">
      <c r="A24" s="7">
        <v>165</v>
      </c>
    </row>
    <row r="25" spans="1:6" x14ac:dyDescent="0.3">
      <c r="A25" s="7">
        <v>98</v>
      </c>
    </row>
    <row r="26" spans="1:6" x14ac:dyDescent="0.3">
      <c r="A26" s="7">
        <v>159</v>
      </c>
    </row>
    <row r="27" spans="1:6" x14ac:dyDescent="0.3">
      <c r="A27" s="7">
        <v>153</v>
      </c>
    </row>
    <row r="28" spans="1:6" x14ac:dyDescent="0.3">
      <c r="A28" s="7">
        <v>93</v>
      </c>
    </row>
    <row r="29" spans="1:6" x14ac:dyDescent="0.3">
      <c r="A29" s="7">
        <v>223</v>
      </c>
    </row>
    <row r="30" spans="1:6" x14ac:dyDescent="0.3">
      <c r="A30" s="7">
        <v>140</v>
      </c>
    </row>
    <row r="31" spans="1:6" x14ac:dyDescent="0.3">
      <c r="A31" s="7">
        <v>140</v>
      </c>
    </row>
    <row r="32" spans="1:6" x14ac:dyDescent="0.3">
      <c r="A32" s="7">
        <v>160</v>
      </c>
    </row>
    <row r="33" spans="1:1" x14ac:dyDescent="0.3">
      <c r="A33" s="7">
        <v>86</v>
      </c>
    </row>
    <row r="34" spans="1:1" x14ac:dyDescent="0.3">
      <c r="A34" s="7">
        <v>153</v>
      </c>
    </row>
    <row r="35" spans="1:1" x14ac:dyDescent="0.3">
      <c r="A35" s="7">
        <v>168</v>
      </c>
    </row>
    <row r="36" spans="1:1" x14ac:dyDescent="0.3">
      <c r="A36" s="7">
        <v>125</v>
      </c>
    </row>
    <row r="37" spans="1:1" x14ac:dyDescent="0.3">
      <c r="A37" s="7">
        <v>100</v>
      </c>
    </row>
    <row r="38" spans="1:1" x14ac:dyDescent="0.3">
      <c r="A38" s="7">
        <v>117</v>
      </c>
    </row>
    <row r="39" spans="1:1" x14ac:dyDescent="0.3">
      <c r="A39" s="7">
        <v>110</v>
      </c>
    </row>
    <row r="40" spans="1:1" x14ac:dyDescent="0.3">
      <c r="A40" s="7">
        <v>220</v>
      </c>
    </row>
    <row r="41" spans="1:1" x14ac:dyDescent="0.3">
      <c r="A41" s="7">
        <v>83</v>
      </c>
    </row>
    <row r="42" spans="1:1" x14ac:dyDescent="0.3">
      <c r="A42" s="7">
        <v>149</v>
      </c>
    </row>
    <row r="43" spans="1:1" x14ac:dyDescent="0.3">
      <c r="A43" s="7">
        <v>241</v>
      </c>
    </row>
    <row r="44" spans="1:1" x14ac:dyDescent="0.3">
      <c r="A44" s="7">
        <v>200</v>
      </c>
    </row>
    <row r="45" spans="1:1" x14ac:dyDescent="0.3">
      <c r="A45" s="7">
        <v>75</v>
      </c>
    </row>
    <row r="46" spans="1:1" x14ac:dyDescent="0.3">
      <c r="A46" s="7">
        <v>121</v>
      </c>
    </row>
    <row r="47" spans="1:1" x14ac:dyDescent="0.3">
      <c r="A47" s="7">
        <v>154</v>
      </c>
    </row>
    <row r="48" spans="1:1" x14ac:dyDescent="0.3">
      <c r="A48" s="7">
        <v>119</v>
      </c>
    </row>
    <row r="49" spans="1:1" x14ac:dyDescent="0.3">
      <c r="A49" s="7">
        <v>150</v>
      </c>
    </row>
    <row r="50" spans="1:1" x14ac:dyDescent="0.3">
      <c r="A50" s="7">
        <v>100</v>
      </c>
    </row>
    <row r="51" spans="1:1" x14ac:dyDescent="0.3">
      <c r="A51" s="7">
        <v>166</v>
      </c>
    </row>
    <row r="52" spans="1:1" x14ac:dyDescent="0.3">
      <c r="A52" s="7">
        <v>96</v>
      </c>
    </row>
    <row r="53" spans="1:1" x14ac:dyDescent="0.3">
      <c r="A53" s="7">
        <v>90</v>
      </c>
    </row>
    <row r="54" spans="1:1" x14ac:dyDescent="0.3">
      <c r="A54" s="7">
        <v>68</v>
      </c>
    </row>
    <row r="55" spans="1:1" x14ac:dyDescent="0.3">
      <c r="A55" s="7">
        <v>52</v>
      </c>
    </row>
    <row r="56" spans="1:1" x14ac:dyDescent="0.3">
      <c r="A56" s="7">
        <v>119</v>
      </c>
    </row>
    <row r="57" spans="1:1" x14ac:dyDescent="0.3">
      <c r="A57" s="7">
        <v>140</v>
      </c>
    </row>
    <row r="58" spans="1:1" x14ac:dyDescent="0.3">
      <c r="A58" s="7">
        <v>95</v>
      </c>
    </row>
    <row r="59" spans="1:1" x14ac:dyDescent="0.3">
      <c r="A59" s="7">
        <v>126</v>
      </c>
    </row>
    <row r="60" spans="1:1" x14ac:dyDescent="0.3">
      <c r="A60" s="7">
        <v>160</v>
      </c>
    </row>
    <row r="61" spans="1:1" x14ac:dyDescent="0.3">
      <c r="A61" s="7">
        <v>114</v>
      </c>
    </row>
    <row r="62" spans="1:1" x14ac:dyDescent="0.3">
      <c r="A62" s="7">
        <v>117</v>
      </c>
    </row>
    <row r="63" spans="1:1" x14ac:dyDescent="0.3">
      <c r="A63" s="7">
        <v>219</v>
      </c>
    </row>
    <row r="64" spans="1:1" x14ac:dyDescent="0.3">
      <c r="A64" s="7">
        <v>118</v>
      </c>
    </row>
    <row r="65" spans="1:1" x14ac:dyDescent="0.3">
      <c r="A65" s="7">
        <v>89</v>
      </c>
    </row>
    <row r="66" spans="1:1" x14ac:dyDescent="0.3">
      <c r="A66" s="7">
        <v>69</v>
      </c>
    </row>
    <row r="67" spans="1:1" x14ac:dyDescent="0.3">
      <c r="A67" s="7">
        <v>163</v>
      </c>
    </row>
    <row r="68" spans="1:1" x14ac:dyDescent="0.3">
      <c r="A68" s="7">
        <v>68</v>
      </c>
    </row>
    <row r="69" spans="1:1" x14ac:dyDescent="0.3">
      <c r="A69" s="7">
        <v>252</v>
      </c>
    </row>
    <row r="70" spans="1:1" x14ac:dyDescent="0.3">
      <c r="A70" s="7">
        <v>100</v>
      </c>
    </row>
    <row r="71" spans="1:1" x14ac:dyDescent="0.3">
      <c r="A71" s="7">
        <v>76</v>
      </c>
    </row>
    <row r="72" spans="1:1" x14ac:dyDescent="0.3">
      <c r="A72" s="7">
        <v>173</v>
      </c>
    </row>
    <row r="73" spans="1:1" x14ac:dyDescent="0.3">
      <c r="A73" s="7">
        <v>191</v>
      </c>
    </row>
    <row r="74" spans="1:1" x14ac:dyDescent="0.3">
      <c r="A74" s="7">
        <v>158</v>
      </c>
    </row>
    <row r="75" spans="1:1" x14ac:dyDescent="0.3">
      <c r="A75" s="7">
        <v>197</v>
      </c>
    </row>
    <row r="76" spans="1:1" x14ac:dyDescent="0.3">
      <c r="A76" s="7">
        <v>110</v>
      </c>
    </row>
    <row r="77" spans="1:1" x14ac:dyDescent="0.3">
      <c r="A77" s="7">
        <v>62</v>
      </c>
    </row>
    <row r="78" spans="1:1" x14ac:dyDescent="0.3">
      <c r="A78" s="7">
        <v>50</v>
      </c>
    </row>
    <row r="79" spans="1:1" x14ac:dyDescent="0.3">
      <c r="A79" s="7">
        <v>106</v>
      </c>
    </row>
    <row r="80" spans="1:1" x14ac:dyDescent="0.3">
      <c r="A80" s="7">
        <v>101</v>
      </c>
    </row>
    <row r="81" spans="1:1" x14ac:dyDescent="0.3">
      <c r="A81" s="7">
        <v>112</v>
      </c>
    </row>
    <row r="82" spans="1:1" x14ac:dyDescent="0.3">
      <c r="A82" s="7">
        <v>325</v>
      </c>
    </row>
    <row r="83" spans="1:1" x14ac:dyDescent="0.3">
      <c r="A83" s="7">
        <v>125</v>
      </c>
    </row>
    <row r="84" spans="1:1" x14ac:dyDescent="0.3">
      <c r="A84" s="7">
        <v>140</v>
      </c>
    </row>
    <row r="85" spans="1:1" x14ac:dyDescent="0.3">
      <c r="A85" s="7">
        <v>59</v>
      </c>
    </row>
    <row r="86" spans="1:1" x14ac:dyDescent="0.3">
      <c r="A86" s="7">
        <v>135</v>
      </c>
    </row>
    <row r="87" spans="1:1" x14ac:dyDescent="0.3">
      <c r="A87" s="7">
        <v>170</v>
      </c>
    </row>
    <row r="88" spans="1:1" x14ac:dyDescent="0.3">
      <c r="A88" s="7">
        <v>127</v>
      </c>
    </row>
    <row r="89" spans="1:1" x14ac:dyDescent="0.3">
      <c r="A89" s="7">
        <v>90</v>
      </c>
    </row>
    <row r="90" spans="1:1" x14ac:dyDescent="0.3">
      <c r="A90" s="7">
        <v>64</v>
      </c>
    </row>
    <row r="91" spans="1:1" x14ac:dyDescent="0.3">
      <c r="A91" s="7">
        <v>81</v>
      </c>
    </row>
    <row r="92" spans="1:1" x14ac:dyDescent="0.3">
      <c r="A92" s="7">
        <v>58</v>
      </c>
    </row>
    <row r="93" spans="1:1" x14ac:dyDescent="0.3">
      <c r="A93" s="7">
        <v>145</v>
      </c>
    </row>
    <row r="94" spans="1:1" x14ac:dyDescent="0.3">
      <c r="A94" s="7">
        <v>65</v>
      </c>
    </row>
    <row r="95" spans="1:1" x14ac:dyDescent="0.3">
      <c r="A95" s="7">
        <v>115</v>
      </c>
    </row>
    <row r="96" spans="1:1" x14ac:dyDescent="0.3">
      <c r="A96" s="7">
        <v>102</v>
      </c>
    </row>
    <row r="97" spans="1:1" x14ac:dyDescent="0.3">
      <c r="A97" s="7">
        <v>109</v>
      </c>
    </row>
    <row r="98" spans="1:1" x14ac:dyDescent="0.3">
      <c r="A98" s="7">
        <v>102</v>
      </c>
    </row>
    <row r="99" spans="1:1" x14ac:dyDescent="0.3">
      <c r="A99" s="7">
        <v>175</v>
      </c>
    </row>
    <row r="100" spans="1:1" x14ac:dyDescent="0.3">
      <c r="A100" s="7">
        <v>129</v>
      </c>
    </row>
    <row r="101" spans="1:1" x14ac:dyDescent="0.3">
      <c r="A101" s="7">
        <v>130</v>
      </c>
    </row>
    <row r="102" spans="1:1" x14ac:dyDescent="0.3">
      <c r="A102" s="7">
        <v>119</v>
      </c>
    </row>
    <row r="103" spans="1:1" x14ac:dyDescent="0.3">
      <c r="A103" s="7">
        <v>120</v>
      </c>
    </row>
    <row r="104" spans="1:1" x14ac:dyDescent="0.3">
      <c r="A104" s="7">
        <v>121</v>
      </c>
    </row>
    <row r="105" spans="1:1" x14ac:dyDescent="0.3">
      <c r="A105" s="7">
        <v>148</v>
      </c>
    </row>
    <row r="106" spans="1:1" x14ac:dyDescent="0.3">
      <c r="A106" s="7">
        <v>179</v>
      </c>
    </row>
    <row r="107" spans="1:1" x14ac:dyDescent="0.3">
      <c r="A107" s="7">
        <v>137</v>
      </c>
    </row>
    <row r="108" spans="1:1" x14ac:dyDescent="0.3">
      <c r="A108" s="7">
        <v>209</v>
      </c>
    </row>
    <row r="109" spans="1:1" x14ac:dyDescent="0.3">
      <c r="A109" s="7">
        <v>120</v>
      </c>
    </row>
    <row r="110" spans="1:1" x14ac:dyDescent="0.3">
      <c r="A110" s="7">
        <v>152</v>
      </c>
    </row>
    <row r="111" spans="1:1" x14ac:dyDescent="0.3">
      <c r="A111" s="7">
        <v>60</v>
      </c>
    </row>
    <row r="112" spans="1:1" x14ac:dyDescent="0.3">
      <c r="A112" s="7">
        <v>215</v>
      </c>
    </row>
    <row r="113" spans="1:1" x14ac:dyDescent="0.3">
      <c r="A113" s="7">
        <v>158</v>
      </c>
    </row>
    <row r="114" spans="1:1" x14ac:dyDescent="0.3">
      <c r="A114" s="7">
        <v>175</v>
      </c>
    </row>
    <row r="115" spans="1:1" x14ac:dyDescent="0.3">
      <c r="A115" s="7">
        <v>175</v>
      </c>
    </row>
    <row r="116" spans="1:1" x14ac:dyDescent="0.3">
      <c r="A116" s="7">
        <v>140</v>
      </c>
    </row>
    <row r="117" spans="1:1" x14ac:dyDescent="0.3">
      <c r="A117" s="7">
        <v>99</v>
      </c>
    </row>
    <row r="118" spans="1:1" x14ac:dyDescent="0.3">
      <c r="A118" s="7">
        <v>224</v>
      </c>
    </row>
    <row r="119" spans="1:1" x14ac:dyDescent="0.3">
      <c r="A119" s="7">
        <v>122</v>
      </c>
    </row>
    <row r="120" spans="1:1" x14ac:dyDescent="0.3">
      <c r="A120" s="7">
        <v>160</v>
      </c>
    </row>
    <row r="121" spans="1:1" x14ac:dyDescent="0.3">
      <c r="A121" s="7">
        <v>136</v>
      </c>
    </row>
    <row r="122" spans="1:1" x14ac:dyDescent="0.3">
      <c r="A122" s="7">
        <v>74</v>
      </c>
    </row>
    <row r="123" spans="1:1" x14ac:dyDescent="0.3">
      <c r="A123" s="7">
        <v>175</v>
      </c>
    </row>
    <row r="124" spans="1:1" x14ac:dyDescent="0.3">
      <c r="A124" s="7">
        <v>68</v>
      </c>
    </row>
    <row r="125" spans="1:1" x14ac:dyDescent="0.3">
      <c r="A125" s="7">
        <v>136</v>
      </c>
    </row>
    <row r="126" spans="1:1" x14ac:dyDescent="0.3">
      <c r="A126" s="7">
        <v>132</v>
      </c>
    </row>
    <row r="127" spans="1:1" x14ac:dyDescent="0.3">
      <c r="A127" s="7">
        <v>188</v>
      </c>
    </row>
    <row r="128" spans="1:1" x14ac:dyDescent="0.3">
      <c r="A128" s="7">
        <v>110</v>
      </c>
    </row>
    <row r="129" spans="1:1" x14ac:dyDescent="0.3">
      <c r="A129" s="7">
        <v>194</v>
      </c>
    </row>
    <row r="130" spans="1:1" x14ac:dyDescent="0.3">
      <c r="A130" s="7">
        <v>56</v>
      </c>
    </row>
    <row r="131" spans="1:1" x14ac:dyDescent="0.3">
      <c r="A131" s="7">
        <v>59</v>
      </c>
    </row>
    <row r="132" spans="1:1" x14ac:dyDescent="0.3">
      <c r="A132" s="7">
        <v>55</v>
      </c>
    </row>
    <row r="133" spans="1:1" x14ac:dyDescent="0.3">
      <c r="A133" s="7">
        <v>170</v>
      </c>
    </row>
    <row r="134" spans="1:1" x14ac:dyDescent="0.3">
      <c r="A134" s="7">
        <v>72</v>
      </c>
    </row>
    <row r="135" spans="1:1" x14ac:dyDescent="0.3">
      <c r="A135" s="7">
        <v>122</v>
      </c>
    </row>
    <row r="136" spans="1:1" x14ac:dyDescent="0.3">
      <c r="A136" s="7">
        <v>120</v>
      </c>
    </row>
    <row r="137" spans="1:1" x14ac:dyDescent="0.3">
      <c r="A137" s="7">
        <v>108</v>
      </c>
    </row>
    <row r="138" spans="1:1" x14ac:dyDescent="0.3">
      <c r="A138" s="7">
        <v>240</v>
      </c>
    </row>
    <row r="139" spans="1:1" x14ac:dyDescent="0.3">
      <c r="A139" s="7">
        <v>50</v>
      </c>
    </row>
    <row r="140" spans="1:1" x14ac:dyDescent="0.3">
      <c r="A140" s="7">
        <v>90</v>
      </c>
    </row>
    <row r="141" spans="1:1" x14ac:dyDescent="0.3">
      <c r="A141" s="7">
        <v>155</v>
      </c>
    </row>
    <row r="142" spans="1:1" x14ac:dyDescent="0.3">
      <c r="A142" s="7">
        <v>95</v>
      </c>
    </row>
    <row r="143" spans="1:1" x14ac:dyDescent="0.3">
      <c r="A143" s="7">
        <v>110</v>
      </c>
    </row>
    <row r="144" spans="1:1" x14ac:dyDescent="0.3">
      <c r="A144" s="7">
        <v>220</v>
      </c>
    </row>
    <row r="145" spans="1:1" x14ac:dyDescent="0.3">
      <c r="A145" s="7">
        <v>139</v>
      </c>
    </row>
    <row r="146" spans="1:1" x14ac:dyDescent="0.3">
      <c r="A146" s="7">
        <v>113</v>
      </c>
    </row>
    <row r="147" spans="1:1" x14ac:dyDescent="0.3">
      <c r="A147" s="7">
        <v>120</v>
      </c>
    </row>
    <row r="148" spans="1:1" x14ac:dyDescent="0.3">
      <c r="A148" s="7">
        <v>135</v>
      </c>
    </row>
    <row r="149" spans="1:1" x14ac:dyDescent="0.3">
      <c r="A149" s="7">
        <v>50</v>
      </c>
    </row>
    <row r="150" spans="1:1" x14ac:dyDescent="0.3">
      <c r="A150" s="7">
        <v>115</v>
      </c>
    </row>
    <row r="151" spans="1:1" x14ac:dyDescent="0.3">
      <c r="A151" s="7">
        <v>180</v>
      </c>
    </row>
    <row r="152" spans="1:1" x14ac:dyDescent="0.3">
      <c r="A152" s="7">
        <v>69</v>
      </c>
    </row>
    <row r="153" spans="1:1" x14ac:dyDescent="0.3">
      <c r="A153" s="7">
        <v>180</v>
      </c>
    </row>
    <row r="154" spans="1:1" x14ac:dyDescent="0.3">
      <c r="A154" s="7">
        <v>87</v>
      </c>
    </row>
    <row r="155" spans="1:1" x14ac:dyDescent="0.3">
      <c r="A155" s="7">
        <v>120</v>
      </c>
    </row>
    <row r="156" spans="1:1" x14ac:dyDescent="0.3">
      <c r="A156" s="7">
        <v>72</v>
      </c>
    </row>
    <row r="157" spans="1:1" x14ac:dyDescent="0.3">
      <c r="A157" s="7">
        <v>177</v>
      </c>
    </row>
    <row r="158" spans="1:1" x14ac:dyDescent="0.3">
      <c r="A158" s="7">
        <v>65</v>
      </c>
    </row>
    <row r="159" spans="1:1" x14ac:dyDescent="0.3">
      <c r="A159" s="7">
        <v>131</v>
      </c>
    </row>
    <row r="160" spans="1:1" x14ac:dyDescent="0.3">
      <c r="A160" s="7">
        <v>52</v>
      </c>
    </row>
    <row r="161" spans="1:1" x14ac:dyDescent="0.3">
      <c r="A161" s="7">
        <v>178</v>
      </c>
    </row>
    <row r="162" spans="1:1" x14ac:dyDescent="0.3">
      <c r="A162" s="7">
        <v>85</v>
      </c>
    </row>
    <row r="163" spans="1:1" x14ac:dyDescent="0.3">
      <c r="A163" s="7">
        <v>200</v>
      </c>
    </row>
    <row r="164" spans="1:1" x14ac:dyDescent="0.3">
      <c r="A164" s="7">
        <v>58</v>
      </c>
    </row>
    <row r="165" spans="1:1" x14ac:dyDescent="0.3">
      <c r="A165" s="7">
        <v>143</v>
      </c>
    </row>
    <row r="166" spans="1:1" x14ac:dyDescent="0.3">
      <c r="A166" s="7">
        <v>105</v>
      </c>
    </row>
    <row r="167" spans="1:1" x14ac:dyDescent="0.3">
      <c r="A167" s="7">
        <v>190</v>
      </c>
    </row>
    <row r="168" spans="1:1" x14ac:dyDescent="0.3">
      <c r="A168" s="7">
        <v>154</v>
      </c>
    </row>
    <row r="169" spans="1:1" x14ac:dyDescent="0.3">
      <c r="A169" s="7">
        <v>80</v>
      </c>
    </row>
    <row r="170" spans="1:1" x14ac:dyDescent="0.3">
      <c r="A170" s="7">
        <v>140</v>
      </c>
    </row>
    <row r="171" spans="1:1" x14ac:dyDescent="0.3">
      <c r="A171" s="7">
        <v>51</v>
      </c>
    </row>
    <row r="172" spans="1:1" x14ac:dyDescent="0.3">
      <c r="A172" s="7">
        <v>84</v>
      </c>
    </row>
    <row r="173" spans="1:1" x14ac:dyDescent="0.3">
      <c r="A173" s="7">
        <v>75</v>
      </c>
    </row>
    <row r="174" spans="1:1" x14ac:dyDescent="0.3">
      <c r="A174" s="7">
        <v>129</v>
      </c>
    </row>
    <row r="175" spans="1:1" x14ac:dyDescent="0.3">
      <c r="A175" s="7">
        <v>127</v>
      </c>
    </row>
    <row r="176" spans="1:1" x14ac:dyDescent="0.3">
      <c r="A176" s="7">
        <v>104</v>
      </c>
    </row>
    <row r="177" spans="1:1" x14ac:dyDescent="0.3">
      <c r="A177" s="7">
        <v>56</v>
      </c>
    </row>
    <row r="178" spans="1:1" x14ac:dyDescent="0.3">
      <c r="A178" s="7">
        <v>74</v>
      </c>
    </row>
    <row r="179" spans="1:1" x14ac:dyDescent="0.3">
      <c r="A179" s="7">
        <v>192</v>
      </c>
    </row>
    <row r="180" spans="1:1" x14ac:dyDescent="0.3">
      <c r="A180" s="7">
        <v>103</v>
      </c>
    </row>
    <row r="181" spans="1:1" x14ac:dyDescent="0.3">
      <c r="A181" s="7">
        <v>55</v>
      </c>
    </row>
    <row r="182" spans="1:1" x14ac:dyDescent="0.3">
      <c r="A182" s="7">
        <v>130</v>
      </c>
    </row>
    <row r="183" spans="1:1" x14ac:dyDescent="0.3">
      <c r="A183" s="7">
        <v>110</v>
      </c>
    </row>
    <row r="184" spans="1:1" x14ac:dyDescent="0.3">
      <c r="A184" s="7">
        <v>100</v>
      </c>
    </row>
    <row r="185" spans="1:1" x14ac:dyDescent="0.3">
      <c r="A185" s="7">
        <v>145</v>
      </c>
    </row>
    <row r="186" spans="1:1" x14ac:dyDescent="0.3">
      <c r="A186" s="7">
        <v>250</v>
      </c>
    </row>
    <row r="187" spans="1:1" x14ac:dyDescent="0.3">
      <c r="A187" s="7">
        <v>173</v>
      </c>
    </row>
    <row r="188" spans="1:1" x14ac:dyDescent="0.3">
      <c r="A188" s="7">
        <v>80</v>
      </c>
    </row>
    <row r="189" spans="1:1" x14ac:dyDescent="0.3">
      <c r="A189" s="7">
        <v>150</v>
      </c>
    </row>
    <row r="190" spans="1:1" x14ac:dyDescent="0.3">
      <c r="A190" s="7">
        <v>76</v>
      </c>
    </row>
    <row r="191" spans="1:1" x14ac:dyDescent="0.3">
      <c r="A191" s="7">
        <v>112</v>
      </c>
    </row>
    <row r="192" spans="1:1" x14ac:dyDescent="0.3">
      <c r="A192" s="7">
        <v>119</v>
      </c>
    </row>
    <row r="193" spans="1:1" x14ac:dyDescent="0.3">
      <c r="A193" s="7">
        <v>75</v>
      </c>
    </row>
    <row r="194" spans="1:1" x14ac:dyDescent="0.3">
      <c r="A194" s="7">
        <v>280</v>
      </c>
    </row>
    <row r="195" spans="1:1" x14ac:dyDescent="0.3">
      <c r="A195" s="7">
        <v>142</v>
      </c>
    </row>
    <row r="196" spans="1:1" x14ac:dyDescent="0.3">
      <c r="A196" s="7">
        <v>147</v>
      </c>
    </row>
    <row r="197" spans="1:1" x14ac:dyDescent="0.3">
      <c r="A197" s="7">
        <v>98</v>
      </c>
    </row>
    <row r="198" spans="1:1" x14ac:dyDescent="0.3">
      <c r="A198" s="7">
        <v>252</v>
      </c>
    </row>
    <row r="199" spans="1:1" x14ac:dyDescent="0.3">
      <c r="A199" s="7">
        <v>77</v>
      </c>
    </row>
    <row r="200" spans="1:1" x14ac:dyDescent="0.3">
      <c r="A200" s="7">
        <v>50</v>
      </c>
    </row>
    <row r="201" spans="1:1" x14ac:dyDescent="0.3">
      <c r="A201" s="7">
        <v>139</v>
      </c>
    </row>
    <row r="202" spans="1:1" x14ac:dyDescent="0.3">
      <c r="A202" s="7">
        <v>120</v>
      </c>
    </row>
    <row r="203" spans="1:1" x14ac:dyDescent="0.3">
      <c r="A203" s="7">
        <v>139</v>
      </c>
    </row>
    <row r="204" spans="1:1" x14ac:dyDescent="0.3">
      <c r="A204" s="7">
        <v>186</v>
      </c>
    </row>
    <row r="205" spans="1:1" x14ac:dyDescent="0.3">
      <c r="A205" s="7">
        <v>191</v>
      </c>
    </row>
    <row r="206" spans="1:1" x14ac:dyDescent="0.3">
      <c r="A206" s="7">
        <v>50</v>
      </c>
    </row>
    <row r="207" spans="1:1" x14ac:dyDescent="0.3">
      <c r="A207" s="7">
        <v>146</v>
      </c>
    </row>
    <row r="208" spans="1:1" x14ac:dyDescent="0.3">
      <c r="A208" s="7">
        <v>125</v>
      </c>
    </row>
    <row r="209" spans="1:1" x14ac:dyDescent="0.3">
      <c r="A209" s="7">
        <v>74</v>
      </c>
    </row>
    <row r="210" spans="1:1" x14ac:dyDescent="0.3">
      <c r="A210" s="7">
        <v>50</v>
      </c>
    </row>
    <row r="211" spans="1:1" x14ac:dyDescent="0.3">
      <c r="A211" s="7">
        <v>128</v>
      </c>
    </row>
    <row r="212" spans="1:1" x14ac:dyDescent="0.3">
      <c r="A212" s="7">
        <v>305</v>
      </c>
    </row>
    <row r="213" spans="1:1" x14ac:dyDescent="0.3">
      <c r="A213" s="7">
        <v>62</v>
      </c>
    </row>
    <row r="214" spans="1:1" x14ac:dyDescent="0.3">
      <c r="A214" s="7">
        <v>124</v>
      </c>
    </row>
    <row r="215" spans="1:1" x14ac:dyDescent="0.3">
      <c r="A215" s="7">
        <v>74</v>
      </c>
    </row>
    <row r="216" spans="1:1" x14ac:dyDescent="0.3">
      <c r="A216" s="7">
        <v>100</v>
      </c>
    </row>
    <row r="217" spans="1:1" x14ac:dyDescent="0.3">
      <c r="A217" s="7">
        <v>70</v>
      </c>
    </row>
    <row r="218" spans="1:1" x14ac:dyDescent="0.3">
      <c r="A218" s="7">
        <v>131</v>
      </c>
    </row>
    <row r="219" spans="1:1" x14ac:dyDescent="0.3">
      <c r="A219" s="7">
        <v>105</v>
      </c>
    </row>
    <row r="220" spans="1:1" x14ac:dyDescent="0.3">
      <c r="A220" s="7">
        <v>450</v>
      </c>
    </row>
    <row r="221" spans="1:1" x14ac:dyDescent="0.3">
      <c r="A221" s="7">
        <v>293</v>
      </c>
    </row>
    <row r="222" spans="1:1" x14ac:dyDescent="0.3">
      <c r="A222" s="7">
        <v>85</v>
      </c>
    </row>
    <row r="223" spans="1:1" x14ac:dyDescent="0.3">
      <c r="A223" s="7">
        <v>247</v>
      </c>
    </row>
    <row r="224" spans="1:1" x14ac:dyDescent="0.3">
      <c r="A224" s="7">
        <v>70</v>
      </c>
    </row>
    <row r="225" spans="1:1" x14ac:dyDescent="0.3">
      <c r="A225" s="7">
        <v>86</v>
      </c>
    </row>
    <row r="226" spans="1:1" x14ac:dyDescent="0.3">
      <c r="A226" s="7">
        <v>200</v>
      </c>
    </row>
    <row r="227" spans="1:1" x14ac:dyDescent="0.3">
      <c r="A227" s="7">
        <v>100</v>
      </c>
    </row>
    <row r="228" spans="1:1" x14ac:dyDescent="0.3">
      <c r="A228" s="7">
        <v>54</v>
      </c>
    </row>
    <row r="229" spans="1:1" x14ac:dyDescent="0.3">
      <c r="A229" s="7">
        <v>266</v>
      </c>
    </row>
    <row r="230" spans="1:1" x14ac:dyDescent="0.3">
      <c r="A230" s="7">
        <v>283</v>
      </c>
    </row>
    <row r="231" spans="1:1" x14ac:dyDescent="0.3">
      <c r="A231" s="7">
        <v>416</v>
      </c>
    </row>
    <row r="232" spans="1:1" x14ac:dyDescent="0.3">
      <c r="A232" s="7">
        <v>232</v>
      </c>
    </row>
    <row r="233" spans="1:1" x14ac:dyDescent="0.3">
      <c r="A233" s="7">
        <v>70</v>
      </c>
    </row>
    <row r="234" spans="1:1" x14ac:dyDescent="0.3">
      <c r="A234" s="7">
        <v>270</v>
      </c>
    </row>
    <row r="235" spans="1:1" x14ac:dyDescent="0.3">
      <c r="A235" s="7">
        <v>110</v>
      </c>
    </row>
    <row r="236" spans="1:1" x14ac:dyDescent="0.3">
      <c r="A236" s="7">
        <v>62</v>
      </c>
    </row>
    <row r="237" spans="1:1" x14ac:dyDescent="0.3">
      <c r="A237" s="7">
        <v>82</v>
      </c>
    </row>
    <row r="238" spans="1:1" x14ac:dyDescent="0.3">
      <c r="A238" s="7">
        <v>84</v>
      </c>
    </row>
    <row r="239" spans="1:1" x14ac:dyDescent="0.3">
      <c r="A239" s="7">
        <v>69</v>
      </c>
    </row>
    <row r="240" spans="1:1" x14ac:dyDescent="0.3">
      <c r="A240" s="7">
        <v>133</v>
      </c>
    </row>
    <row r="241" spans="1:1" x14ac:dyDescent="0.3">
      <c r="A241" s="7">
        <v>100</v>
      </c>
    </row>
    <row r="242" spans="1:1" x14ac:dyDescent="0.3">
      <c r="A242" s="7">
        <v>389</v>
      </c>
    </row>
    <row r="243" spans="1:1" x14ac:dyDescent="0.3">
      <c r="A243" s="7">
        <v>117</v>
      </c>
    </row>
    <row r="244" spans="1:1" x14ac:dyDescent="0.3">
      <c r="A244" s="7">
        <v>301</v>
      </c>
    </row>
    <row r="245" spans="1:1" x14ac:dyDescent="0.3">
      <c r="A245" s="7">
        <v>75</v>
      </c>
    </row>
    <row r="246" spans="1:1" x14ac:dyDescent="0.3">
      <c r="A246" s="7">
        <v>220</v>
      </c>
    </row>
    <row r="247" spans="1:1" x14ac:dyDescent="0.3">
      <c r="A247" s="7">
        <v>143</v>
      </c>
    </row>
    <row r="248" spans="1:1" x14ac:dyDescent="0.3">
      <c r="A248" s="7">
        <v>98</v>
      </c>
    </row>
    <row r="249" spans="1:1" x14ac:dyDescent="0.3">
      <c r="A249" s="7">
        <v>234</v>
      </c>
    </row>
    <row r="250" spans="1:1" x14ac:dyDescent="0.3">
      <c r="A250" s="7">
        <v>139</v>
      </c>
    </row>
    <row r="251" spans="1:1" x14ac:dyDescent="0.3">
      <c r="A251" s="7">
        <v>113</v>
      </c>
    </row>
    <row r="252" spans="1:1" x14ac:dyDescent="0.3">
      <c r="A252" s="7">
        <v>67</v>
      </c>
    </row>
    <row r="253" spans="1:1" x14ac:dyDescent="0.3">
      <c r="A253" s="7">
        <v>264</v>
      </c>
    </row>
    <row r="254" spans="1:1" x14ac:dyDescent="0.3">
      <c r="A254" s="7">
        <v>68</v>
      </c>
    </row>
    <row r="255" spans="1:1" x14ac:dyDescent="0.3">
      <c r="A255" s="7">
        <v>70</v>
      </c>
    </row>
    <row r="256" spans="1:1" x14ac:dyDescent="0.3">
      <c r="A256" s="7">
        <v>183</v>
      </c>
    </row>
    <row r="257" spans="1:1" x14ac:dyDescent="0.3">
      <c r="A257" s="7">
        <v>100</v>
      </c>
    </row>
    <row r="258" spans="1:1" x14ac:dyDescent="0.3">
      <c r="A258" s="7">
        <v>159</v>
      </c>
    </row>
    <row r="259" spans="1:1" x14ac:dyDescent="0.3">
      <c r="A259" s="7">
        <v>324</v>
      </c>
    </row>
    <row r="260" spans="1:1" x14ac:dyDescent="0.3">
      <c r="A260" s="7">
        <v>310</v>
      </c>
    </row>
    <row r="261" spans="1:1" x14ac:dyDescent="0.3">
      <c r="A261" s="7">
        <v>230</v>
      </c>
    </row>
    <row r="262" spans="1:1" x14ac:dyDescent="0.3">
      <c r="A262" s="7">
        <v>79</v>
      </c>
    </row>
    <row r="263" spans="1:1" x14ac:dyDescent="0.3">
      <c r="A263" s="7">
        <v>203</v>
      </c>
    </row>
    <row r="264" spans="1:1" x14ac:dyDescent="0.3">
      <c r="A264" s="7">
        <v>80</v>
      </c>
    </row>
    <row r="265" spans="1:1" x14ac:dyDescent="0.3">
      <c r="A265" s="7">
        <v>92</v>
      </c>
    </row>
    <row r="266" spans="1:1" x14ac:dyDescent="0.3">
      <c r="A266" s="7">
        <v>59</v>
      </c>
    </row>
    <row r="267" spans="1:1" x14ac:dyDescent="0.3">
      <c r="A267" s="7">
        <v>145</v>
      </c>
    </row>
    <row r="268" spans="1:1" x14ac:dyDescent="0.3">
      <c r="A268" s="7">
        <v>146</v>
      </c>
    </row>
    <row r="269" spans="1:1" x14ac:dyDescent="0.3">
      <c r="A269" s="7">
        <v>157</v>
      </c>
    </row>
    <row r="270" spans="1:1" x14ac:dyDescent="0.3">
      <c r="A270" s="7">
        <v>182</v>
      </c>
    </row>
    <row r="271" spans="1:1" x14ac:dyDescent="0.3">
      <c r="A271" s="7">
        <v>284</v>
      </c>
    </row>
    <row r="272" spans="1:1" x14ac:dyDescent="0.3">
      <c r="A272" s="7">
        <v>143</v>
      </c>
    </row>
    <row r="273" spans="1:1" x14ac:dyDescent="0.3">
      <c r="A273" s="7">
        <v>245</v>
      </c>
    </row>
    <row r="274" spans="1:1" x14ac:dyDescent="0.3">
      <c r="A274" s="7">
        <v>193</v>
      </c>
    </row>
    <row r="275" spans="1:1" x14ac:dyDescent="0.3">
      <c r="A275" s="7">
        <v>298</v>
      </c>
    </row>
    <row r="276" spans="1:1" x14ac:dyDescent="0.3">
      <c r="A276" s="7">
        <v>115</v>
      </c>
    </row>
    <row r="277" spans="1:1" x14ac:dyDescent="0.3">
      <c r="A277" s="7">
        <v>120</v>
      </c>
    </row>
    <row r="278" spans="1:1" x14ac:dyDescent="0.3">
      <c r="A278" s="7">
        <v>428</v>
      </c>
    </row>
    <row r="279" spans="1:1" x14ac:dyDescent="0.3">
      <c r="A279" s="7">
        <v>74</v>
      </c>
    </row>
    <row r="280" spans="1:1" x14ac:dyDescent="0.3">
      <c r="A280" s="7">
        <v>204</v>
      </c>
    </row>
    <row r="281" spans="1:1" x14ac:dyDescent="0.3">
      <c r="A281" s="7">
        <v>213</v>
      </c>
    </row>
    <row r="282" spans="1:1" x14ac:dyDescent="0.3">
      <c r="A282" s="7">
        <v>319</v>
      </c>
    </row>
    <row r="283" spans="1:1" x14ac:dyDescent="0.3">
      <c r="A283" s="7">
        <v>158</v>
      </c>
    </row>
    <row r="284" spans="1:1" x14ac:dyDescent="0.3">
      <c r="A284" s="7">
        <v>255</v>
      </c>
    </row>
    <row r="285" spans="1:1" x14ac:dyDescent="0.3">
      <c r="A285" s="7">
        <v>53</v>
      </c>
    </row>
    <row r="286" spans="1:1" x14ac:dyDescent="0.3">
      <c r="A286" s="7">
        <v>59</v>
      </c>
    </row>
    <row r="287" spans="1:1" x14ac:dyDescent="0.3">
      <c r="A287" s="7">
        <v>211</v>
      </c>
    </row>
    <row r="288" spans="1:1" x14ac:dyDescent="0.3">
      <c r="A288" s="7">
        <v>186</v>
      </c>
    </row>
    <row r="289" spans="1:1" x14ac:dyDescent="0.3">
      <c r="A289" s="7">
        <v>67</v>
      </c>
    </row>
    <row r="290" spans="1:1" x14ac:dyDescent="0.3">
      <c r="A290" s="7">
        <v>75</v>
      </c>
    </row>
    <row r="291" spans="1:1" x14ac:dyDescent="0.3">
      <c r="A291" s="7">
        <v>294</v>
      </c>
    </row>
    <row r="292" spans="1:1" x14ac:dyDescent="0.3">
      <c r="A292" s="7">
        <v>305</v>
      </c>
    </row>
    <row r="293" spans="1:1" x14ac:dyDescent="0.3">
      <c r="A293" s="7">
        <v>97</v>
      </c>
    </row>
    <row r="294" spans="1:1" x14ac:dyDescent="0.3">
      <c r="A294" s="7">
        <v>58</v>
      </c>
    </row>
    <row r="295" spans="1:1" x14ac:dyDescent="0.3">
      <c r="A295" s="7">
        <v>88</v>
      </c>
    </row>
    <row r="296" spans="1:1" x14ac:dyDescent="0.3">
      <c r="A296" s="7">
        <v>162</v>
      </c>
    </row>
    <row r="297" spans="1:1" x14ac:dyDescent="0.3">
      <c r="A297" s="7">
        <v>165</v>
      </c>
    </row>
    <row r="298" spans="1:1" x14ac:dyDescent="0.3">
      <c r="A298" s="7">
        <v>177</v>
      </c>
    </row>
    <row r="299" spans="1:1" x14ac:dyDescent="0.3">
      <c r="A299" s="7">
        <v>94</v>
      </c>
    </row>
    <row r="300" spans="1:1" x14ac:dyDescent="0.3">
      <c r="A300" s="7">
        <v>402</v>
      </c>
    </row>
    <row r="301" spans="1:1" x14ac:dyDescent="0.3">
      <c r="A301" s="7">
        <v>210</v>
      </c>
    </row>
    <row r="302" spans="1:1" x14ac:dyDescent="0.3">
      <c r="A302" s="7">
        <v>114</v>
      </c>
    </row>
    <row r="303" spans="1:1" x14ac:dyDescent="0.3">
      <c r="A303" s="7">
        <v>245</v>
      </c>
    </row>
    <row r="304" spans="1:1" x14ac:dyDescent="0.3">
      <c r="A304" s="7">
        <v>120</v>
      </c>
    </row>
    <row r="305" spans="1:1" x14ac:dyDescent="0.3">
      <c r="A305" s="7">
        <v>161</v>
      </c>
    </row>
    <row r="306" spans="1:1" x14ac:dyDescent="0.3">
      <c r="A306" s="7">
        <v>117</v>
      </c>
    </row>
    <row r="307" spans="1:1" x14ac:dyDescent="0.3">
      <c r="A307" s="7">
        <v>67</v>
      </c>
    </row>
    <row r="308" spans="1:1" x14ac:dyDescent="0.3">
      <c r="A308" s="7">
        <v>100</v>
      </c>
    </row>
    <row r="309" spans="1:1" x14ac:dyDescent="0.3">
      <c r="A309" s="7">
        <v>90</v>
      </c>
    </row>
    <row r="310" spans="1:1" x14ac:dyDescent="0.3">
      <c r="A310" s="7">
        <v>100</v>
      </c>
    </row>
    <row r="311" spans="1:1" x14ac:dyDescent="0.3">
      <c r="A311" s="7">
        <v>150</v>
      </c>
    </row>
    <row r="312" spans="1:1" x14ac:dyDescent="0.3">
      <c r="A312" s="7">
        <v>169</v>
      </c>
    </row>
    <row r="313" spans="1:1" x14ac:dyDescent="0.3">
      <c r="A313" s="7">
        <v>82</v>
      </c>
    </row>
    <row r="314" spans="1:1" x14ac:dyDescent="0.3">
      <c r="A314" s="7">
        <v>125</v>
      </c>
    </row>
    <row r="315" spans="1:1" x14ac:dyDescent="0.3">
      <c r="A315" s="7">
        <v>90</v>
      </c>
    </row>
    <row r="316" spans="1:1" x14ac:dyDescent="0.3">
      <c r="A316" s="7">
        <v>143</v>
      </c>
    </row>
    <row r="317" spans="1:1" x14ac:dyDescent="0.3">
      <c r="A317" s="7">
        <v>330</v>
      </c>
    </row>
    <row r="318" spans="1:1" x14ac:dyDescent="0.3">
      <c r="A318" s="7">
        <v>118</v>
      </c>
    </row>
    <row r="319" spans="1:1" x14ac:dyDescent="0.3">
      <c r="A319" s="7">
        <v>170</v>
      </c>
    </row>
    <row r="320" spans="1:1" x14ac:dyDescent="0.3">
      <c r="A320" s="7">
        <v>200</v>
      </c>
    </row>
    <row r="321" spans="1:1" x14ac:dyDescent="0.3">
      <c r="A321" s="7">
        <v>227</v>
      </c>
    </row>
    <row r="322" spans="1:1" x14ac:dyDescent="0.3">
      <c r="A322" s="7">
        <v>204</v>
      </c>
    </row>
    <row r="323" spans="1:1" x14ac:dyDescent="0.3">
      <c r="A323" s="7">
        <v>200</v>
      </c>
    </row>
    <row r="324" spans="1:1" x14ac:dyDescent="0.3">
      <c r="A324" s="7">
        <v>200</v>
      </c>
    </row>
    <row r="325" spans="1:1" x14ac:dyDescent="0.3">
      <c r="A325" s="7">
        <v>200</v>
      </c>
    </row>
    <row r="326" spans="1:1" x14ac:dyDescent="0.3">
      <c r="A326" s="7">
        <v>200</v>
      </c>
    </row>
    <row r="327" spans="1:1" x14ac:dyDescent="0.3">
      <c r="A327" s="7">
        <v>180</v>
      </c>
    </row>
    <row r="328" spans="1:1" x14ac:dyDescent="0.3">
      <c r="A328" s="7">
        <v>200</v>
      </c>
    </row>
    <row r="329" spans="1:1" x14ac:dyDescent="0.3">
      <c r="A329" s="7">
        <v>228</v>
      </c>
    </row>
    <row r="330" spans="1:1" x14ac:dyDescent="0.3">
      <c r="A330" s="7">
        <v>100</v>
      </c>
    </row>
    <row r="331" spans="1:1" x14ac:dyDescent="0.3">
      <c r="A331" s="7">
        <v>105</v>
      </c>
    </row>
    <row r="332" spans="1:1" x14ac:dyDescent="0.3">
      <c r="A332" s="7">
        <v>248</v>
      </c>
    </row>
    <row r="333" spans="1:1" x14ac:dyDescent="0.3">
      <c r="A333" s="7">
        <v>114</v>
      </c>
    </row>
    <row r="334" spans="1:1" x14ac:dyDescent="0.3">
      <c r="A334" s="7">
        <v>132</v>
      </c>
    </row>
    <row r="335" spans="1:1" x14ac:dyDescent="0.3">
      <c r="A335" s="7">
        <v>199</v>
      </c>
    </row>
    <row r="336" spans="1:1" x14ac:dyDescent="0.3">
      <c r="A336" s="7">
        <v>80</v>
      </c>
    </row>
    <row r="337" spans="1:1" x14ac:dyDescent="0.3">
      <c r="A337" s="7">
        <v>168</v>
      </c>
    </row>
    <row r="338" spans="1:1" x14ac:dyDescent="0.3">
      <c r="A338" s="7">
        <v>205</v>
      </c>
    </row>
    <row r="339" spans="1:1" x14ac:dyDescent="0.3">
      <c r="A339" s="7">
        <v>298</v>
      </c>
    </row>
    <row r="340" spans="1:1" x14ac:dyDescent="0.3">
      <c r="A340" s="7">
        <v>110</v>
      </c>
    </row>
    <row r="341" spans="1:1" x14ac:dyDescent="0.3">
      <c r="A341" s="7">
        <v>250</v>
      </c>
    </row>
    <row r="342" spans="1:1" x14ac:dyDescent="0.3">
      <c r="A342" s="7">
        <v>131</v>
      </c>
    </row>
    <row r="343" spans="1:1" x14ac:dyDescent="0.3">
      <c r="A343" s="7">
        <v>213</v>
      </c>
    </row>
    <row r="344" spans="1:1" x14ac:dyDescent="0.3">
      <c r="A344" s="7">
        <v>200</v>
      </c>
    </row>
    <row r="345" spans="1:1" x14ac:dyDescent="0.3">
      <c r="A345" s="7">
        <v>175</v>
      </c>
    </row>
    <row r="346" spans="1:1" x14ac:dyDescent="0.3">
      <c r="A346" s="7">
        <v>206</v>
      </c>
    </row>
    <row r="347" spans="1:1" x14ac:dyDescent="0.3">
      <c r="A347" s="7">
        <v>159</v>
      </c>
    </row>
    <row r="348" spans="1:1" x14ac:dyDescent="0.3">
      <c r="A348" s="7">
        <v>218</v>
      </c>
    </row>
    <row r="349" spans="1:1" x14ac:dyDescent="0.3">
      <c r="A349" s="7">
        <v>120</v>
      </c>
    </row>
    <row r="350" spans="1:1" x14ac:dyDescent="0.3">
      <c r="A350" s="7">
        <v>125</v>
      </c>
    </row>
    <row r="351" spans="1:1" x14ac:dyDescent="0.3">
      <c r="A351" s="7">
        <v>332</v>
      </c>
    </row>
    <row r="352" spans="1:1" x14ac:dyDescent="0.3">
      <c r="A352" s="7">
        <v>205</v>
      </c>
    </row>
    <row r="353" spans="1:1" x14ac:dyDescent="0.3">
      <c r="A353" s="7">
        <v>220</v>
      </c>
    </row>
    <row r="354" spans="1:1" x14ac:dyDescent="0.3">
      <c r="A354" s="7">
        <v>132</v>
      </c>
    </row>
    <row r="355" spans="1:1" x14ac:dyDescent="0.3">
      <c r="A355" s="7">
        <v>200</v>
      </c>
    </row>
    <row r="356" spans="1:1" x14ac:dyDescent="0.3">
      <c r="A356" s="7">
        <v>120</v>
      </c>
    </row>
    <row r="357" spans="1:1" x14ac:dyDescent="0.3">
      <c r="A357" s="7">
        <v>77</v>
      </c>
    </row>
    <row r="358" spans="1:1" x14ac:dyDescent="0.3">
      <c r="A358" s="7">
        <v>200</v>
      </c>
    </row>
    <row r="359" spans="1:1" x14ac:dyDescent="0.3">
      <c r="A359" s="7">
        <v>120</v>
      </c>
    </row>
    <row r="360" spans="1:1" x14ac:dyDescent="0.3">
      <c r="A360" s="7">
        <v>212</v>
      </c>
    </row>
    <row r="361" spans="1:1" x14ac:dyDescent="0.3">
      <c r="A361" s="7">
        <v>177</v>
      </c>
    </row>
    <row r="362" spans="1:1" x14ac:dyDescent="0.3">
      <c r="A362" s="7">
        <v>122</v>
      </c>
    </row>
    <row r="363" spans="1:1" x14ac:dyDescent="0.3">
      <c r="A363" s="7">
        <v>137</v>
      </c>
    </row>
    <row r="364" spans="1:1" x14ac:dyDescent="0.3">
      <c r="A364" s="7">
        <v>90</v>
      </c>
    </row>
    <row r="365" spans="1:1" x14ac:dyDescent="0.3">
      <c r="A365" s="7">
        <v>99</v>
      </c>
    </row>
    <row r="366" spans="1:1" x14ac:dyDescent="0.3">
      <c r="A366" s="7">
        <v>107</v>
      </c>
    </row>
    <row r="367" spans="1:1" x14ac:dyDescent="0.3">
      <c r="A367" s="7">
        <v>129</v>
      </c>
    </row>
    <row r="368" spans="1:1" x14ac:dyDescent="0.3">
      <c r="A368" s="7">
        <v>209</v>
      </c>
    </row>
    <row r="369" spans="1:1" x14ac:dyDescent="0.3">
      <c r="A369" s="7">
        <v>227</v>
      </c>
    </row>
    <row r="370" spans="1:1" x14ac:dyDescent="0.3">
      <c r="A370" s="7">
        <v>100</v>
      </c>
    </row>
    <row r="371" spans="1:1" x14ac:dyDescent="0.3">
      <c r="A371" s="7">
        <v>140</v>
      </c>
    </row>
    <row r="372" spans="1:1" x14ac:dyDescent="0.3">
      <c r="A372" s="7">
        <v>169</v>
      </c>
    </row>
    <row r="373" spans="1:1" x14ac:dyDescent="0.3">
      <c r="A373" s="7">
        <v>209</v>
      </c>
    </row>
    <row r="374" spans="1:1" x14ac:dyDescent="0.3">
      <c r="A374" s="7">
        <v>170</v>
      </c>
    </row>
    <row r="375" spans="1:1" x14ac:dyDescent="0.3">
      <c r="A375" s="7">
        <v>267</v>
      </c>
    </row>
    <row r="376" spans="1:1" x14ac:dyDescent="0.3">
      <c r="A376" s="7">
        <v>62</v>
      </c>
    </row>
    <row r="377" spans="1:1" x14ac:dyDescent="0.3">
      <c r="A377" s="7">
        <v>209</v>
      </c>
    </row>
    <row r="378" spans="1:1" x14ac:dyDescent="0.3">
      <c r="A378" s="7">
        <v>248</v>
      </c>
    </row>
    <row r="379" spans="1:1" x14ac:dyDescent="0.3">
      <c r="A379" s="7">
        <v>80</v>
      </c>
    </row>
    <row r="380" spans="1:1" x14ac:dyDescent="0.3">
      <c r="A380" s="7">
        <v>120</v>
      </c>
    </row>
    <row r="381" spans="1:1" x14ac:dyDescent="0.3">
      <c r="A381" s="7">
        <v>120</v>
      </c>
    </row>
    <row r="382" spans="1:1" x14ac:dyDescent="0.3">
      <c r="A382" s="7">
        <v>96</v>
      </c>
    </row>
    <row r="383" spans="1:1" x14ac:dyDescent="0.3">
      <c r="A383" s="7">
        <v>120</v>
      </c>
    </row>
    <row r="384" spans="1:1" x14ac:dyDescent="0.3">
      <c r="A384" s="7">
        <v>65</v>
      </c>
    </row>
    <row r="385" spans="1:1" x14ac:dyDescent="0.3">
      <c r="A385" s="7">
        <v>356</v>
      </c>
    </row>
    <row r="386" spans="1:1" x14ac:dyDescent="0.3">
      <c r="A386" s="7">
        <v>381</v>
      </c>
    </row>
    <row r="387" spans="1:1" x14ac:dyDescent="0.3">
      <c r="A387" s="7">
        <v>56</v>
      </c>
    </row>
    <row r="388" spans="1:1" x14ac:dyDescent="0.3">
      <c r="A388" s="7">
        <v>421</v>
      </c>
    </row>
    <row r="389" spans="1:1" x14ac:dyDescent="0.3">
      <c r="A389" s="7">
        <v>230</v>
      </c>
    </row>
    <row r="390" spans="1:1" x14ac:dyDescent="0.3">
      <c r="A390" s="7">
        <v>236</v>
      </c>
    </row>
    <row r="391" spans="1:1" x14ac:dyDescent="0.3">
      <c r="A391" s="7">
        <v>140</v>
      </c>
    </row>
    <row r="392" spans="1:1" x14ac:dyDescent="0.3">
      <c r="A392" s="7">
        <v>119</v>
      </c>
    </row>
    <row r="393" spans="1:1" x14ac:dyDescent="0.3">
      <c r="A393" s="7">
        <v>210</v>
      </c>
    </row>
    <row r="394" spans="1:1" x14ac:dyDescent="0.3">
      <c r="A394" s="7">
        <v>78</v>
      </c>
    </row>
    <row r="395" spans="1:1" x14ac:dyDescent="0.3">
      <c r="A395" s="7">
        <v>289</v>
      </c>
    </row>
    <row r="396" spans="1:1" x14ac:dyDescent="0.3">
      <c r="A396" s="7">
        <v>207</v>
      </c>
    </row>
    <row r="397" spans="1:1" x14ac:dyDescent="0.3">
      <c r="A397" s="7">
        <v>178</v>
      </c>
    </row>
    <row r="398" spans="1:1" x14ac:dyDescent="0.3">
      <c r="A398" s="7">
        <v>135</v>
      </c>
    </row>
    <row r="399" spans="1:1" x14ac:dyDescent="0.3">
      <c r="A399" s="7">
        <v>365</v>
      </c>
    </row>
    <row r="400" spans="1:1" x14ac:dyDescent="0.3">
      <c r="A400" s="7">
        <v>249</v>
      </c>
    </row>
    <row r="401" spans="1:1" x14ac:dyDescent="0.3">
      <c r="A401" s="7">
        <v>90</v>
      </c>
    </row>
    <row r="402" spans="1:1" x14ac:dyDescent="0.3">
      <c r="A402" s="7">
        <v>194</v>
      </c>
    </row>
    <row r="403" spans="1:1" x14ac:dyDescent="0.3">
      <c r="A403" s="7">
        <v>179</v>
      </c>
    </row>
    <row r="404" spans="1:1" x14ac:dyDescent="0.3">
      <c r="A404" s="7">
        <v>105</v>
      </c>
    </row>
    <row r="405" spans="1:1" x14ac:dyDescent="0.3">
      <c r="A405" s="7">
        <v>57</v>
      </c>
    </row>
    <row r="406" spans="1:1" x14ac:dyDescent="0.3">
      <c r="A406" s="7">
        <v>51</v>
      </c>
    </row>
    <row r="407" spans="1:1" x14ac:dyDescent="0.3">
      <c r="A407" s="7">
        <v>245</v>
      </c>
    </row>
    <row r="408" spans="1:1" x14ac:dyDescent="0.3">
      <c r="A408" s="7">
        <v>80</v>
      </c>
    </row>
    <row r="409" spans="1:1" x14ac:dyDescent="0.3">
      <c r="A409" s="7">
        <v>132</v>
      </c>
    </row>
    <row r="410" spans="1:1" x14ac:dyDescent="0.3">
      <c r="A410" s="7">
        <v>132</v>
      </c>
    </row>
    <row r="411" spans="1:1" x14ac:dyDescent="0.3">
      <c r="A411" s="7">
        <v>79</v>
      </c>
    </row>
    <row r="412" spans="1:1" x14ac:dyDescent="0.3">
      <c r="A412" s="7">
        <v>143</v>
      </c>
    </row>
    <row r="413" spans="1:1" x14ac:dyDescent="0.3">
      <c r="A413" s="7">
        <v>76</v>
      </c>
    </row>
    <row r="414" spans="1:1" x14ac:dyDescent="0.3">
      <c r="A414" s="7">
        <v>185</v>
      </c>
    </row>
    <row r="415" spans="1:1" x14ac:dyDescent="0.3">
      <c r="A415" s="7">
        <v>332</v>
      </c>
    </row>
    <row r="416" spans="1:1" x14ac:dyDescent="0.3">
      <c r="A416" s="7">
        <v>106</v>
      </c>
    </row>
    <row r="417" spans="1:1" x14ac:dyDescent="0.3">
      <c r="A417" s="7">
        <v>198</v>
      </c>
    </row>
    <row r="418" spans="1:1" x14ac:dyDescent="0.3">
      <c r="A418" s="7">
        <v>81</v>
      </c>
    </row>
    <row r="419" spans="1:1" x14ac:dyDescent="0.3">
      <c r="A419" s="7">
        <v>87</v>
      </c>
    </row>
    <row r="420" spans="1:1" x14ac:dyDescent="0.3">
      <c r="A420" s="7">
        <v>146</v>
      </c>
    </row>
    <row r="421" spans="1:1" x14ac:dyDescent="0.3">
      <c r="A421" s="7">
        <v>417</v>
      </c>
    </row>
    <row r="422" spans="1:1" x14ac:dyDescent="0.3">
      <c r="A422" s="7">
        <v>97</v>
      </c>
    </row>
    <row r="423" spans="1:1" x14ac:dyDescent="0.3">
      <c r="A423" s="7">
        <v>133</v>
      </c>
    </row>
    <row r="424" spans="1:1" x14ac:dyDescent="0.3">
      <c r="A424" s="7">
        <v>125</v>
      </c>
    </row>
    <row r="425" spans="1:1" x14ac:dyDescent="0.3">
      <c r="A425" s="7">
        <v>179</v>
      </c>
    </row>
    <row r="426" spans="1:1" x14ac:dyDescent="0.3">
      <c r="A426" s="7">
        <v>118</v>
      </c>
    </row>
    <row r="427" spans="1:1" x14ac:dyDescent="0.3">
      <c r="A427" s="7">
        <v>81</v>
      </c>
    </row>
    <row r="428" spans="1:1" x14ac:dyDescent="0.3">
      <c r="A428" s="7">
        <v>161</v>
      </c>
    </row>
    <row r="429" spans="1:1" x14ac:dyDescent="0.3">
      <c r="A429" s="7">
        <v>118</v>
      </c>
    </row>
    <row r="430" spans="1:1" x14ac:dyDescent="0.3">
      <c r="A430" s="7">
        <v>183</v>
      </c>
    </row>
    <row r="431" spans="1:1" x14ac:dyDescent="0.3">
      <c r="A431" s="7">
        <v>65</v>
      </c>
    </row>
    <row r="432" spans="1:1" x14ac:dyDescent="0.3">
      <c r="A432" s="7">
        <v>200</v>
      </c>
    </row>
    <row r="433" spans="1:1" x14ac:dyDescent="0.3">
      <c r="A433" s="7">
        <v>90</v>
      </c>
    </row>
    <row r="434" spans="1:1" x14ac:dyDescent="0.3">
      <c r="A434" s="7">
        <v>120</v>
      </c>
    </row>
    <row r="435" spans="1:1" x14ac:dyDescent="0.3">
      <c r="A435" s="7">
        <v>149</v>
      </c>
    </row>
    <row r="436" spans="1:1" x14ac:dyDescent="0.3">
      <c r="A436" s="7">
        <v>108</v>
      </c>
    </row>
    <row r="437" spans="1:1" x14ac:dyDescent="0.3">
      <c r="A437" s="7">
        <v>118</v>
      </c>
    </row>
    <row r="438" spans="1:1" x14ac:dyDescent="0.3">
      <c r="A438" s="7">
        <v>124</v>
      </c>
    </row>
    <row r="439" spans="1:1" x14ac:dyDescent="0.3">
      <c r="A439" s="7">
        <v>310</v>
      </c>
    </row>
    <row r="440" spans="1:1" x14ac:dyDescent="0.3">
      <c r="A440" s="7">
        <v>231</v>
      </c>
    </row>
    <row r="441" spans="1:1" x14ac:dyDescent="0.3">
      <c r="A441" s="7">
        <v>405</v>
      </c>
    </row>
    <row r="442" spans="1:1" x14ac:dyDescent="0.3">
      <c r="A442" s="7">
        <v>334</v>
      </c>
    </row>
    <row r="443" spans="1:1" x14ac:dyDescent="0.3">
      <c r="A443" s="7">
        <v>170</v>
      </c>
    </row>
    <row r="444" spans="1:1" x14ac:dyDescent="0.3">
      <c r="A444" s="7">
        <v>350</v>
      </c>
    </row>
    <row r="445" spans="1:1" x14ac:dyDescent="0.3">
      <c r="A445" s="7">
        <v>149</v>
      </c>
    </row>
    <row r="446" spans="1:1" x14ac:dyDescent="0.3">
      <c r="A446" s="7">
        <v>261</v>
      </c>
    </row>
    <row r="447" spans="1:1" x14ac:dyDescent="0.3">
      <c r="A447" s="7">
        <v>145</v>
      </c>
    </row>
    <row r="448" spans="1:1" x14ac:dyDescent="0.3">
      <c r="A448" s="7">
        <v>179</v>
      </c>
    </row>
    <row r="449" spans="1:1" x14ac:dyDescent="0.3">
      <c r="A449" s="7">
        <v>224</v>
      </c>
    </row>
    <row r="450" spans="1:1" x14ac:dyDescent="0.3">
      <c r="A450" s="7">
        <v>70</v>
      </c>
    </row>
    <row r="451" spans="1:1" x14ac:dyDescent="0.3">
      <c r="A451" s="7">
        <v>137</v>
      </c>
    </row>
    <row r="452" spans="1:1" x14ac:dyDescent="0.3">
      <c r="A452" s="7">
        <v>151</v>
      </c>
    </row>
    <row r="453" spans="1:1" x14ac:dyDescent="0.3">
      <c r="A453" s="7">
        <v>57</v>
      </c>
    </row>
    <row r="454" spans="1:1" x14ac:dyDescent="0.3">
      <c r="A454" s="7">
        <v>106</v>
      </c>
    </row>
    <row r="455" spans="1:1" x14ac:dyDescent="0.3">
      <c r="A455" s="7">
        <v>193</v>
      </c>
    </row>
    <row r="456" spans="1:1" x14ac:dyDescent="0.3">
      <c r="A456" s="7">
        <v>120</v>
      </c>
    </row>
    <row r="457" spans="1:1" x14ac:dyDescent="0.3">
      <c r="A457" s="7">
        <v>101</v>
      </c>
    </row>
    <row r="458" spans="1:1" x14ac:dyDescent="0.3">
      <c r="A458" s="7">
        <v>116</v>
      </c>
    </row>
    <row r="459" spans="1:1" x14ac:dyDescent="0.3">
      <c r="A459" s="7">
        <v>208</v>
      </c>
    </row>
    <row r="460" spans="1:1" x14ac:dyDescent="0.3">
      <c r="A460" s="7">
        <v>115</v>
      </c>
    </row>
    <row r="461" spans="1:1" x14ac:dyDescent="0.3">
      <c r="A461" s="7">
        <v>331</v>
      </c>
    </row>
    <row r="462" spans="1:1" x14ac:dyDescent="0.3">
      <c r="A462" s="7">
        <v>82</v>
      </c>
    </row>
    <row r="463" spans="1:1" x14ac:dyDescent="0.3">
      <c r="A463" s="7">
        <v>85</v>
      </c>
    </row>
    <row r="464" spans="1:1" x14ac:dyDescent="0.3">
      <c r="A464" s="7">
        <v>137</v>
      </c>
    </row>
    <row r="465" spans="1:1" x14ac:dyDescent="0.3">
      <c r="A465" s="7">
        <v>185</v>
      </c>
    </row>
    <row r="466" spans="1:1" x14ac:dyDescent="0.3">
      <c r="A466" s="7">
        <v>330</v>
      </c>
    </row>
    <row r="467" spans="1:1" x14ac:dyDescent="0.3">
      <c r="A467" s="7">
        <v>175</v>
      </c>
    </row>
    <row r="468" spans="1:1" x14ac:dyDescent="0.3">
      <c r="A468" s="7">
        <v>165</v>
      </c>
    </row>
    <row r="469" spans="1:1" x14ac:dyDescent="0.3">
      <c r="A469" s="7">
        <v>86</v>
      </c>
    </row>
    <row r="470" spans="1:1" x14ac:dyDescent="0.3">
      <c r="A470" s="7">
        <v>214</v>
      </c>
    </row>
    <row r="471" spans="1:1" x14ac:dyDescent="0.3">
      <c r="A471" s="7">
        <v>90</v>
      </c>
    </row>
    <row r="472" spans="1:1" x14ac:dyDescent="0.3">
      <c r="A472" s="7">
        <v>134</v>
      </c>
    </row>
    <row r="473" spans="1:1" x14ac:dyDescent="0.3">
      <c r="A473" s="7">
        <v>134</v>
      </c>
    </row>
    <row r="474" spans="1:1" x14ac:dyDescent="0.3">
      <c r="A474" s="7">
        <v>145</v>
      </c>
    </row>
    <row r="475" spans="1:1" x14ac:dyDescent="0.3">
      <c r="A475" s="7">
        <v>205</v>
      </c>
    </row>
    <row r="476" spans="1:1" x14ac:dyDescent="0.3">
      <c r="A476" s="7">
        <v>220</v>
      </c>
    </row>
    <row r="477" spans="1:1" x14ac:dyDescent="0.3">
      <c r="A477" s="7">
        <v>203</v>
      </c>
    </row>
    <row r="478" spans="1:1" x14ac:dyDescent="0.3">
      <c r="A478" s="7">
        <v>65</v>
      </c>
    </row>
    <row r="479" spans="1:1" x14ac:dyDescent="0.3">
      <c r="A479" s="7">
        <v>170</v>
      </c>
    </row>
    <row r="480" spans="1:1" x14ac:dyDescent="0.3">
      <c r="A480" s="7">
        <v>120</v>
      </c>
    </row>
    <row r="481" spans="1:1" x14ac:dyDescent="0.3">
      <c r="A481" s="7">
        <v>185</v>
      </c>
    </row>
    <row r="482" spans="1:1" x14ac:dyDescent="0.3">
      <c r="A482" s="7">
        <v>179</v>
      </c>
    </row>
    <row r="483" spans="1:1" x14ac:dyDescent="0.3">
      <c r="A483" s="7">
        <v>126</v>
      </c>
    </row>
    <row r="484" spans="1:1" x14ac:dyDescent="0.3">
      <c r="A484" s="7">
        <v>120</v>
      </c>
    </row>
    <row r="485" spans="1:1" x14ac:dyDescent="0.3">
      <c r="A485" s="7">
        <v>75</v>
      </c>
    </row>
    <row r="486" spans="1:1" x14ac:dyDescent="0.3">
      <c r="A486" s="7">
        <v>77</v>
      </c>
    </row>
    <row r="487" spans="1:1" x14ac:dyDescent="0.3">
      <c r="A487" s="7">
        <v>242</v>
      </c>
    </row>
    <row r="488" spans="1:1" x14ac:dyDescent="0.3">
      <c r="A488" s="7">
        <v>115</v>
      </c>
    </row>
    <row r="489" spans="1:1" x14ac:dyDescent="0.3">
      <c r="A489" s="7">
        <v>100</v>
      </c>
    </row>
    <row r="490" spans="1:1" x14ac:dyDescent="0.3">
      <c r="A490" s="7">
        <v>150</v>
      </c>
    </row>
    <row r="491" spans="1:1" x14ac:dyDescent="0.3">
      <c r="A491" s="7">
        <v>98</v>
      </c>
    </row>
    <row r="492" spans="1:1" x14ac:dyDescent="0.3">
      <c r="A492" s="7">
        <v>155</v>
      </c>
    </row>
    <row r="493" spans="1:1" x14ac:dyDescent="0.3">
      <c r="A493" s="7">
        <v>135</v>
      </c>
    </row>
    <row r="494" spans="1:1" x14ac:dyDescent="0.3">
      <c r="A494" s="7">
        <v>160</v>
      </c>
    </row>
    <row r="495" spans="1:1" x14ac:dyDescent="0.3">
      <c r="A495" s="7">
        <v>67</v>
      </c>
    </row>
    <row r="496" spans="1:1" x14ac:dyDescent="0.3">
      <c r="A496" s="7">
        <v>169</v>
      </c>
    </row>
    <row r="497" spans="1:1" x14ac:dyDescent="0.3">
      <c r="A497" s="7">
        <v>68</v>
      </c>
    </row>
    <row r="498" spans="1:1" x14ac:dyDescent="0.3">
      <c r="A498" s="7">
        <v>155</v>
      </c>
    </row>
    <row r="499" spans="1:1" x14ac:dyDescent="0.3">
      <c r="A499" s="7">
        <v>175</v>
      </c>
    </row>
    <row r="500" spans="1:1" x14ac:dyDescent="0.3">
      <c r="A500" s="7">
        <v>114</v>
      </c>
    </row>
    <row r="501" spans="1:1" x14ac:dyDescent="0.3">
      <c r="A501" s="7">
        <v>183</v>
      </c>
    </row>
    <row r="502" spans="1:1" x14ac:dyDescent="0.3">
      <c r="A502" s="7">
        <v>125</v>
      </c>
    </row>
    <row r="503" spans="1:1" x14ac:dyDescent="0.3">
      <c r="A503" s="7">
        <v>65</v>
      </c>
    </row>
    <row r="504" spans="1:1" x14ac:dyDescent="0.3">
      <c r="A504" s="7">
        <v>161</v>
      </c>
    </row>
    <row r="505" spans="1:1" x14ac:dyDescent="0.3">
      <c r="A505" s="7">
        <v>76</v>
      </c>
    </row>
    <row r="506" spans="1:1" x14ac:dyDescent="0.3">
      <c r="A506" s="7">
        <v>175</v>
      </c>
    </row>
    <row r="507" spans="1:1" x14ac:dyDescent="0.3">
      <c r="A507" s="7">
        <v>67</v>
      </c>
    </row>
    <row r="508" spans="1:1" x14ac:dyDescent="0.3">
      <c r="A508" s="7">
        <v>70</v>
      </c>
    </row>
    <row r="509" spans="1:1" x14ac:dyDescent="0.3">
      <c r="A509" s="7">
        <v>104</v>
      </c>
    </row>
    <row r="510" spans="1:1" x14ac:dyDescent="0.3">
      <c r="A510" s="7">
        <v>59</v>
      </c>
    </row>
    <row r="511" spans="1:1" x14ac:dyDescent="0.3">
      <c r="A511" s="7">
        <v>93</v>
      </c>
    </row>
    <row r="512" spans="1:1" x14ac:dyDescent="0.3">
      <c r="A512" s="7">
        <v>160</v>
      </c>
    </row>
    <row r="513" spans="1:1" x14ac:dyDescent="0.3">
      <c r="A513" s="7">
        <v>104</v>
      </c>
    </row>
    <row r="514" spans="1:1" x14ac:dyDescent="0.3">
      <c r="A514" s="7">
        <v>116</v>
      </c>
    </row>
    <row r="515" spans="1:1" x14ac:dyDescent="0.3">
      <c r="A515" s="7">
        <v>400</v>
      </c>
    </row>
    <row r="516" spans="1:1" x14ac:dyDescent="0.3">
      <c r="A516" s="7">
        <v>197</v>
      </c>
    </row>
    <row r="517" spans="1:1" x14ac:dyDescent="0.3">
      <c r="A517" s="7">
        <v>245</v>
      </c>
    </row>
    <row r="518" spans="1:1" x14ac:dyDescent="0.3">
      <c r="A518" s="7">
        <v>168</v>
      </c>
    </row>
    <row r="519" spans="1:1" x14ac:dyDescent="0.3">
      <c r="A519" s="7">
        <v>90</v>
      </c>
    </row>
    <row r="520" spans="1:1" x14ac:dyDescent="0.3">
      <c r="A520" s="7">
        <v>64</v>
      </c>
    </row>
    <row r="521" spans="1:1" x14ac:dyDescent="0.3">
      <c r="A521" s="7">
        <v>119</v>
      </c>
    </row>
    <row r="522" spans="1:1" x14ac:dyDescent="0.3">
      <c r="A522" s="7">
        <v>90</v>
      </c>
    </row>
    <row r="523" spans="1:1" x14ac:dyDescent="0.3">
      <c r="A523" s="7">
        <v>160</v>
      </c>
    </row>
    <row r="524" spans="1:1" x14ac:dyDescent="0.3">
      <c r="A524" s="7">
        <v>136</v>
      </c>
    </row>
    <row r="525" spans="1:1" x14ac:dyDescent="0.3">
      <c r="A525" s="7">
        <v>60</v>
      </c>
    </row>
    <row r="526" spans="1:1" x14ac:dyDescent="0.3">
      <c r="A526" s="7">
        <v>300</v>
      </c>
    </row>
    <row r="527" spans="1:1" x14ac:dyDescent="0.3">
      <c r="A527" s="7">
        <v>100</v>
      </c>
    </row>
    <row r="528" spans="1:1" x14ac:dyDescent="0.3">
      <c r="A528" s="7">
        <v>274</v>
      </c>
    </row>
    <row r="529" spans="1:1" x14ac:dyDescent="0.3">
      <c r="A529" s="7">
        <v>378</v>
      </c>
    </row>
    <row r="530" spans="1:1" x14ac:dyDescent="0.3">
      <c r="A530" s="7">
        <v>199</v>
      </c>
    </row>
    <row r="531" spans="1:1" x14ac:dyDescent="0.3">
      <c r="A531" s="7">
        <v>372</v>
      </c>
    </row>
    <row r="532" spans="1:1" x14ac:dyDescent="0.3">
      <c r="A532" s="7">
        <v>100</v>
      </c>
    </row>
    <row r="533" spans="1:1" x14ac:dyDescent="0.3">
      <c r="A533" s="7">
        <v>98</v>
      </c>
    </row>
    <row r="534" spans="1:1" x14ac:dyDescent="0.3">
      <c r="A534" s="7">
        <v>188</v>
      </c>
    </row>
    <row r="535" spans="1:1" x14ac:dyDescent="0.3">
      <c r="A535" s="7">
        <v>340</v>
      </c>
    </row>
    <row r="536" spans="1:1" x14ac:dyDescent="0.3">
      <c r="A536" s="7">
        <v>50</v>
      </c>
    </row>
    <row r="537" spans="1:1" x14ac:dyDescent="0.3">
      <c r="A537" s="7">
        <v>311</v>
      </c>
    </row>
    <row r="538" spans="1:1" x14ac:dyDescent="0.3">
      <c r="A538" s="7">
        <v>126</v>
      </c>
    </row>
    <row r="539" spans="1:1" x14ac:dyDescent="0.3">
      <c r="A539" s="7">
        <v>126</v>
      </c>
    </row>
    <row r="540" spans="1:1" x14ac:dyDescent="0.3">
      <c r="A540" s="7">
        <v>129</v>
      </c>
    </row>
    <row r="541" spans="1:1" x14ac:dyDescent="0.3">
      <c r="A541" s="7">
        <v>90</v>
      </c>
    </row>
    <row r="542" spans="1:1" x14ac:dyDescent="0.3">
      <c r="A542" s="7">
        <v>79</v>
      </c>
    </row>
    <row r="543" spans="1:1" x14ac:dyDescent="0.3">
      <c r="A543" s="7">
        <v>240</v>
      </c>
    </row>
    <row r="544" spans="1:1" x14ac:dyDescent="0.3">
      <c r="A544" s="7">
        <v>366</v>
      </c>
    </row>
    <row r="545" spans="1:1" x14ac:dyDescent="0.3">
      <c r="A545" s="7">
        <v>332</v>
      </c>
    </row>
    <row r="546" spans="1:1" x14ac:dyDescent="0.3">
      <c r="A546" s="7">
        <v>262</v>
      </c>
    </row>
    <row r="547" spans="1:1" x14ac:dyDescent="0.3">
      <c r="A547" s="7">
        <v>145</v>
      </c>
    </row>
    <row r="548" spans="1:1" x14ac:dyDescent="0.3">
      <c r="A548" s="7">
        <v>149</v>
      </c>
    </row>
    <row r="549" spans="1:1" x14ac:dyDescent="0.3">
      <c r="A549" s="7">
        <v>133</v>
      </c>
    </row>
    <row r="550" spans="1:1" x14ac:dyDescent="0.3">
      <c r="A550" s="7">
        <v>50</v>
      </c>
    </row>
    <row r="551" spans="1:1" x14ac:dyDescent="0.3">
      <c r="A551" s="7">
        <v>225</v>
      </c>
    </row>
    <row r="552" spans="1:1" x14ac:dyDescent="0.3">
      <c r="A552" s="7">
        <v>141</v>
      </c>
    </row>
    <row r="553" spans="1:1" x14ac:dyDescent="0.3">
      <c r="A553" s="7">
        <v>86</v>
      </c>
    </row>
    <row r="554" spans="1:1" x14ac:dyDescent="0.3">
      <c r="A554" s="7">
        <v>92</v>
      </c>
    </row>
    <row r="555" spans="1:1" x14ac:dyDescent="0.3">
      <c r="A555" s="7">
        <v>90</v>
      </c>
    </row>
    <row r="556" spans="1:1" x14ac:dyDescent="0.3">
      <c r="A556" s="7">
        <v>207</v>
      </c>
    </row>
    <row r="557" spans="1:1" x14ac:dyDescent="0.3">
      <c r="A557" s="7">
        <v>263</v>
      </c>
    </row>
    <row r="558" spans="1:1" x14ac:dyDescent="0.3">
      <c r="A558" s="7">
        <v>170</v>
      </c>
    </row>
    <row r="559" spans="1:1" x14ac:dyDescent="0.3">
      <c r="A559" s="7">
        <v>215</v>
      </c>
    </row>
    <row r="560" spans="1:1" x14ac:dyDescent="0.3">
      <c r="A560" s="7">
        <v>100</v>
      </c>
    </row>
    <row r="561" spans="1:1" x14ac:dyDescent="0.3">
      <c r="A561" s="7">
        <v>134</v>
      </c>
    </row>
    <row r="562" spans="1:1" x14ac:dyDescent="0.3">
      <c r="A562" s="7">
        <v>60</v>
      </c>
    </row>
    <row r="563" spans="1:1" x14ac:dyDescent="0.3">
      <c r="A563" s="7">
        <v>110</v>
      </c>
    </row>
    <row r="564" spans="1:1" x14ac:dyDescent="0.3">
      <c r="A564" s="7">
        <v>159</v>
      </c>
    </row>
    <row r="565" spans="1:1" x14ac:dyDescent="0.3">
      <c r="A565" s="7">
        <v>114</v>
      </c>
    </row>
    <row r="566" spans="1:1" x14ac:dyDescent="0.3">
      <c r="A566" s="7">
        <v>159</v>
      </c>
    </row>
    <row r="567" spans="1:1" x14ac:dyDescent="0.3">
      <c r="A567" s="7">
        <v>90</v>
      </c>
    </row>
    <row r="568" spans="1:1" x14ac:dyDescent="0.3">
      <c r="A568" s="7">
        <v>71</v>
      </c>
    </row>
    <row r="569" spans="1:1" x14ac:dyDescent="0.3">
      <c r="A569" s="7">
        <v>68</v>
      </c>
    </row>
    <row r="570" spans="1:1" x14ac:dyDescent="0.3">
      <c r="A570" s="7">
        <v>102</v>
      </c>
    </row>
    <row r="571" spans="1:1" x14ac:dyDescent="0.3">
      <c r="A571" s="7">
        <v>59</v>
      </c>
    </row>
    <row r="572" spans="1:1" x14ac:dyDescent="0.3">
      <c r="A572" s="7">
        <v>207</v>
      </c>
    </row>
    <row r="573" spans="1:1" x14ac:dyDescent="0.3">
      <c r="A573" s="7">
        <v>83</v>
      </c>
    </row>
    <row r="574" spans="1:1" x14ac:dyDescent="0.3">
      <c r="A574" s="7">
        <v>184</v>
      </c>
    </row>
    <row r="575" spans="1:1" x14ac:dyDescent="0.3">
      <c r="A575" s="7">
        <v>112</v>
      </c>
    </row>
    <row r="576" spans="1:1" x14ac:dyDescent="0.3">
      <c r="A576" s="7">
        <v>98</v>
      </c>
    </row>
    <row r="577" spans="1:1" x14ac:dyDescent="0.3">
      <c r="A577" s="7">
        <v>207</v>
      </c>
    </row>
    <row r="578" spans="1:1" x14ac:dyDescent="0.3">
      <c r="A578" s="7">
        <v>155</v>
      </c>
    </row>
    <row r="579" spans="1:1" x14ac:dyDescent="0.3">
      <c r="A579" s="7">
        <v>170</v>
      </c>
    </row>
    <row r="580" spans="1:1" x14ac:dyDescent="0.3">
      <c r="A580" s="7">
        <v>240</v>
      </c>
    </row>
    <row r="581" spans="1:1" x14ac:dyDescent="0.3">
      <c r="A581" s="7">
        <v>75</v>
      </c>
    </row>
    <row r="582" spans="1:1" x14ac:dyDescent="0.3">
      <c r="A582" s="7">
        <v>420</v>
      </c>
    </row>
    <row r="583" spans="1:1" x14ac:dyDescent="0.3">
      <c r="A583" s="7">
        <v>173</v>
      </c>
    </row>
    <row r="584" spans="1:1" x14ac:dyDescent="0.3">
      <c r="A584" s="7">
        <v>85</v>
      </c>
    </row>
    <row r="585" spans="1:1" x14ac:dyDescent="0.3">
      <c r="A585" s="7">
        <v>403</v>
      </c>
    </row>
    <row r="586" spans="1:1" x14ac:dyDescent="0.3">
      <c r="A586" s="7">
        <v>87</v>
      </c>
    </row>
    <row r="587" spans="1:1" x14ac:dyDescent="0.3">
      <c r="A587" s="7">
        <v>210</v>
      </c>
    </row>
    <row r="588" spans="1:1" x14ac:dyDescent="0.3">
      <c r="A588" s="7">
        <v>149</v>
      </c>
    </row>
    <row r="589" spans="1:1" x14ac:dyDescent="0.3">
      <c r="A589" s="7">
        <v>78</v>
      </c>
    </row>
    <row r="590" spans="1:1" x14ac:dyDescent="0.3">
      <c r="A590" s="7">
        <v>305</v>
      </c>
    </row>
    <row r="591" spans="1:1" x14ac:dyDescent="0.3">
      <c r="A591" s="7">
        <v>55</v>
      </c>
    </row>
    <row r="592" spans="1:1" x14ac:dyDescent="0.3">
      <c r="A592" s="7">
        <v>60</v>
      </c>
    </row>
    <row r="593" spans="1:1" x14ac:dyDescent="0.3">
      <c r="A593" s="7">
        <v>57</v>
      </c>
    </row>
    <row r="594" spans="1:1" x14ac:dyDescent="0.3">
      <c r="A594" s="7">
        <v>58</v>
      </c>
    </row>
    <row r="595" spans="1:1" x14ac:dyDescent="0.3">
      <c r="A595" s="7">
        <v>105</v>
      </c>
    </row>
    <row r="596" spans="1:1" x14ac:dyDescent="0.3">
      <c r="A596" s="7">
        <v>288</v>
      </c>
    </row>
    <row r="597" spans="1:1" x14ac:dyDescent="0.3">
      <c r="A597" s="7">
        <v>269</v>
      </c>
    </row>
    <row r="598" spans="1:1" x14ac:dyDescent="0.3">
      <c r="A598" s="7">
        <v>120</v>
      </c>
    </row>
    <row r="599" spans="1:1" x14ac:dyDescent="0.3">
      <c r="A599" s="7">
        <v>243</v>
      </c>
    </row>
    <row r="600" spans="1:1" x14ac:dyDescent="0.3">
      <c r="A600" s="7">
        <v>132</v>
      </c>
    </row>
    <row r="601" spans="1:1" x14ac:dyDescent="0.3">
      <c r="A601" s="7">
        <v>188</v>
      </c>
    </row>
    <row r="602" spans="1:1" x14ac:dyDescent="0.3">
      <c r="A602" s="7">
        <v>99</v>
      </c>
    </row>
    <row r="603" spans="1:1" x14ac:dyDescent="0.3">
      <c r="A603" s="7">
        <v>55</v>
      </c>
    </row>
    <row r="604" spans="1:1" x14ac:dyDescent="0.3">
      <c r="A604" s="7">
        <v>55</v>
      </c>
    </row>
    <row r="605" spans="1:1" x14ac:dyDescent="0.3">
      <c r="A605" s="7">
        <v>115</v>
      </c>
    </row>
    <row r="606" spans="1:1" x14ac:dyDescent="0.3">
      <c r="A606" s="7">
        <v>150</v>
      </c>
    </row>
    <row r="607" spans="1:1" x14ac:dyDescent="0.3">
      <c r="A607" s="7">
        <v>194</v>
      </c>
    </row>
    <row r="608" spans="1:1" x14ac:dyDescent="0.3">
      <c r="A608" s="7">
        <v>101</v>
      </c>
    </row>
    <row r="609" spans="1:1" x14ac:dyDescent="0.3">
      <c r="A609" s="7">
        <v>260</v>
      </c>
    </row>
    <row r="610" spans="1:1" x14ac:dyDescent="0.3">
      <c r="A610" s="7">
        <v>233</v>
      </c>
    </row>
    <row r="611" spans="1:1" x14ac:dyDescent="0.3">
      <c r="A611" s="7">
        <v>88</v>
      </c>
    </row>
    <row r="612" spans="1:1" x14ac:dyDescent="0.3">
      <c r="A612" s="7">
        <v>140</v>
      </c>
    </row>
    <row r="613" spans="1:1" x14ac:dyDescent="0.3">
      <c r="A613" s="7">
        <v>116</v>
      </c>
    </row>
    <row r="614" spans="1:1" x14ac:dyDescent="0.3">
      <c r="A614" s="7">
        <v>69</v>
      </c>
    </row>
    <row r="615" spans="1:1" x14ac:dyDescent="0.3">
      <c r="A615" s="7">
        <v>99</v>
      </c>
    </row>
    <row r="616" spans="1:1" x14ac:dyDescent="0.3">
      <c r="A616" s="7">
        <v>71</v>
      </c>
    </row>
    <row r="617" spans="1:1" x14ac:dyDescent="0.3">
      <c r="A617" s="7">
        <v>143</v>
      </c>
    </row>
    <row r="618" spans="1:1" x14ac:dyDescent="0.3">
      <c r="A618" s="7">
        <v>84</v>
      </c>
    </row>
    <row r="619" spans="1:1" x14ac:dyDescent="0.3">
      <c r="A619" s="7">
        <v>141</v>
      </c>
    </row>
    <row r="620" spans="1:1" x14ac:dyDescent="0.3">
      <c r="A620" s="7">
        <v>106</v>
      </c>
    </row>
    <row r="621" spans="1:1" x14ac:dyDescent="0.3">
      <c r="A621" s="7">
        <v>323</v>
      </c>
    </row>
    <row r="622" spans="1:1" x14ac:dyDescent="0.3">
      <c r="A622" s="7">
        <v>100</v>
      </c>
    </row>
    <row r="623" spans="1:1" x14ac:dyDescent="0.3">
      <c r="A623" s="7">
        <v>342</v>
      </c>
    </row>
    <row r="624" spans="1:1" x14ac:dyDescent="0.3">
      <c r="A624" s="7">
        <v>262</v>
      </c>
    </row>
    <row r="625" spans="1:1" x14ac:dyDescent="0.3">
      <c r="A625" s="7">
        <v>268</v>
      </c>
    </row>
    <row r="626" spans="1:1" x14ac:dyDescent="0.3">
      <c r="A626" s="7">
        <v>61</v>
      </c>
    </row>
    <row r="627" spans="1:1" x14ac:dyDescent="0.3">
      <c r="A627" s="7">
        <v>275</v>
      </c>
    </row>
    <row r="628" spans="1:1" x14ac:dyDescent="0.3">
      <c r="A628" s="7">
        <v>120</v>
      </c>
    </row>
    <row r="629" spans="1:1" x14ac:dyDescent="0.3">
      <c r="A629" s="7">
        <v>58</v>
      </c>
    </row>
    <row r="630" spans="1:1" x14ac:dyDescent="0.3">
      <c r="A630" s="7">
        <v>286</v>
      </c>
    </row>
    <row r="631" spans="1:1" x14ac:dyDescent="0.3">
      <c r="A631" s="7">
        <v>120</v>
      </c>
    </row>
    <row r="632" spans="1:1" x14ac:dyDescent="0.3">
      <c r="A632" s="7">
        <v>222</v>
      </c>
    </row>
    <row r="633" spans="1:1" x14ac:dyDescent="0.3">
      <c r="A633" s="7">
        <v>171</v>
      </c>
    </row>
    <row r="634" spans="1:1" x14ac:dyDescent="0.3">
      <c r="A634" s="7">
        <v>97</v>
      </c>
    </row>
    <row r="635" spans="1:1" x14ac:dyDescent="0.3">
      <c r="A635" s="7">
        <v>159</v>
      </c>
    </row>
    <row r="636" spans="1:1" x14ac:dyDescent="0.3">
      <c r="A636" s="7">
        <v>79</v>
      </c>
    </row>
    <row r="637" spans="1:1" x14ac:dyDescent="0.3">
      <c r="A637" s="7">
        <v>50</v>
      </c>
    </row>
    <row r="638" spans="1:1" x14ac:dyDescent="0.3">
      <c r="A638" s="7">
        <v>78</v>
      </c>
    </row>
    <row r="639" spans="1:1" x14ac:dyDescent="0.3">
      <c r="A639" s="7">
        <v>94</v>
      </c>
    </row>
    <row r="640" spans="1:1" x14ac:dyDescent="0.3">
      <c r="A640" s="7">
        <v>300</v>
      </c>
    </row>
    <row r="641" spans="1:1" x14ac:dyDescent="0.3">
      <c r="A641" s="7">
        <v>90</v>
      </c>
    </row>
    <row r="642" spans="1:1" x14ac:dyDescent="0.3">
      <c r="A642" s="7">
        <v>55</v>
      </c>
    </row>
    <row r="643" spans="1:1" x14ac:dyDescent="0.3">
      <c r="A643" s="7">
        <v>89</v>
      </c>
    </row>
    <row r="644" spans="1:1" x14ac:dyDescent="0.3">
      <c r="A644" s="7">
        <v>65</v>
      </c>
    </row>
    <row r="645" spans="1:1" x14ac:dyDescent="0.3">
      <c r="A645" s="7">
        <v>58</v>
      </c>
    </row>
    <row r="646" spans="1:1" x14ac:dyDescent="0.3">
      <c r="A646" s="7">
        <v>98</v>
      </c>
    </row>
    <row r="647" spans="1:1" x14ac:dyDescent="0.3">
      <c r="A647" s="7">
        <v>90</v>
      </c>
    </row>
    <row r="648" spans="1:1" x14ac:dyDescent="0.3">
      <c r="A648" s="7">
        <v>180</v>
      </c>
    </row>
    <row r="649" spans="1:1" x14ac:dyDescent="0.3">
      <c r="A649" s="7">
        <v>276</v>
      </c>
    </row>
    <row r="650" spans="1:1" x14ac:dyDescent="0.3">
      <c r="A650" s="7">
        <v>52</v>
      </c>
    </row>
    <row r="651" spans="1:1" x14ac:dyDescent="0.3">
      <c r="A651" s="7">
        <v>84</v>
      </c>
    </row>
    <row r="652" spans="1:1" x14ac:dyDescent="0.3">
      <c r="A652" s="7">
        <v>132</v>
      </c>
    </row>
    <row r="653" spans="1:1" x14ac:dyDescent="0.3">
      <c r="A653" s="7">
        <v>215</v>
      </c>
    </row>
    <row r="654" spans="1:1" x14ac:dyDescent="0.3">
      <c r="A654" s="7">
        <v>96</v>
      </c>
    </row>
    <row r="655" spans="1:1" x14ac:dyDescent="0.3">
      <c r="A655" s="7">
        <v>405</v>
      </c>
    </row>
    <row r="656" spans="1:1" x14ac:dyDescent="0.3">
      <c r="A656" s="7">
        <v>143</v>
      </c>
    </row>
    <row r="657" spans="1:1" x14ac:dyDescent="0.3">
      <c r="A657" s="7">
        <v>120</v>
      </c>
    </row>
    <row r="658" spans="1:1" x14ac:dyDescent="0.3">
      <c r="A658" s="7">
        <v>89</v>
      </c>
    </row>
    <row r="659" spans="1:1" x14ac:dyDescent="0.3">
      <c r="A659" s="7">
        <v>280</v>
      </c>
    </row>
    <row r="660" spans="1:1" x14ac:dyDescent="0.3">
      <c r="A660" s="7">
        <v>50</v>
      </c>
    </row>
    <row r="661" spans="1:1" x14ac:dyDescent="0.3">
      <c r="A661" s="7">
        <v>130</v>
      </c>
    </row>
    <row r="662" spans="1:1" x14ac:dyDescent="0.3">
      <c r="A662" s="7">
        <v>204</v>
      </c>
    </row>
    <row r="663" spans="1:1" x14ac:dyDescent="0.3">
      <c r="A663" s="7">
        <v>291</v>
      </c>
    </row>
    <row r="664" spans="1:1" x14ac:dyDescent="0.3">
      <c r="A664" s="7">
        <v>110</v>
      </c>
    </row>
    <row r="665" spans="1:1" x14ac:dyDescent="0.3">
      <c r="A665" s="7">
        <v>221</v>
      </c>
    </row>
    <row r="666" spans="1:1" x14ac:dyDescent="0.3">
      <c r="A666" s="7">
        <v>169</v>
      </c>
    </row>
    <row r="667" spans="1:1" x14ac:dyDescent="0.3">
      <c r="A667" s="7">
        <v>132</v>
      </c>
    </row>
    <row r="668" spans="1:1" x14ac:dyDescent="0.3">
      <c r="A668" s="7">
        <v>100</v>
      </c>
    </row>
    <row r="669" spans="1:1" x14ac:dyDescent="0.3">
      <c r="A669" s="7">
        <v>55</v>
      </c>
    </row>
    <row r="670" spans="1:1" x14ac:dyDescent="0.3">
      <c r="A670" s="7">
        <v>149</v>
      </c>
    </row>
    <row r="671" spans="1:1" x14ac:dyDescent="0.3">
      <c r="A671" s="7">
        <v>126</v>
      </c>
    </row>
    <row r="672" spans="1:1" x14ac:dyDescent="0.3">
      <c r="A672" s="7">
        <v>80</v>
      </c>
    </row>
    <row r="673" spans="1:1" x14ac:dyDescent="0.3">
      <c r="A673" s="7">
        <v>70</v>
      </c>
    </row>
    <row r="674" spans="1:1" x14ac:dyDescent="0.3">
      <c r="A674" s="7">
        <v>158</v>
      </c>
    </row>
    <row r="675" spans="1:1" x14ac:dyDescent="0.3">
      <c r="A675" s="7">
        <v>71</v>
      </c>
    </row>
    <row r="676" spans="1:1" x14ac:dyDescent="0.3">
      <c r="A676" s="7">
        <v>120</v>
      </c>
    </row>
    <row r="677" spans="1:1" x14ac:dyDescent="0.3">
      <c r="A677" s="7">
        <v>86</v>
      </c>
    </row>
    <row r="678" spans="1:1" x14ac:dyDescent="0.3">
      <c r="A678" s="7">
        <v>130</v>
      </c>
    </row>
    <row r="679" spans="1:1" x14ac:dyDescent="0.3">
      <c r="A679" s="7">
        <v>57</v>
      </c>
    </row>
    <row r="680" spans="1:1" x14ac:dyDescent="0.3">
      <c r="A680" s="7">
        <v>155</v>
      </c>
    </row>
    <row r="681" spans="1:1" x14ac:dyDescent="0.3">
      <c r="A681" s="7">
        <v>342</v>
      </c>
    </row>
    <row r="682" spans="1:1" x14ac:dyDescent="0.3">
      <c r="A682" s="7">
        <v>60</v>
      </c>
    </row>
    <row r="683" spans="1:1" x14ac:dyDescent="0.3">
      <c r="A683" s="7">
        <v>137</v>
      </c>
    </row>
    <row r="684" spans="1:1" x14ac:dyDescent="0.3">
      <c r="A684" s="7">
        <v>229</v>
      </c>
    </row>
    <row r="685" spans="1:1" x14ac:dyDescent="0.3">
      <c r="A685" s="7">
        <v>403</v>
      </c>
    </row>
    <row r="686" spans="1:1" x14ac:dyDescent="0.3">
      <c r="A686" s="7">
        <v>68</v>
      </c>
    </row>
    <row r="687" spans="1:1" x14ac:dyDescent="0.3">
      <c r="A687" s="7">
        <v>115</v>
      </c>
    </row>
    <row r="688" spans="1:1" x14ac:dyDescent="0.3">
      <c r="A688" s="7">
        <v>130</v>
      </c>
    </row>
    <row r="689" spans="1:1" x14ac:dyDescent="0.3">
      <c r="A689" s="7">
        <v>272</v>
      </c>
    </row>
    <row r="690" spans="1:1" x14ac:dyDescent="0.3">
      <c r="A690" s="7">
        <v>286</v>
      </c>
    </row>
    <row r="691" spans="1:1" x14ac:dyDescent="0.3">
      <c r="A691" s="7">
        <v>238</v>
      </c>
    </row>
    <row r="692" spans="1:1" x14ac:dyDescent="0.3">
      <c r="A692" s="7">
        <v>272</v>
      </c>
    </row>
    <row r="693" spans="1:1" x14ac:dyDescent="0.3">
      <c r="A693" s="7">
        <v>100</v>
      </c>
    </row>
    <row r="694" spans="1:1" x14ac:dyDescent="0.3">
      <c r="A694" s="7">
        <v>380</v>
      </c>
    </row>
    <row r="695" spans="1:1" x14ac:dyDescent="0.3">
      <c r="A695" s="7">
        <v>92</v>
      </c>
    </row>
    <row r="696" spans="1:1" x14ac:dyDescent="0.3">
      <c r="A696" s="7">
        <v>155</v>
      </c>
    </row>
    <row r="697" spans="1:1" x14ac:dyDescent="0.3">
      <c r="A697" s="7">
        <v>84</v>
      </c>
    </row>
    <row r="698" spans="1:1" x14ac:dyDescent="0.3">
      <c r="A698" s="7">
        <v>245</v>
      </c>
    </row>
    <row r="699" spans="1:1" x14ac:dyDescent="0.3">
      <c r="A699" s="7">
        <v>150</v>
      </c>
    </row>
    <row r="700" spans="1:1" x14ac:dyDescent="0.3">
      <c r="A700" s="7">
        <v>60</v>
      </c>
    </row>
    <row r="701" spans="1:1" x14ac:dyDescent="0.3">
      <c r="A701" s="7">
        <v>148</v>
      </c>
    </row>
    <row r="702" spans="1:1" x14ac:dyDescent="0.3">
      <c r="A702" s="7">
        <v>363</v>
      </c>
    </row>
    <row r="703" spans="1:1" x14ac:dyDescent="0.3">
      <c r="A703" s="7">
        <v>160</v>
      </c>
    </row>
    <row r="704" spans="1:1" x14ac:dyDescent="0.3">
      <c r="A704" s="7">
        <v>57</v>
      </c>
    </row>
    <row r="705" spans="1:1" x14ac:dyDescent="0.3">
      <c r="A705" s="7">
        <v>80</v>
      </c>
    </row>
    <row r="706" spans="1:1" x14ac:dyDescent="0.3">
      <c r="A706" s="7">
        <v>125</v>
      </c>
    </row>
    <row r="707" spans="1:1" x14ac:dyDescent="0.3">
      <c r="A707" s="7">
        <v>79</v>
      </c>
    </row>
    <row r="708" spans="1:1" x14ac:dyDescent="0.3">
      <c r="A708" s="7">
        <v>67</v>
      </c>
    </row>
    <row r="709" spans="1:1" x14ac:dyDescent="0.3">
      <c r="A709" s="7">
        <v>135</v>
      </c>
    </row>
    <row r="710" spans="1:1" x14ac:dyDescent="0.3">
      <c r="A710" s="7">
        <v>119</v>
      </c>
    </row>
    <row r="711" spans="1:1" x14ac:dyDescent="0.3">
      <c r="A711" s="7">
        <v>378</v>
      </c>
    </row>
    <row r="712" spans="1:1" x14ac:dyDescent="0.3">
      <c r="A712" s="7">
        <v>322</v>
      </c>
    </row>
    <row r="713" spans="1:1" x14ac:dyDescent="0.3">
      <c r="A713" s="7">
        <v>268</v>
      </c>
    </row>
    <row r="714" spans="1:1" x14ac:dyDescent="0.3">
      <c r="A714" s="7">
        <v>85</v>
      </c>
    </row>
    <row r="715" spans="1:1" x14ac:dyDescent="0.3">
      <c r="A715" s="7">
        <v>115</v>
      </c>
    </row>
    <row r="716" spans="1:1" x14ac:dyDescent="0.3">
      <c r="A716" s="7">
        <v>51</v>
      </c>
    </row>
    <row r="717" spans="1:1" x14ac:dyDescent="0.3">
      <c r="A717" s="7">
        <v>127</v>
      </c>
    </row>
    <row r="718" spans="1:1" x14ac:dyDescent="0.3">
      <c r="A718" s="7">
        <v>175</v>
      </c>
    </row>
    <row r="719" spans="1:1" x14ac:dyDescent="0.3">
      <c r="A719" s="7">
        <v>227</v>
      </c>
    </row>
    <row r="720" spans="1:1" x14ac:dyDescent="0.3">
      <c r="A720" s="7">
        <v>222</v>
      </c>
    </row>
    <row r="721" spans="1:1" x14ac:dyDescent="0.3">
      <c r="A721" s="7">
        <v>54</v>
      </c>
    </row>
    <row r="722" spans="1:1" x14ac:dyDescent="0.3">
      <c r="A722" s="7">
        <v>85</v>
      </c>
    </row>
    <row r="723" spans="1:1" x14ac:dyDescent="0.3">
      <c r="A723" s="7">
        <v>110</v>
      </c>
    </row>
    <row r="724" spans="1:1" x14ac:dyDescent="0.3">
      <c r="A724" s="7">
        <v>192</v>
      </c>
    </row>
    <row r="725" spans="1:1" x14ac:dyDescent="0.3">
      <c r="A725" s="7">
        <v>118</v>
      </c>
    </row>
    <row r="726" spans="1:1" x14ac:dyDescent="0.3">
      <c r="A726" s="7">
        <v>264</v>
      </c>
    </row>
    <row r="727" spans="1:1" x14ac:dyDescent="0.3">
      <c r="A727" s="7">
        <v>53</v>
      </c>
    </row>
    <row r="728" spans="1:1" x14ac:dyDescent="0.3">
      <c r="A728" s="7">
        <v>412</v>
      </c>
    </row>
    <row r="729" spans="1:1" x14ac:dyDescent="0.3">
      <c r="A729" s="7">
        <v>150</v>
      </c>
    </row>
    <row r="730" spans="1:1" x14ac:dyDescent="0.3">
      <c r="A730" s="7">
        <v>99</v>
      </c>
    </row>
    <row r="731" spans="1:1" x14ac:dyDescent="0.3">
      <c r="A731" s="7">
        <v>131</v>
      </c>
    </row>
    <row r="732" spans="1:1" x14ac:dyDescent="0.3">
      <c r="A732" s="7">
        <v>296</v>
      </c>
    </row>
    <row r="733" spans="1:1" x14ac:dyDescent="0.3">
      <c r="A733" s="7">
        <v>109</v>
      </c>
    </row>
    <row r="734" spans="1:1" x14ac:dyDescent="0.3">
      <c r="A734" s="7">
        <v>175</v>
      </c>
    </row>
    <row r="735" spans="1:1" x14ac:dyDescent="0.3">
      <c r="A735" s="7">
        <v>240</v>
      </c>
    </row>
    <row r="736" spans="1:1" x14ac:dyDescent="0.3">
      <c r="A736" s="7">
        <v>77</v>
      </c>
    </row>
    <row r="737" spans="1:1" x14ac:dyDescent="0.3">
      <c r="A737" s="7">
        <v>81</v>
      </c>
    </row>
    <row r="738" spans="1:1" x14ac:dyDescent="0.3">
      <c r="A738" s="7">
        <v>90</v>
      </c>
    </row>
    <row r="739" spans="1:1" x14ac:dyDescent="0.3">
      <c r="A739" s="7">
        <v>146</v>
      </c>
    </row>
    <row r="740" spans="1:1" x14ac:dyDescent="0.3">
      <c r="A740" s="7">
        <v>150</v>
      </c>
    </row>
    <row r="741" spans="1:1" x14ac:dyDescent="0.3">
      <c r="A741" s="7">
        <v>200</v>
      </c>
    </row>
    <row r="742" spans="1:1" x14ac:dyDescent="0.3">
      <c r="A742" s="7">
        <v>88</v>
      </c>
    </row>
    <row r="743" spans="1:1" x14ac:dyDescent="0.3">
      <c r="A743" s="7">
        <v>140</v>
      </c>
    </row>
    <row r="744" spans="1:1" x14ac:dyDescent="0.3">
      <c r="A744" s="7">
        <v>112</v>
      </c>
    </row>
    <row r="745" spans="1:1" x14ac:dyDescent="0.3">
      <c r="A745" s="7">
        <v>147</v>
      </c>
    </row>
    <row r="746" spans="1:1" x14ac:dyDescent="0.3">
      <c r="A746" s="7">
        <v>442</v>
      </c>
    </row>
    <row r="747" spans="1:1" x14ac:dyDescent="0.3">
      <c r="A747" s="7">
        <v>288</v>
      </c>
    </row>
    <row r="748" spans="1:1" x14ac:dyDescent="0.3">
      <c r="A748" s="7">
        <v>201</v>
      </c>
    </row>
    <row r="749" spans="1:1" x14ac:dyDescent="0.3">
      <c r="A749" s="7">
        <v>52</v>
      </c>
    </row>
    <row r="750" spans="1:1" x14ac:dyDescent="0.3">
      <c r="A750" s="7">
        <v>90</v>
      </c>
    </row>
    <row r="751" spans="1:1" x14ac:dyDescent="0.3">
      <c r="A751" s="7">
        <v>192</v>
      </c>
    </row>
    <row r="752" spans="1:1" x14ac:dyDescent="0.3">
      <c r="A752" s="7">
        <v>116</v>
      </c>
    </row>
    <row r="753" spans="1:1" x14ac:dyDescent="0.3">
      <c r="A753" s="7">
        <v>127</v>
      </c>
    </row>
    <row r="754" spans="1:1" x14ac:dyDescent="0.3">
      <c r="A754" s="7">
        <v>85</v>
      </c>
    </row>
    <row r="755" spans="1:1" x14ac:dyDescent="0.3">
      <c r="A755" s="7">
        <v>115</v>
      </c>
    </row>
    <row r="756" spans="1:1" x14ac:dyDescent="0.3">
      <c r="A756" s="7">
        <v>350</v>
      </c>
    </row>
    <row r="757" spans="1:1" x14ac:dyDescent="0.3">
      <c r="A757" s="7">
        <v>121</v>
      </c>
    </row>
    <row r="758" spans="1:1" x14ac:dyDescent="0.3">
      <c r="A758" s="7">
        <v>99</v>
      </c>
    </row>
    <row r="759" spans="1:1" x14ac:dyDescent="0.3">
      <c r="A759" s="7">
        <v>280</v>
      </c>
    </row>
    <row r="760" spans="1:1" x14ac:dyDescent="0.3">
      <c r="A760" s="7">
        <v>449</v>
      </c>
    </row>
    <row r="761" spans="1:1" x14ac:dyDescent="0.3">
      <c r="A761" s="7">
        <v>178</v>
      </c>
    </row>
    <row r="762" spans="1:1" x14ac:dyDescent="0.3">
      <c r="A762" s="7">
        <v>150</v>
      </c>
    </row>
    <row r="763" spans="1:1" x14ac:dyDescent="0.3">
      <c r="A763" s="7">
        <v>378</v>
      </c>
    </row>
    <row r="764" spans="1:1" x14ac:dyDescent="0.3">
      <c r="A764" s="7">
        <v>160</v>
      </c>
    </row>
    <row r="765" spans="1:1" x14ac:dyDescent="0.3">
      <c r="A765" s="7">
        <v>247</v>
      </c>
    </row>
    <row r="766" spans="1:1" x14ac:dyDescent="0.3">
      <c r="A766" s="7">
        <v>410</v>
      </c>
    </row>
    <row r="767" spans="1:1" x14ac:dyDescent="0.3">
      <c r="A767" s="7">
        <v>220</v>
      </c>
    </row>
    <row r="768" spans="1:1" x14ac:dyDescent="0.3">
      <c r="A768" s="7">
        <v>295</v>
      </c>
    </row>
    <row r="769" spans="1:1" x14ac:dyDescent="0.3">
      <c r="A769" s="7">
        <v>386</v>
      </c>
    </row>
    <row r="770" spans="1:1" x14ac:dyDescent="0.3">
      <c r="A770" s="7">
        <v>294</v>
      </c>
    </row>
    <row r="771" spans="1:1" x14ac:dyDescent="0.3">
      <c r="A771" s="7">
        <v>110</v>
      </c>
    </row>
    <row r="772" spans="1:1" x14ac:dyDescent="0.3">
      <c r="A772" s="7">
        <v>406</v>
      </c>
    </row>
    <row r="773" spans="1:1" x14ac:dyDescent="0.3">
      <c r="A773" s="7">
        <v>151</v>
      </c>
    </row>
    <row r="774" spans="1:1" x14ac:dyDescent="0.3">
      <c r="A774" s="7">
        <v>127</v>
      </c>
    </row>
    <row r="775" spans="1:1" x14ac:dyDescent="0.3">
      <c r="A775" s="7">
        <v>55</v>
      </c>
    </row>
    <row r="776" spans="1:1" x14ac:dyDescent="0.3">
      <c r="A776" s="7">
        <v>329</v>
      </c>
    </row>
    <row r="777" spans="1:1" x14ac:dyDescent="0.3">
      <c r="A777" s="7">
        <v>62</v>
      </c>
    </row>
    <row r="778" spans="1:1" x14ac:dyDescent="0.3">
      <c r="A778" s="7">
        <v>52</v>
      </c>
    </row>
    <row r="779" spans="1:1" x14ac:dyDescent="0.3">
      <c r="A779" s="7">
        <v>74</v>
      </c>
    </row>
    <row r="780" spans="1:1" x14ac:dyDescent="0.3">
      <c r="A780" s="7">
        <v>134</v>
      </c>
    </row>
    <row r="781" spans="1:1" x14ac:dyDescent="0.3">
      <c r="A781" s="7">
        <v>261</v>
      </c>
    </row>
    <row r="782" spans="1:1" x14ac:dyDescent="0.3">
      <c r="A782" s="7">
        <v>218</v>
      </c>
    </row>
    <row r="783" spans="1:1" x14ac:dyDescent="0.3">
      <c r="A783" s="7">
        <v>199</v>
      </c>
    </row>
    <row r="784" spans="1:1" x14ac:dyDescent="0.3">
      <c r="A784" s="7">
        <v>150</v>
      </c>
    </row>
    <row r="785" spans="1:1" x14ac:dyDescent="0.3">
      <c r="A785" s="7">
        <v>228</v>
      </c>
    </row>
    <row r="786" spans="1:1" x14ac:dyDescent="0.3">
      <c r="A786" s="7">
        <v>118</v>
      </c>
    </row>
    <row r="787" spans="1:1" x14ac:dyDescent="0.3">
      <c r="A787" s="7">
        <v>150</v>
      </c>
    </row>
    <row r="788" spans="1:1" x14ac:dyDescent="0.3">
      <c r="A788" s="7">
        <v>433</v>
      </c>
    </row>
    <row r="789" spans="1:1" x14ac:dyDescent="0.3">
      <c r="A789" s="7">
        <v>140</v>
      </c>
    </row>
    <row r="790" spans="1:1" x14ac:dyDescent="0.3">
      <c r="A790" s="7">
        <v>366</v>
      </c>
    </row>
    <row r="791" spans="1:1" x14ac:dyDescent="0.3">
      <c r="A791" s="7">
        <v>179</v>
      </c>
    </row>
    <row r="792" spans="1:1" x14ac:dyDescent="0.3">
      <c r="A792" s="7">
        <v>328</v>
      </c>
    </row>
    <row r="793" spans="1:1" x14ac:dyDescent="0.3">
      <c r="A793" s="7">
        <v>165</v>
      </c>
    </row>
    <row r="794" spans="1:1" x14ac:dyDescent="0.3">
      <c r="A794" s="7">
        <v>350</v>
      </c>
    </row>
    <row r="795" spans="1:1" x14ac:dyDescent="0.3">
      <c r="A795" s="7">
        <v>157</v>
      </c>
    </row>
    <row r="796" spans="1:1" x14ac:dyDescent="0.3">
      <c r="A796" s="7">
        <v>190</v>
      </c>
    </row>
    <row r="797" spans="1:1" x14ac:dyDescent="0.3">
      <c r="A797" s="7">
        <v>297</v>
      </c>
    </row>
    <row r="798" spans="1:1" x14ac:dyDescent="0.3">
      <c r="A798" s="7">
        <v>302</v>
      </c>
    </row>
    <row r="799" spans="1:1" x14ac:dyDescent="0.3">
      <c r="A799" s="7">
        <v>119</v>
      </c>
    </row>
    <row r="800" spans="1:1" x14ac:dyDescent="0.3">
      <c r="A800" s="7">
        <v>74</v>
      </c>
    </row>
    <row r="801" spans="1:1" x14ac:dyDescent="0.3">
      <c r="A801" s="7">
        <v>67</v>
      </c>
    </row>
    <row r="802" spans="1:1" x14ac:dyDescent="0.3">
      <c r="A802" s="7">
        <v>389</v>
      </c>
    </row>
    <row r="803" spans="1:1" x14ac:dyDescent="0.3">
      <c r="A803" s="7">
        <v>267</v>
      </c>
    </row>
    <row r="804" spans="1:1" x14ac:dyDescent="0.3">
      <c r="A804" s="7">
        <v>67</v>
      </c>
    </row>
    <row r="805" spans="1:1" x14ac:dyDescent="0.3">
      <c r="A805" s="7">
        <v>86</v>
      </c>
    </row>
    <row r="806" spans="1:1" x14ac:dyDescent="0.3">
      <c r="A806" s="7">
        <v>118</v>
      </c>
    </row>
    <row r="807" spans="1:1" x14ac:dyDescent="0.3">
      <c r="A807" s="7">
        <v>203</v>
      </c>
    </row>
    <row r="808" spans="1:1" x14ac:dyDescent="0.3">
      <c r="A808" s="7">
        <v>120</v>
      </c>
    </row>
    <row r="809" spans="1:1" x14ac:dyDescent="0.3">
      <c r="A809" s="7">
        <v>191</v>
      </c>
    </row>
    <row r="810" spans="1:1" x14ac:dyDescent="0.3">
      <c r="A810" s="7">
        <v>99</v>
      </c>
    </row>
    <row r="811" spans="1:1" x14ac:dyDescent="0.3">
      <c r="A811" s="7">
        <v>345</v>
      </c>
    </row>
    <row r="812" spans="1:1" x14ac:dyDescent="0.3">
      <c r="A812" s="7">
        <v>279</v>
      </c>
    </row>
    <row r="813" spans="1:1" x14ac:dyDescent="0.3">
      <c r="A813" s="7">
        <v>131</v>
      </c>
    </row>
    <row r="814" spans="1:1" x14ac:dyDescent="0.3">
      <c r="A814" s="7">
        <v>120</v>
      </c>
    </row>
    <row r="815" spans="1:1" x14ac:dyDescent="0.3">
      <c r="A815" s="7">
        <v>137</v>
      </c>
    </row>
    <row r="816" spans="1:1" x14ac:dyDescent="0.3">
      <c r="A816" s="7">
        <v>113</v>
      </c>
    </row>
    <row r="817" spans="1:1" x14ac:dyDescent="0.3">
      <c r="A817" s="7">
        <v>73</v>
      </c>
    </row>
    <row r="818" spans="1:1" x14ac:dyDescent="0.3">
      <c r="A818" s="7">
        <v>85</v>
      </c>
    </row>
    <row r="819" spans="1:1" x14ac:dyDescent="0.3">
      <c r="A819" s="7">
        <v>430</v>
      </c>
    </row>
    <row r="820" spans="1:1" x14ac:dyDescent="0.3">
      <c r="A820" s="7">
        <v>170</v>
      </c>
    </row>
    <row r="821" spans="1:1" x14ac:dyDescent="0.3">
      <c r="A821" s="7">
        <v>244</v>
      </c>
    </row>
    <row r="822" spans="1:1" x14ac:dyDescent="0.3">
      <c r="A822" s="7">
        <v>78</v>
      </c>
    </row>
    <row r="823" spans="1:1" x14ac:dyDescent="0.3">
      <c r="A823" s="7">
        <v>358</v>
      </c>
    </row>
    <row r="824" spans="1:1" x14ac:dyDescent="0.3">
      <c r="A824" s="7">
        <v>385</v>
      </c>
    </row>
    <row r="825" spans="1:1" x14ac:dyDescent="0.3">
      <c r="A825" s="7">
        <v>249</v>
      </c>
    </row>
    <row r="826" spans="1:1" x14ac:dyDescent="0.3">
      <c r="A826" s="7">
        <v>290</v>
      </c>
    </row>
    <row r="827" spans="1:1" x14ac:dyDescent="0.3">
      <c r="A827" s="7">
        <v>90</v>
      </c>
    </row>
    <row r="828" spans="1:1" x14ac:dyDescent="0.3">
      <c r="A828" s="7">
        <v>181</v>
      </c>
    </row>
    <row r="829" spans="1:1" x14ac:dyDescent="0.3">
      <c r="A829" s="7">
        <v>76</v>
      </c>
    </row>
    <row r="830" spans="1:1" x14ac:dyDescent="0.3">
      <c r="A830" s="7">
        <v>316</v>
      </c>
    </row>
    <row r="831" spans="1:1" x14ac:dyDescent="0.3">
      <c r="A831" s="7">
        <v>355</v>
      </c>
    </row>
    <row r="832" spans="1:1" x14ac:dyDescent="0.3">
      <c r="A832" s="7">
        <v>203</v>
      </c>
    </row>
    <row r="833" spans="1:1" x14ac:dyDescent="0.3">
      <c r="A833" s="7">
        <v>154</v>
      </c>
    </row>
    <row r="834" spans="1:1" x14ac:dyDescent="0.3">
      <c r="A834" s="7">
        <v>69</v>
      </c>
    </row>
    <row r="835" spans="1:1" x14ac:dyDescent="0.3">
      <c r="A835" s="7">
        <v>74</v>
      </c>
    </row>
    <row r="836" spans="1:1" x14ac:dyDescent="0.3">
      <c r="A836" s="7">
        <v>325</v>
      </c>
    </row>
    <row r="837" spans="1:1" x14ac:dyDescent="0.3">
      <c r="A837" s="7">
        <v>231</v>
      </c>
    </row>
    <row r="838" spans="1:1" x14ac:dyDescent="0.3">
      <c r="A838" s="7">
        <v>145</v>
      </c>
    </row>
    <row r="839" spans="1:1" x14ac:dyDescent="0.3">
      <c r="A839" s="7">
        <v>160</v>
      </c>
    </row>
    <row r="840" spans="1:1" x14ac:dyDescent="0.3">
      <c r="A840" s="7">
        <v>293</v>
      </c>
    </row>
    <row r="841" spans="1:1" x14ac:dyDescent="0.3">
      <c r="A841" s="7">
        <v>53</v>
      </c>
    </row>
    <row r="842" spans="1:1" x14ac:dyDescent="0.3">
      <c r="A842" s="7">
        <v>64</v>
      </c>
    </row>
    <row r="843" spans="1:1" x14ac:dyDescent="0.3">
      <c r="A843" s="7">
        <v>250</v>
      </c>
    </row>
    <row r="844" spans="1:1" x14ac:dyDescent="0.3">
      <c r="A844" s="7">
        <v>144</v>
      </c>
    </row>
    <row r="845" spans="1:1" x14ac:dyDescent="0.3">
      <c r="A845" s="7">
        <v>296</v>
      </c>
    </row>
    <row r="846" spans="1:1" x14ac:dyDescent="0.3">
      <c r="A846" s="7">
        <v>232</v>
      </c>
    </row>
    <row r="847" spans="1:1" x14ac:dyDescent="0.3">
      <c r="A847" s="7">
        <v>209</v>
      </c>
    </row>
    <row r="848" spans="1:1" x14ac:dyDescent="0.3">
      <c r="A848" s="7">
        <v>64</v>
      </c>
    </row>
    <row r="849" spans="1:1" x14ac:dyDescent="0.3">
      <c r="A849" s="7">
        <v>132</v>
      </c>
    </row>
    <row r="850" spans="1:1" x14ac:dyDescent="0.3">
      <c r="A850" s="7">
        <v>90</v>
      </c>
    </row>
    <row r="851" spans="1:1" x14ac:dyDescent="0.3">
      <c r="A851" s="7">
        <v>81</v>
      </c>
    </row>
    <row r="852" spans="1:1" x14ac:dyDescent="0.3">
      <c r="A852" s="7">
        <v>57</v>
      </c>
    </row>
    <row r="853" spans="1:1" x14ac:dyDescent="0.3">
      <c r="A853" s="7">
        <v>388</v>
      </c>
    </row>
    <row r="854" spans="1:1" x14ac:dyDescent="0.3">
      <c r="A854" s="7">
        <v>318</v>
      </c>
    </row>
    <row r="855" spans="1:1" x14ac:dyDescent="0.3">
      <c r="A855" s="7">
        <v>74</v>
      </c>
    </row>
    <row r="856" spans="1:1" x14ac:dyDescent="0.3">
      <c r="A856" s="7">
        <v>57</v>
      </c>
    </row>
    <row r="857" spans="1:1" x14ac:dyDescent="0.3">
      <c r="A857" s="7">
        <v>120</v>
      </c>
    </row>
    <row r="858" spans="1:1" x14ac:dyDescent="0.3">
      <c r="A858" s="7">
        <v>232</v>
      </c>
    </row>
    <row r="859" spans="1:1" x14ac:dyDescent="0.3">
      <c r="A859" s="7">
        <v>130</v>
      </c>
    </row>
    <row r="860" spans="1:1" x14ac:dyDescent="0.3">
      <c r="A860" s="7">
        <v>109</v>
      </c>
    </row>
    <row r="861" spans="1:1" x14ac:dyDescent="0.3">
      <c r="A861" s="7">
        <v>96</v>
      </c>
    </row>
    <row r="862" spans="1:1" x14ac:dyDescent="0.3">
      <c r="A862" s="7">
        <v>197</v>
      </c>
    </row>
    <row r="863" spans="1:1" x14ac:dyDescent="0.3">
      <c r="A863" s="7">
        <v>58</v>
      </c>
    </row>
    <row r="864" spans="1:1" x14ac:dyDescent="0.3">
      <c r="A864" s="7">
        <v>140</v>
      </c>
    </row>
    <row r="865" spans="1:1" x14ac:dyDescent="0.3">
      <c r="A865" s="7">
        <v>262</v>
      </c>
    </row>
    <row r="866" spans="1:1" x14ac:dyDescent="0.3">
      <c r="A866" s="7">
        <v>209</v>
      </c>
    </row>
    <row r="867" spans="1:1" x14ac:dyDescent="0.3">
      <c r="A867" s="7">
        <v>233</v>
      </c>
    </row>
    <row r="868" spans="1:1" x14ac:dyDescent="0.3">
      <c r="A868" s="7">
        <v>377</v>
      </c>
    </row>
    <row r="869" spans="1:1" x14ac:dyDescent="0.3">
      <c r="A869" s="7">
        <v>302</v>
      </c>
    </row>
    <row r="870" spans="1:1" x14ac:dyDescent="0.3">
      <c r="A870" s="7">
        <v>67</v>
      </c>
    </row>
    <row r="871" spans="1:1" x14ac:dyDescent="0.3">
      <c r="A871" s="7">
        <v>57</v>
      </c>
    </row>
    <row r="872" spans="1:1" x14ac:dyDescent="0.3">
      <c r="A872" s="7">
        <v>317</v>
      </c>
    </row>
    <row r="873" spans="1:1" x14ac:dyDescent="0.3">
      <c r="A873" s="7">
        <v>120</v>
      </c>
    </row>
    <row r="874" spans="1:1" x14ac:dyDescent="0.3">
      <c r="A874" s="7">
        <v>300</v>
      </c>
    </row>
    <row r="875" spans="1:1" x14ac:dyDescent="0.3">
      <c r="A875" s="7">
        <v>150</v>
      </c>
    </row>
    <row r="876" spans="1:1" x14ac:dyDescent="0.3">
      <c r="A876" s="7">
        <v>189</v>
      </c>
    </row>
    <row r="877" spans="1:1" x14ac:dyDescent="0.3">
      <c r="A877" s="7">
        <v>169</v>
      </c>
    </row>
    <row r="878" spans="1:1" x14ac:dyDescent="0.3">
      <c r="A878" s="7">
        <v>68</v>
      </c>
    </row>
    <row r="879" spans="1:1" x14ac:dyDescent="0.3">
      <c r="A879" s="7">
        <v>74</v>
      </c>
    </row>
    <row r="880" spans="1:1" x14ac:dyDescent="0.3">
      <c r="A880" s="7">
        <v>53</v>
      </c>
    </row>
    <row r="881" spans="1:1" x14ac:dyDescent="0.3">
      <c r="A881" s="7">
        <v>81</v>
      </c>
    </row>
    <row r="882" spans="1:1" x14ac:dyDescent="0.3">
      <c r="A882" s="7">
        <v>66</v>
      </c>
    </row>
    <row r="883" spans="1:1" x14ac:dyDescent="0.3">
      <c r="A883" s="7">
        <v>385</v>
      </c>
    </row>
    <row r="884" spans="1:1" x14ac:dyDescent="0.3">
      <c r="A884" s="7">
        <v>161</v>
      </c>
    </row>
    <row r="885" spans="1:1" x14ac:dyDescent="0.3">
      <c r="A885" s="7">
        <v>350</v>
      </c>
    </row>
    <row r="886" spans="1:1" x14ac:dyDescent="0.3">
      <c r="A886" s="7">
        <v>298</v>
      </c>
    </row>
    <row r="887" spans="1:1" x14ac:dyDescent="0.3">
      <c r="A887" s="7">
        <v>178</v>
      </c>
    </row>
    <row r="888" spans="1:1" x14ac:dyDescent="0.3">
      <c r="A888" s="7">
        <v>54</v>
      </c>
    </row>
    <row r="889" spans="1:1" x14ac:dyDescent="0.3">
      <c r="A889" s="7">
        <v>132</v>
      </c>
    </row>
    <row r="890" spans="1:1" x14ac:dyDescent="0.3">
      <c r="A890" s="7">
        <v>189</v>
      </c>
    </row>
    <row r="891" spans="1:1" x14ac:dyDescent="0.3">
      <c r="A891" s="7">
        <v>192</v>
      </c>
    </row>
    <row r="892" spans="1:1" x14ac:dyDescent="0.3">
      <c r="A892" s="7">
        <v>134</v>
      </c>
    </row>
    <row r="893" spans="1:1" x14ac:dyDescent="0.3">
      <c r="A893" s="7">
        <v>189</v>
      </c>
    </row>
    <row r="894" spans="1:1" x14ac:dyDescent="0.3">
      <c r="A894" s="7">
        <v>185</v>
      </c>
    </row>
    <row r="895" spans="1:1" x14ac:dyDescent="0.3">
      <c r="A895" s="7">
        <v>120</v>
      </c>
    </row>
    <row r="896" spans="1:1" x14ac:dyDescent="0.3">
      <c r="A896" s="7">
        <v>146</v>
      </c>
    </row>
    <row r="897" spans="1:1" x14ac:dyDescent="0.3">
      <c r="A897" s="7">
        <v>79</v>
      </c>
    </row>
    <row r="898" spans="1:1" x14ac:dyDescent="0.3">
      <c r="A898" s="7">
        <v>127</v>
      </c>
    </row>
    <row r="899" spans="1:1" x14ac:dyDescent="0.3">
      <c r="A899" s="7">
        <v>110</v>
      </c>
    </row>
    <row r="900" spans="1:1" x14ac:dyDescent="0.3">
      <c r="A900" s="7">
        <v>163</v>
      </c>
    </row>
    <row r="901" spans="1:1" x14ac:dyDescent="0.3">
      <c r="A901" s="7">
        <v>141</v>
      </c>
    </row>
    <row r="902" spans="1:1" x14ac:dyDescent="0.3">
      <c r="A902" s="7">
        <v>233</v>
      </c>
    </row>
    <row r="903" spans="1:1" x14ac:dyDescent="0.3">
      <c r="A903" s="7">
        <v>208</v>
      </c>
    </row>
    <row r="904" spans="1:1" x14ac:dyDescent="0.3">
      <c r="A904" s="7">
        <v>116</v>
      </c>
    </row>
    <row r="905" spans="1:1" x14ac:dyDescent="0.3">
      <c r="A905" s="7">
        <v>198</v>
      </c>
    </row>
    <row r="906" spans="1:1" x14ac:dyDescent="0.3">
      <c r="A906" s="7">
        <v>51</v>
      </c>
    </row>
    <row r="907" spans="1:1" x14ac:dyDescent="0.3">
      <c r="A907" s="7">
        <v>120</v>
      </c>
    </row>
    <row r="908" spans="1:1" x14ac:dyDescent="0.3">
      <c r="A908" s="7">
        <v>361</v>
      </c>
    </row>
    <row r="909" spans="1:1" x14ac:dyDescent="0.3">
      <c r="A909" s="7">
        <v>99</v>
      </c>
    </row>
    <row r="910" spans="1:1" x14ac:dyDescent="0.3">
      <c r="A910" s="7">
        <v>183</v>
      </c>
    </row>
    <row r="911" spans="1:1" x14ac:dyDescent="0.3">
      <c r="A911" s="7">
        <v>109</v>
      </c>
    </row>
    <row r="912" spans="1:1" x14ac:dyDescent="0.3">
      <c r="A912" s="7">
        <v>199</v>
      </c>
    </row>
    <row r="913" spans="1:1" x14ac:dyDescent="0.3">
      <c r="A913" s="7">
        <v>61</v>
      </c>
    </row>
    <row r="914" spans="1:1" x14ac:dyDescent="0.3">
      <c r="A914" s="7">
        <v>119</v>
      </c>
    </row>
    <row r="915" spans="1:1" x14ac:dyDescent="0.3">
      <c r="A915" s="7">
        <v>116</v>
      </c>
    </row>
    <row r="916" spans="1:1" x14ac:dyDescent="0.3">
      <c r="A916" s="7">
        <v>184</v>
      </c>
    </row>
    <row r="917" spans="1:1" x14ac:dyDescent="0.3">
      <c r="A917" s="7">
        <v>128</v>
      </c>
    </row>
    <row r="918" spans="1:1" x14ac:dyDescent="0.3">
      <c r="A918" s="7">
        <v>139</v>
      </c>
    </row>
    <row r="919" spans="1:1" x14ac:dyDescent="0.3">
      <c r="A919" s="7">
        <v>128</v>
      </c>
    </row>
    <row r="920" spans="1:1" x14ac:dyDescent="0.3">
      <c r="A920" s="7">
        <v>53</v>
      </c>
    </row>
    <row r="921" spans="1:1" x14ac:dyDescent="0.3">
      <c r="A921" s="7">
        <v>129</v>
      </c>
    </row>
    <row r="922" spans="1:1" x14ac:dyDescent="0.3">
      <c r="A922" s="7">
        <v>335</v>
      </c>
    </row>
    <row r="923" spans="1:1" x14ac:dyDescent="0.3">
      <c r="A923" s="7">
        <v>450</v>
      </c>
    </row>
    <row r="924" spans="1:1" x14ac:dyDescent="0.3">
      <c r="A924" s="7">
        <v>96</v>
      </c>
    </row>
    <row r="925" spans="1:1" x14ac:dyDescent="0.3">
      <c r="A925" s="7">
        <v>72</v>
      </c>
    </row>
    <row r="926" spans="1:1" x14ac:dyDescent="0.3">
      <c r="A926" s="7">
        <v>119</v>
      </c>
    </row>
    <row r="927" spans="1:1" x14ac:dyDescent="0.3">
      <c r="A927" s="7">
        <v>280</v>
      </c>
    </row>
    <row r="928" spans="1:1" x14ac:dyDescent="0.3">
      <c r="A928" s="7">
        <v>361</v>
      </c>
    </row>
    <row r="929" spans="1:1" x14ac:dyDescent="0.3">
      <c r="A929" s="7">
        <v>90</v>
      </c>
    </row>
    <row r="930" spans="1:1" x14ac:dyDescent="0.3">
      <c r="A930" s="7">
        <v>285</v>
      </c>
    </row>
    <row r="931" spans="1:1" x14ac:dyDescent="0.3">
      <c r="A931" s="7">
        <v>54</v>
      </c>
    </row>
    <row r="932" spans="1:1" x14ac:dyDescent="0.3">
      <c r="A932" s="7">
        <v>73</v>
      </c>
    </row>
    <row r="933" spans="1:1" x14ac:dyDescent="0.3">
      <c r="A933" s="7">
        <v>238</v>
      </c>
    </row>
    <row r="934" spans="1:1" x14ac:dyDescent="0.3">
      <c r="A934" s="7">
        <v>50</v>
      </c>
    </row>
    <row r="935" spans="1:1" x14ac:dyDescent="0.3">
      <c r="A935" s="7">
        <v>225</v>
      </c>
    </row>
    <row r="936" spans="1:1" x14ac:dyDescent="0.3">
      <c r="A936" s="7">
        <v>104</v>
      </c>
    </row>
    <row r="937" spans="1:1" x14ac:dyDescent="0.3">
      <c r="A937" s="7">
        <v>58</v>
      </c>
    </row>
    <row r="938" spans="1:1" x14ac:dyDescent="0.3">
      <c r="A938" s="7">
        <v>257</v>
      </c>
    </row>
    <row r="939" spans="1:1" x14ac:dyDescent="0.3">
      <c r="A939" s="7">
        <v>180</v>
      </c>
    </row>
    <row r="940" spans="1:1" x14ac:dyDescent="0.3">
      <c r="A940" s="7">
        <v>263</v>
      </c>
    </row>
    <row r="941" spans="1:1" x14ac:dyDescent="0.3">
      <c r="A941" s="7">
        <v>255</v>
      </c>
    </row>
    <row r="942" spans="1:1" x14ac:dyDescent="0.3">
      <c r="A942" s="7">
        <v>106</v>
      </c>
    </row>
    <row r="943" spans="1:1" x14ac:dyDescent="0.3">
      <c r="A943" s="7">
        <v>194</v>
      </c>
    </row>
    <row r="944" spans="1:1" x14ac:dyDescent="0.3">
      <c r="A944" s="7">
        <v>155</v>
      </c>
    </row>
    <row r="945" spans="1:1" x14ac:dyDescent="0.3">
      <c r="A945" s="7">
        <v>137</v>
      </c>
    </row>
    <row r="946" spans="1:1" x14ac:dyDescent="0.3">
      <c r="A946" s="7">
        <v>237</v>
      </c>
    </row>
    <row r="947" spans="1:1" x14ac:dyDescent="0.3">
      <c r="A947" s="7">
        <v>97</v>
      </c>
    </row>
    <row r="948" spans="1:1" x14ac:dyDescent="0.3">
      <c r="A948" s="7">
        <v>72</v>
      </c>
    </row>
    <row r="949" spans="1:1" x14ac:dyDescent="0.3">
      <c r="A949" s="7">
        <v>339</v>
      </c>
    </row>
    <row r="950" spans="1:1" x14ac:dyDescent="0.3">
      <c r="A950" s="7">
        <v>180</v>
      </c>
    </row>
    <row r="951" spans="1:1" x14ac:dyDescent="0.3">
      <c r="A951" s="7">
        <v>162</v>
      </c>
    </row>
    <row r="952" spans="1:1" x14ac:dyDescent="0.3">
      <c r="A952" s="7">
        <v>418</v>
      </c>
    </row>
    <row r="953" spans="1:1" x14ac:dyDescent="0.3">
      <c r="A953" s="7">
        <v>100</v>
      </c>
    </row>
    <row r="954" spans="1:1" x14ac:dyDescent="0.3">
      <c r="A954" s="7">
        <v>109</v>
      </c>
    </row>
    <row r="955" spans="1:1" x14ac:dyDescent="0.3">
      <c r="A955" s="7">
        <v>244</v>
      </c>
    </row>
    <row r="956" spans="1:1" x14ac:dyDescent="0.3">
      <c r="A956" s="7">
        <v>154</v>
      </c>
    </row>
    <row r="957" spans="1:1" x14ac:dyDescent="0.3">
      <c r="A957" s="7">
        <v>240</v>
      </c>
    </row>
    <row r="958" spans="1:1" x14ac:dyDescent="0.3">
      <c r="A958" s="7">
        <v>226</v>
      </c>
    </row>
    <row r="959" spans="1:1" x14ac:dyDescent="0.3">
      <c r="A959" s="7">
        <v>222</v>
      </c>
    </row>
    <row r="960" spans="1:1" x14ac:dyDescent="0.3">
      <c r="A960" s="7">
        <v>150</v>
      </c>
    </row>
    <row r="961" spans="1:1" x14ac:dyDescent="0.3">
      <c r="A961" s="7">
        <v>379</v>
      </c>
    </row>
    <row r="962" spans="1:1" x14ac:dyDescent="0.3">
      <c r="A962" s="7">
        <v>72</v>
      </c>
    </row>
    <row r="963" spans="1:1" x14ac:dyDescent="0.3">
      <c r="A963" s="7">
        <v>170</v>
      </c>
    </row>
    <row r="964" spans="1:1" x14ac:dyDescent="0.3">
      <c r="A964" s="7">
        <v>289</v>
      </c>
    </row>
    <row r="965" spans="1:1" x14ac:dyDescent="0.3">
      <c r="A965" s="7">
        <v>233</v>
      </c>
    </row>
    <row r="966" spans="1:1" x14ac:dyDescent="0.3">
      <c r="A966" s="7">
        <v>102</v>
      </c>
    </row>
    <row r="967" spans="1:1" x14ac:dyDescent="0.3">
      <c r="A967" s="7">
        <v>115</v>
      </c>
    </row>
    <row r="968" spans="1:1" x14ac:dyDescent="0.3">
      <c r="A968" s="7">
        <v>50</v>
      </c>
    </row>
    <row r="969" spans="1:1" x14ac:dyDescent="0.3">
      <c r="A969" s="7">
        <v>277</v>
      </c>
    </row>
    <row r="970" spans="1:1" x14ac:dyDescent="0.3">
      <c r="A970" s="7">
        <v>135</v>
      </c>
    </row>
    <row r="971" spans="1:1" x14ac:dyDescent="0.3">
      <c r="A971" s="7">
        <v>175</v>
      </c>
    </row>
    <row r="972" spans="1:1" x14ac:dyDescent="0.3">
      <c r="A972" s="7">
        <v>143</v>
      </c>
    </row>
    <row r="973" spans="1:1" x14ac:dyDescent="0.3">
      <c r="A973" s="7">
        <v>185</v>
      </c>
    </row>
    <row r="974" spans="1:1" x14ac:dyDescent="0.3">
      <c r="A974" s="7">
        <v>60</v>
      </c>
    </row>
    <row r="975" spans="1:1" x14ac:dyDescent="0.3">
      <c r="A975" s="7">
        <v>221</v>
      </c>
    </row>
    <row r="976" spans="1:1" x14ac:dyDescent="0.3">
      <c r="A976" s="7">
        <v>80</v>
      </c>
    </row>
    <row r="977" spans="1:1" x14ac:dyDescent="0.3">
      <c r="A977" s="7">
        <v>75</v>
      </c>
    </row>
    <row r="978" spans="1:1" x14ac:dyDescent="0.3">
      <c r="A978" s="7">
        <v>53</v>
      </c>
    </row>
    <row r="979" spans="1:1" x14ac:dyDescent="0.3">
      <c r="A979" s="7">
        <v>350</v>
      </c>
    </row>
    <row r="980" spans="1:1" x14ac:dyDescent="0.3">
      <c r="A980" s="7">
        <v>65</v>
      </c>
    </row>
    <row r="981" spans="1:1" x14ac:dyDescent="0.3">
      <c r="A981" s="7">
        <v>243</v>
      </c>
    </row>
    <row r="982" spans="1:1" x14ac:dyDescent="0.3">
      <c r="A982" s="7">
        <v>55</v>
      </c>
    </row>
    <row r="983" spans="1:1" x14ac:dyDescent="0.3">
      <c r="A983" s="7">
        <v>180</v>
      </c>
    </row>
    <row r="984" spans="1:1" x14ac:dyDescent="0.3">
      <c r="A984" s="7">
        <v>292</v>
      </c>
    </row>
    <row r="985" spans="1:1" x14ac:dyDescent="0.3">
      <c r="A985" s="7">
        <v>54</v>
      </c>
    </row>
    <row r="986" spans="1:1" x14ac:dyDescent="0.3">
      <c r="A986" s="7">
        <v>116</v>
      </c>
    </row>
    <row r="987" spans="1:1" x14ac:dyDescent="0.3">
      <c r="A987" s="7">
        <v>141</v>
      </c>
    </row>
    <row r="988" spans="1:1" x14ac:dyDescent="0.3">
      <c r="A988" s="7">
        <v>130</v>
      </c>
    </row>
    <row r="989" spans="1:1" x14ac:dyDescent="0.3">
      <c r="A989" s="7">
        <v>55</v>
      </c>
    </row>
    <row r="990" spans="1:1" x14ac:dyDescent="0.3">
      <c r="A990" s="7">
        <v>96</v>
      </c>
    </row>
    <row r="991" spans="1:1" x14ac:dyDescent="0.3">
      <c r="A991" s="7">
        <v>171</v>
      </c>
    </row>
    <row r="992" spans="1:1" x14ac:dyDescent="0.3">
      <c r="A992" s="7">
        <v>170</v>
      </c>
    </row>
    <row r="993" spans="1:1" x14ac:dyDescent="0.3">
      <c r="A993" s="7">
        <v>150</v>
      </c>
    </row>
    <row r="994" spans="1:1" x14ac:dyDescent="0.3">
      <c r="A994" s="7">
        <v>110</v>
      </c>
    </row>
    <row r="995" spans="1:1" x14ac:dyDescent="0.3">
      <c r="A995" s="7">
        <v>163</v>
      </c>
    </row>
    <row r="996" spans="1:1" x14ac:dyDescent="0.3">
      <c r="A996" s="7">
        <v>140</v>
      </c>
    </row>
    <row r="997" spans="1:1" x14ac:dyDescent="0.3">
      <c r="A997" s="7">
        <v>126</v>
      </c>
    </row>
    <row r="998" spans="1:1" x14ac:dyDescent="0.3">
      <c r="A998" s="7">
        <v>433</v>
      </c>
    </row>
    <row r="999" spans="1:1" x14ac:dyDescent="0.3">
      <c r="A999" s="7">
        <v>394</v>
      </c>
    </row>
    <row r="1000" spans="1:1" x14ac:dyDescent="0.3">
      <c r="A1000" s="7">
        <v>394</v>
      </c>
    </row>
    <row r="1001" spans="1:1" x14ac:dyDescent="0.3">
      <c r="A1001" s="7">
        <v>210</v>
      </c>
    </row>
    <row r="1002" spans="1:1" x14ac:dyDescent="0.3">
      <c r="A1002" s="7">
        <v>117</v>
      </c>
    </row>
    <row r="1003" spans="1:1" x14ac:dyDescent="0.3">
      <c r="A1003" s="7">
        <v>80</v>
      </c>
    </row>
    <row r="1004" spans="1:1" x14ac:dyDescent="0.3">
      <c r="A1004" s="7">
        <v>105</v>
      </c>
    </row>
    <row r="1005" spans="1:1" x14ac:dyDescent="0.3">
      <c r="A1005" s="7">
        <v>140</v>
      </c>
    </row>
    <row r="1006" spans="1:1" x14ac:dyDescent="0.3">
      <c r="A1006" s="7">
        <v>92</v>
      </c>
    </row>
    <row r="1007" spans="1:1" x14ac:dyDescent="0.3">
      <c r="A1007" s="7">
        <v>179</v>
      </c>
    </row>
    <row r="1008" spans="1:1" x14ac:dyDescent="0.3">
      <c r="A1008" s="7">
        <v>150</v>
      </c>
    </row>
    <row r="1009" spans="1:1" x14ac:dyDescent="0.3">
      <c r="A1009" s="7">
        <v>125</v>
      </c>
    </row>
    <row r="1010" spans="1:1" x14ac:dyDescent="0.3">
      <c r="A1010" s="7">
        <v>239</v>
      </c>
    </row>
    <row r="1011" spans="1:1" x14ac:dyDescent="0.3">
      <c r="A1011" s="7">
        <v>77</v>
      </c>
    </row>
    <row r="1012" spans="1:1" x14ac:dyDescent="0.3">
      <c r="A1012" s="7">
        <v>105</v>
      </c>
    </row>
    <row r="1013" spans="1:1" x14ac:dyDescent="0.3">
      <c r="A1013" s="7">
        <v>260</v>
      </c>
    </row>
    <row r="1014" spans="1:1" x14ac:dyDescent="0.3">
      <c r="A1014" s="7">
        <v>151</v>
      </c>
    </row>
    <row r="1015" spans="1:1" x14ac:dyDescent="0.3">
      <c r="A1015" s="7">
        <v>120</v>
      </c>
    </row>
    <row r="1016" spans="1:1" x14ac:dyDescent="0.3">
      <c r="A1016" s="7">
        <v>276</v>
      </c>
    </row>
    <row r="1017" spans="1:1" x14ac:dyDescent="0.3">
      <c r="A1017" s="7">
        <v>120</v>
      </c>
    </row>
    <row r="1018" spans="1:1" x14ac:dyDescent="0.3">
      <c r="A1018" s="7">
        <v>114</v>
      </c>
    </row>
    <row r="1019" spans="1:1" x14ac:dyDescent="0.3">
      <c r="A1019" s="7">
        <v>97</v>
      </c>
    </row>
    <row r="1020" spans="1:1" x14ac:dyDescent="0.3">
      <c r="A1020" s="7">
        <v>80</v>
      </c>
    </row>
    <row r="1021" spans="1:1" x14ac:dyDescent="0.3">
      <c r="A1021" s="7">
        <v>128</v>
      </c>
    </row>
    <row r="1022" spans="1:1" x14ac:dyDescent="0.3">
      <c r="A1022" s="7">
        <v>85</v>
      </c>
    </row>
    <row r="1023" spans="1:1" x14ac:dyDescent="0.3">
      <c r="A1023" s="7">
        <v>184</v>
      </c>
    </row>
    <row r="1024" spans="1:1" x14ac:dyDescent="0.3">
      <c r="A1024" s="7">
        <v>150</v>
      </c>
    </row>
    <row r="1025" spans="1:1" x14ac:dyDescent="0.3">
      <c r="A1025" s="7">
        <v>89</v>
      </c>
    </row>
    <row r="1026" spans="1:1" x14ac:dyDescent="0.3">
      <c r="A1026" s="7">
        <v>100</v>
      </c>
    </row>
    <row r="1027" spans="1:1" x14ac:dyDescent="0.3">
      <c r="A1027" s="7">
        <v>90</v>
      </c>
    </row>
    <row r="1028" spans="1:1" x14ac:dyDescent="0.3">
      <c r="A1028" s="7">
        <v>141</v>
      </c>
    </row>
    <row r="1029" spans="1:1" x14ac:dyDescent="0.3">
      <c r="A1029" s="7">
        <v>103</v>
      </c>
    </row>
    <row r="1030" spans="1:1" x14ac:dyDescent="0.3">
      <c r="A1030" s="7">
        <v>53</v>
      </c>
    </row>
    <row r="1031" spans="1:1" x14ac:dyDescent="0.3">
      <c r="A1031" s="7">
        <v>292</v>
      </c>
    </row>
    <row r="1032" spans="1:1" x14ac:dyDescent="0.3">
      <c r="A1032" s="7">
        <v>92</v>
      </c>
    </row>
    <row r="1033" spans="1:1" x14ac:dyDescent="0.3">
      <c r="A1033" s="7">
        <v>68</v>
      </c>
    </row>
    <row r="1034" spans="1:1" x14ac:dyDescent="0.3">
      <c r="A1034" s="7">
        <v>115</v>
      </c>
    </row>
    <row r="1035" spans="1:1" x14ac:dyDescent="0.3">
      <c r="A1035" s="7">
        <v>53</v>
      </c>
    </row>
    <row r="1036" spans="1:1" x14ac:dyDescent="0.3">
      <c r="A1036" s="7">
        <v>108</v>
      </c>
    </row>
    <row r="1037" spans="1:1" x14ac:dyDescent="0.3">
      <c r="A1037" s="7">
        <v>70</v>
      </c>
    </row>
    <row r="1038" spans="1:1" x14ac:dyDescent="0.3">
      <c r="A1038" s="7">
        <v>250</v>
      </c>
    </row>
    <row r="1039" spans="1:1" x14ac:dyDescent="0.3">
      <c r="A1039" s="7">
        <v>50</v>
      </c>
    </row>
    <row r="1040" spans="1:1" x14ac:dyDescent="0.3">
      <c r="A1040" s="7">
        <v>354</v>
      </c>
    </row>
    <row r="1041" spans="1:1" x14ac:dyDescent="0.3">
      <c r="A1041" s="7">
        <v>104</v>
      </c>
    </row>
    <row r="1042" spans="1:1" x14ac:dyDescent="0.3">
      <c r="A1042" s="7">
        <v>274</v>
      </c>
    </row>
    <row r="1043" spans="1:1" x14ac:dyDescent="0.3">
      <c r="A1043" s="7">
        <v>359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8C5D3-4D2F-4E92-83BA-BA17D5CBDB5A}">
  <dimension ref="A1:B1043"/>
  <sheetViews>
    <sheetView workbookViewId="0">
      <selection sqref="A1:B1043"/>
    </sheetView>
  </sheetViews>
  <sheetFormatPr defaultRowHeight="14.4" x14ac:dyDescent="0.3"/>
  <cols>
    <col min="1" max="1" width="21.5546875" bestFit="1" customWidth="1"/>
    <col min="2" max="2" width="7.5546875" bestFit="1" customWidth="1"/>
  </cols>
  <sheetData>
    <row r="1" spans="1:2" x14ac:dyDescent="0.3">
      <c r="A1" t="s">
        <v>2</v>
      </c>
      <c r="B1" t="s">
        <v>1407</v>
      </c>
    </row>
    <row r="2" spans="1:2" x14ac:dyDescent="0.3">
      <c r="A2" t="s">
        <v>20</v>
      </c>
      <c r="B2">
        <v>59</v>
      </c>
    </row>
    <row r="3" spans="1:2" x14ac:dyDescent="0.3">
      <c r="A3" t="s">
        <v>17</v>
      </c>
      <c r="B3">
        <v>85</v>
      </c>
    </row>
    <row r="4" spans="1:2" x14ac:dyDescent="0.3">
      <c r="A4" t="s">
        <v>17</v>
      </c>
      <c r="B4">
        <v>90</v>
      </c>
    </row>
    <row r="5" spans="1:2" x14ac:dyDescent="0.3">
      <c r="A5" t="s">
        <v>20</v>
      </c>
      <c r="B5">
        <v>116</v>
      </c>
    </row>
    <row r="6" spans="1:2" x14ac:dyDescent="0.3">
      <c r="A6" t="s">
        <v>20</v>
      </c>
      <c r="B6">
        <v>60</v>
      </c>
    </row>
    <row r="7" spans="1:2" x14ac:dyDescent="0.3">
      <c r="A7" t="s">
        <v>17</v>
      </c>
      <c r="B7">
        <v>195</v>
      </c>
    </row>
    <row r="8" spans="1:2" x14ac:dyDescent="0.3">
      <c r="A8" t="s">
        <v>17</v>
      </c>
      <c r="B8">
        <v>336</v>
      </c>
    </row>
    <row r="9" spans="1:2" x14ac:dyDescent="0.3">
      <c r="A9" t="s">
        <v>20</v>
      </c>
      <c r="B9">
        <v>246</v>
      </c>
    </row>
    <row r="10" spans="1:2" x14ac:dyDescent="0.3">
      <c r="A10" t="s">
        <v>20</v>
      </c>
      <c r="B10">
        <v>130</v>
      </c>
    </row>
    <row r="11" spans="1:2" x14ac:dyDescent="0.3">
      <c r="A11" t="s">
        <v>17</v>
      </c>
      <c r="B11">
        <v>78</v>
      </c>
    </row>
    <row r="12" spans="1:2" x14ac:dyDescent="0.3">
      <c r="A12" t="s">
        <v>17</v>
      </c>
      <c r="B12">
        <v>95</v>
      </c>
    </row>
    <row r="13" spans="1:2" x14ac:dyDescent="0.3">
      <c r="A13" t="s">
        <v>17</v>
      </c>
      <c r="B13">
        <v>50</v>
      </c>
    </row>
    <row r="14" spans="1:2" x14ac:dyDescent="0.3">
      <c r="A14" t="s">
        <v>20</v>
      </c>
      <c r="B14">
        <v>150</v>
      </c>
    </row>
    <row r="15" spans="1:2" x14ac:dyDescent="0.3">
      <c r="A15" t="s">
        <v>17</v>
      </c>
      <c r="B15">
        <v>117</v>
      </c>
    </row>
    <row r="16" spans="1:2" x14ac:dyDescent="0.3">
      <c r="A16" t="s">
        <v>20</v>
      </c>
      <c r="B16">
        <v>297</v>
      </c>
    </row>
    <row r="17" spans="1:2" x14ac:dyDescent="0.3">
      <c r="A17" t="s">
        <v>17</v>
      </c>
      <c r="B17">
        <v>109</v>
      </c>
    </row>
    <row r="18" spans="1:2" x14ac:dyDescent="0.3">
      <c r="A18" t="s">
        <v>20</v>
      </c>
      <c r="B18">
        <v>293</v>
      </c>
    </row>
    <row r="19" spans="1:2" x14ac:dyDescent="0.3">
      <c r="A19" t="s">
        <v>17</v>
      </c>
      <c r="B19">
        <v>165</v>
      </c>
    </row>
    <row r="20" spans="1:2" x14ac:dyDescent="0.3">
      <c r="A20" t="s">
        <v>17</v>
      </c>
      <c r="B20">
        <v>128</v>
      </c>
    </row>
    <row r="21" spans="1:2" x14ac:dyDescent="0.3">
      <c r="A21" t="s">
        <v>17</v>
      </c>
      <c r="B21">
        <v>110</v>
      </c>
    </row>
    <row r="22" spans="1:2" x14ac:dyDescent="0.3">
      <c r="A22" t="s">
        <v>20</v>
      </c>
      <c r="B22">
        <v>232</v>
      </c>
    </row>
    <row r="23" spans="1:2" x14ac:dyDescent="0.3">
      <c r="A23" t="s">
        <v>17</v>
      </c>
      <c r="B23">
        <v>143</v>
      </c>
    </row>
    <row r="24" spans="1:2" x14ac:dyDescent="0.3">
      <c r="A24" t="s">
        <v>30</v>
      </c>
      <c r="B24">
        <v>165</v>
      </c>
    </row>
    <row r="25" spans="1:2" x14ac:dyDescent="0.3">
      <c r="A25" t="s">
        <v>20</v>
      </c>
      <c r="B25">
        <v>98</v>
      </c>
    </row>
    <row r="26" spans="1:2" x14ac:dyDescent="0.3">
      <c r="A26" t="s">
        <v>20</v>
      </c>
      <c r="B26">
        <v>159</v>
      </c>
    </row>
    <row r="27" spans="1:2" x14ac:dyDescent="0.3">
      <c r="A27" t="s">
        <v>17</v>
      </c>
      <c r="B27">
        <v>153</v>
      </c>
    </row>
    <row r="28" spans="1:2" x14ac:dyDescent="0.3">
      <c r="A28" t="s">
        <v>20</v>
      </c>
      <c r="B28">
        <v>93</v>
      </c>
    </row>
    <row r="29" spans="1:2" x14ac:dyDescent="0.3">
      <c r="A29" t="s">
        <v>30</v>
      </c>
      <c r="B29">
        <v>223</v>
      </c>
    </row>
    <row r="30" spans="1:2" x14ac:dyDescent="0.3">
      <c r="A30" t="s">
        <v>20</v>
      </c>
      <c r="B30">
        <v>140</v>
      </c>
    </row>
    <row r="31" spans="1:2" x14ac:dyDescent="0.3">
      <c r="A31" t="s">
        <v>20</v>
      </c>
      <c r="B31">
        <v>140</v>
      </c>
    </row>
    <row r="32" spans="1:2" x14ac:dyDescent="0.3">
      <c r="A32" t="s">
        <v>17</v>
      </c>
      <c r="B32">
        <v>160</v>
      </c>
    </row>
    <row r="33" spans="1:2" x14ac:dyDescent="0.3">
      <c r="A33" t="s">
        <v>17</v>
      </c>
      <c r="B33">
        <v>86</v>
      </c>
    </row>
    <row r="34" spans="1:2" x14ac:dyDescent="0.3">
      <c r="A34" t="s">
        <v>20</v>
      </c>
      <c r="B34">
        <v>153</v>
      </c>
    </row>
    <row r="35" spans="1:2" x14ac:dyDescent="0.3">
      <c r="A35" t="s">
        <v>17</v>
      </c>
      <c r="B35">
        <v>168</v>
      </c>
    </row>
    <row r="36" spans="1:2" x14ac:dyDescent="0.3">
      <c r="A36" t="s">
        <v>20</v>
      </c>
      <c r="B36">
        <v>125</v>
      </c>
    </row>
    <row r="37" spans="1:2" x14ac:dyDescent="0.3">
      <c r="A37" t="s">
        <v>20</v>
      </c>
      <c r="B37">
        <v>100</v>
      </c>
    </row>
    <row r="38" spans="1:2" x14ac:dyDescent="0.3">
      <c r="A38" t="s">
        <v>20</v>
      </c>
      <c r="B38">
        <v>117</v>
      </c>
    </row>
    <row r="39" spans="1:2" x14ac:dyDescent="0.3">
      <c r="A39" t="s">
        <v>20</v>
      </c>
      <c r="B39">
        <v>110</v>
      </c>
    </row>
    <row r="40" spans="1:2" x14ac:dyDescent="0.3">
      <c r="A40" t="s">
        <v>17</v>
      </c>
      <c r="B40">
        <v>220</v>
      </c>
    </row>
    <row r="41" spans="1:2" x14ac:dyDescent="0.3">
      <c r="A41" t="s">
        <v>91</v>
      </c>
      <c r="B41">
        <v>83</v>
      </c>
    </row>
    <row r="42" spans="1:2" x14ac:dyDescent="0.3">
      <c r="A42" t="s">
        <v>17</v>
      </c>
      <c r="B42">
        <v>149</v>
      </c>
    </row>
    <row r="43" spans="1:2" x14ac:dyDescent="0.3">
      <c r="A43" t="s">
        <v>20</v>
      </c>
      <c r="B43">
        <v>241</v>
      </c>
    </row>
    <row r="44" spans="1:2" x14ac:dyDescent="0.3">
      <c r="A44" t="s">
        <v>17</v>
      </c>
      <c r="B44">
        <v>200</v>
      </c>
    </row>
    <row r="45" spans="1:2" x14ac:dyDescent="0.3">
      <c r="A45" t="s">
        <v>91</v>
      </c>
      <c r="B45">
        <v>75</v>
      </c>
    </row>
    <row r="46" spans="1:2" x14ac:dyDescent="0.3">
      <c r="A46" t="s">
        <v>20</v>
      </c>
      <c r="B46">
        <v>121</v>
      </c>
    </row>
    <row r="47" spans="1:2" x14ac:dyDescent="0.3">
      <c r="A47" t="s">
        <v>17</v>
      </c>
      <c r="B47">
        <v>154</v>
      </c>
    </row>
    <row r="48" spans="1:2" x14ac:dyDescent="0.3">
      <c r="A48" t="s">
        <v>17</v>
      </c>
      <c r="B48">
        <v>119</v>
      </c>
    </row>
    <row r="49" spans="1:2" x14ac:dyDescent="0.3">
      <c r="A49" t="s">
        <v>20</v>
      </c>
      <c r="B49">
        <v>150</v>
      </c>
    </row>
    <row r="50" spans="1:2" x14ac:dyDescent="0.3">
      <c r="A50" t="s">
        <v>20</v>
      </c>
      <c r="B50">
        <v>100</v>
      </c>
    </row>
    <row r="51" spans="1:2" x14ac:dyDescent="0.3">
      <c r="A51" t="s">
        <v>20</v>
      </c>
      <c r="B51">
        <v>166</v>
      </c>
    </row>
    <row r="52" spans="1:2" x14ac:dyDescent="0.3">
      <c r="A52" t="s">
        <v>20</v>
      </c>
      <c r="B52">
        <v>96</v>
      </c>
    </row>
    <row r="53" spans="1:2" x14ac:dyDescent="0.3">
      <c r="A53" t="s">
        <v>20</v>
      </c>
      <c r="B53">
        <v>90</v>
      </c>
    </row>
    <row r="54" spans="1:2" x14ac:dyDescent="0.3">
      <c r="A54" t="s">
        <v>20</v>
      </c>
      <c r="B54">
        <v>68</v>
      </c>
    </row>
    <row r="55" spans="1:2" x14ac:dyDescent="0.3">
      <c r="A55" t="s">
        <v>20</v>
      </c>
      <c r="B55">
        <v>52</v>
      </c>
    </row>
    <row r="56" spans="1:2" x14ac:dyDescent="0.3">
      <c r="A56" t="s">
        <v>17</v>
      </c>
      <c r="B56">
        <v>119</v>
      </c>
    </row>
    <row r="57" spans="1:2" x14ac:dyDescent="0.3">
      <c r="A57" t="s">
        <v>20</v>
      </c>
      <c r="B57">
        <v>140</v>
      </c>
    </row>
    <row r="58" spans="1:2" x14ac:dyDescent="0.3">
      <c r="A58" t="s">
        <v>17</v>
      </c>
      <c r="B58">
        <v>95</v>
      </c>
    </row>
    <row r="59" spans="1:2" x14ac:dyDescent="0.3">
      <c r="A59" t="s">
        <v>20</v>
      </c>
      <c r="B59">
        <v>126</v>
      </c>
    </row>
    <row r="60" spans="1:2" x14ac:dyDescent="0.3">
      <c r="A60" t="s">
        <v>20</v>
      </c>
      <c r="B60">
        <v>160</v>
      </c>
    </row>
    <row r="61" spans="1:2" x14ac:dyDescent="0.3">
      <c r="A61" t="s">
        <v>20</v>
      </c>
      <c r="B61">
        <v>114</v>
      </c>
    </row>
    <row r="62" spans="1:2" x14ac:dyDescent="0.3">
      <c r="A62" t="s">
        <v>20</v>
      </c>
      <c r="B62">
        <v>117</v>
      </c>
    </row>
    <row r="63" spans="1:2" x14ac:dyDescent="0.3">
      <c r="A63" t="s">
        <v>20</v>
      </c>
      <c r="B63">
        <v>219</v>
      </c>
    </row>
    <row r="64" spans="1:2" x14ac:dyDescent="0.3">
      <c r="A64" t="s">
        <v>20</v>
      </c>
      <c r="B64">
        <v>118</v>
      </c>
    </row>
    <row r="65" spans="1:2" x14ac:dyDescent="0.3">
      <c r="A65" t="s">
        <v>17</v>
      </c>
      <c r="B65">
        <v>89</v>
      </c>
    </row>
    <row r="66" spans="1:2" x14ac:dyDescent="0.3">
      <c r="A66" t="s">
        <v>91</v>
      </c>
      <c r="B66">
        <v>69</v>
      </c>
    </row>
    <row r="67" spans="1:2" x14ac:dyDescent="0.3">
      <c r="A67" t="s">
        <v>20</v>
      </c>
      <c r="B67">
        <v>163</v>
      </c>
    </row>
    <row r="68" spans="1:2" x14ac:dyDescent="0.3">
      <c r="A68" t="s">
        <v>17</v>
      </c>
      <c r="B68">
        <v>68</v>
      </c>
    </row>
    <row r="69" spans="1:2" x14ac:dyDescent="0.3">
      <c r="A69" t="s">
        <v>17</v>
      </c>
      <c r="B69">
        <v>252</v>
      </c>
    </row>
    <row r="70" spans="1:2" x14ac:dyDescent="0.3">
      <c r="A70" t="s">
        <v>20</v>
      </c>
      <c r="B70">
        <v>100</v>
      </c>
    </row>
    <row r="71" spans="1:2" x14ac:dyDescent="0.3">
      <c r="A71" t="s">
        <v>17</v>
      </c>
      <c r="B71">
        <v>76</v>
      </c>
    </row>
    <row r="72" spans="1:2" x14ac:dyDescent="0.3">
      <c r="A72" t="s">
        <v>17</v>
      </c>
      <c r="B72">
        <v>173</v>
      </c>
    </row>
    <row r="73" spans="1:2" x14ac:dyDescent="0.3">
      <c r="A73" t="s">
        <v>17</v>
      </c>
      <c r="B73">
        <v>191</v>
      </c>
    </row>
    <row r="74" spans="1:2" x14ac:dyDescent="0.3">
      <c r="A74" t="s">
        <v>17</v>
      </c>
      <c r="B74">
        <v>158</v>
      </c>
    </row>
    <row r="75" spans="1:2" x14ac:dyDescent="0.3">
      <c r="A75" t="s">
        <v>17</v>
      </c>
      <c r="B75">
        <v>197</v>
      </c>
    </row>
    <row r="76" spans="1:2" x14ac:dyDescent="0.3">
      <c r="A76" t="s">
        <v>17</v>
      </c>
      <c r="B76">
        <v>110</v>
      </c>
    </row>
    <row r="77" spans="1:2" x14ac:dyDescent="0.3">
      <c r="A77" t="s">
        <v>20</v>
      </c>
      <c r="B77">
        <v>62</v>
      </c>
    </row>
    <row r="78" spans="1:2" x14ac:dyDescent="0.3">
      <c r="A78" t="s">
        <v>31</v>
      </c>
      <c r="B78">
        <v>50</v>
      </c>
    </row>
    <row r="79" spans="1:2" x14ac:dyDescent="0.3">
      <c r="A79" t="s">
        <v>17</v>
      </c>
      <c r="B79">
        <v>106</v>
      </c>
    </row>
    <row r="80" spans="1:2" x14ac:dyDescent="0.3">
      <c r="A80" t="s">
        <v>20</v>
      </c>
      <c r="B80">
        <v>101</v>
      </c>
    </row>
    <row r="81" spans="1:2" x14ac:dyDescent="0.3">
      <c r="A81" t="s">
        <v>30</v>
      </c>
      <c r="B81">
        <v>112</v>
      </c>
    </row>
    <row r="82" spans="1:2" x14ac:dyDescent="0.3">
      <c r="A82" t="s">
        <v>17</v>
      </c>
      <c r="B82">
        <v>325</v>
      </c>
    </row>
    <row r="83" spans="1:2" x14ac:dyDescent="0.3">
      <c r="A83" t="s">
        <v>17</v>
      </c>
      <c r="B83">
        <v>125</v>
      </c>
    </row>
    <row r="84" spans="1:2" x14ac:dyDescent="0.3">
      <c r="A84" t="s">
        <v>17</v>
      </c>
      <c r="B84">
        <v>140</v>
      </c>
    </row>
    <row r="85" spans="1:2" x14ac:dyDescent="0.3">
      <c r="A85" t="s">
        <v>20</v>
      </c>
      <c r="B85">
        <v>59</v>
      </c>
    </row>
    <row r="86" spans="1:2" x14ac:dyDescent="0.3">
      <c r="A86" t="s">
        <v>17</v>
      </c>
      <c r="B86">
        <v>135</v>
      </c>
    </row>
    <row r="87" spans="1:2" x14ac:dyDescent="0.3">
      <c r="A87" t="s">
        <v>17</v>
      </c>
      <c r="B87">
        <v>170</v>
      </c>
    </row>
    <row r="88" spans="1:2" x14ac:dyDescent="0.3">
      <c r="A88" t="s">
        <v>20</v>
      </c>
      <c r="B88">
        <v>127</v>
      </c>
    </row>
    <row r="89" spans="1:2" x14ac:dyDescent="0.3">
      <c r="A89" t="s">
        <v>20</v>
      </c>
      <c r="B89">
        <v>90</v>
      </c>
    </row>
    <row r="90" spans="1:2" x14ac:dyDescent="0.3">
      <c r="A90" t="s">
        <v>30</v>
      </c>
      <c r="B90">
        <v>64</v>
      </c>
    </row>
    <row r="91" spans="1:2" x14ac:dyDescent="0.3">
      <c r="A91" t="s">
        <v>17</v>
      </c>
      <c r="B91">
        <v>81</v>
      </c>
    </row>
    <row r="92" spans="1:2" x14ac:dyDescent="0.3">
      <c r="A92" t="s">
        <v>17</v>
      </c>
      <c r="B92">
        <v>58</v>
      </c>
    </row>
    <row r="93" spans="1:2" x14ac:dyDescent="0.3">
      <c r="A93" t="s">
        <v>17</v>
      </c>
      <c r="B93">
        <v>145</v>
      </c>
    </row>
    <row r="94" spans="1:2" x14ac:dyDescent="0.3">
      <c r="A94" t="s">
        <v>17</v>
      </c>
      <c r="B94">
        <v>65</v>
      </c>
    </row>
    <row r="95" spans="1:2" x14ac:dyDescent="0.3">
      <c r="A95" t="s">
        <v>20</v>
      </c>
      <c r="B95">
        <v>115</v>
      </c>
    </row>
    <row r="96" spans="1:2" x14ac:dyDescent="0.3">
      <c r="A96" t="s">
        <v>17</v>
      </c>
      <c r="B96">
        <v>102</v>
      </c>
    </row>
    <row r="97" spans="1:2" x14ac:dyDescent="0.3">
      <c r="A97" t="s">
        <v>17</v>
      </c>
      <c r="B97">
        <v>109</v>
      </c>
    </row>
    <row r="98" spans="1:2" x14ac:dyDescent="0.3">
      <c r="A98" t="s">
        <v>17</v>
      </c>
      <c r="B98">
        <v>102</v>
      </c>
    </row>
    <row r="99" spans="1:2" x14ac:dyDescent="0.3">
      <c r="A99" t="s">
        <v>20</v>
      </c>
      <c r="B99">
        <v>175</v>
      </c>
    </row>
    <row r="100" spans="1:2" x14ac:dyDescent="0.3">
      <c r="A100" t="s">
        <v>20</v>
      </c>
      <c r="B100">
        <v>129</v>
      </c>
    </row>
    <row r="101" spans="1:2" x14ac:dyDescent="0.3">
      <c r="A101" t="s">
        <v>20</v>
      </c>
      <c r="B101">
        <v>130</v>
      </c>
    </row>
    <row r="102" spans="1:2" x14ac:dyDescent="0.3">
      <c r="A102" t="s">
        <v>20</v>
      </c>
      <c r="B102">
        <v>119</v>
      </c>
    </row>
    <row r="103" spans="1:2" x14ac:dyDescent="0.3">
      <c r="A103" t="s">
        <v>20</v>
      </c>
      <c r="B103">
        <v>120</v>
      </c>
    </row>
    <row r="104" spans="1:2" x14ac:dyDescent="0.3">
      <c r="A104" t="s">
        <v>30</v>
      </c>
      <c r="B104">
        <v>121</v>
      </c>
    </row>
    <row r="105" spans="1:2" x14ac:dyDescent="0.3">
      <c r="A105" t="s">
        <v>20</v>
      </c>
      <c r="B105">
        <v>148</v>
      </c>
    </row>
    <row r="106" spans="1:2" x14ac:dyDescent="0.3">
      <c r="A106" t="s">
        <v>20</v>
      </c>
      <c r="B106">
        <v>179</v>
      </c>
    </row>
    <row r="107" spans="1:2" x14ac:dyDescent="0.3">
      <c r="A107" t="s">
        <v>20</v>
      </c>
      <c r="B107">
        <v>137</v>
      </c>
    </row>
    <row r="108" spans="1:2" x14ac:dyDescent="0.3">
      <c r="A108" t="s">
        <v>17</v>
      </c>
      <c r="B108">
        <v>209</v>
      </c>
    </row>
    <row r="109" spans="1:2" x14ac:dyDescent="0.3">
      <c r="A109" t="s">
        <v>20</v>
      </c>
      <c r="B109">
        <v>120</v>
      </c>
    </row>
    <row r="110" spans="1:2" x14ac:dyDescent="0.3">
      <c r="A110" t="s">
        <v>17</v>
      </c>
      <c r="B110">
        <v>152</v>
      </c>
    </row>
    <row r="111" spans="1:2" x14ac:dyDescent="0.3">
      <c r="A111" t="s">
        <v>17</v>
      </c>
      <c r="B111">
        <v>60</v>
      </c>
    </row>
    <row r="112" spans="1:2" x14ac:dyDescent="0.3">
      <c r="A112" t="s">
        <v>17</v>
      </c>
      <c r="B112">
        <v>215</v>
      </c>
    </row>
    <row r="113" spans="1:2" x14ac:dyDescent="0.3">
      <c r="A113" t="s">
        <v>17</v>
      </c>
      <c r="B113">
        <v>158</v>
      </c>
    </row>
    <row r="114" spans="1:2" x14ac:dyDescent="0.3">
      <c r="A114" t="s">
        <v>20</v>
      </c>
      <c r="B114">
        <v>175</v>
      </c>
    </row>
    <row r="115" spans="1:2" x14ac:dyDescent="0.3">
      <c r="A115" t="s">
        <v>17</v>
      </c>
      <c r="B115">
        <v>175</v>
      </c>
    </row>
    <row r="116" spans="1:2" x14ac:dyDescent="0.3">
      <c r="A116" t="s">
        <v>30</v>
      </c>
      <c r="B116">
        <v>140</v>
      </c>
    </row>
    <row r="117" spans="1:2" x14ac:dyDescent="0.3">
      <c r="A117" t="s">
        <v>17</v>
      </c>
      <c r="B117">
        <v>99</v>
      </c>
    </row>
    <row r="118" spans="1:2" x14ac:dyDescent="0.3">
      <c r="A118" t="s">
        <v>17</v>
      </c>
      <c r="B118">
        <v>224</v>
      </c>
    </row>
    <row r="119" spans="1:2" x14ac:dyDescent="0.3">
      <c r="A119" t="s">
        <v>20</v>
      </c>
      <c r="B119">
        <v>122</v>
      </c>
    </row>
    <row r="120" spans="1:2" x14ac:dyDescent="0.3">
      <c r="A120" t="s">
        <v>20</v>
      </c>
      <c r="B120">
        <v>160</v>
      </c>
    </row>
    <row r="121" spans="1:2" x14ac:dyDescent="0.3">
      <c r="A121" t="s">
        <v>30</v>
      </c>
      <c r="B121">
        <v>136</v>
      </c>
    </row>
    <row r="122" spans="1:2" x14ac:dyDescent="0.3">
      <c r="A122" t="s">
        <v>17</v>
      </c>
      <c r="B122">
        <v>74</v>
      </c>
    </row>
    <row r="123" spans="1:2" x14ac:dyDescent="0.3">
      <c r="A123" t="s">
        <v>17</v>
      </c>
      <c r="B123">
        <v>175</v>
      </c>
    </row>
    <row r="124" spans="1:2" x14ac:dyDescent="0.3">
      <c r="A124" t="s">
        <v>17</v>
      </c>
      <c r="B124">
        <v>68</v>
      </c>
    </row>
    <row r="125" spans="1:2" x14ac:dyDescent="0.3">
      <c r="A125" t="s">
        <v>20</v>
      </c>
      <c r="B125">
        <v>136</v>
      </c>
    </row>
    <row r="126" spans="1:2" x14ac:dyDescent="0.3">
      <c r="A126" t="s">
        <v>20</v>
      </c>
      <c r="B126">
        <v>132</v>
      </c>
    </row>
    <row r="127" spans="1:2" x14ac:dyDescent="0.3">
      <c r="A127" t="s">
        <v>17</v>
      </c>
      <c r="B127">
        <v>188</v>
      </c>
    </row>
    <row r="128" spans="1:2" x14ac:dyDescent="0.3">
      <c r="A128" t="s">
        <v>17</v>
      </c>
      <c r="B128">
        <v>110</v>
      </c>
    </row>
    <row r="129" spans="1:2" x14ac:dyDescent="0.3">
      <c r="A129" t="s">
        <v>17</v>
      </c>
      <c r="B129">
        <v>194</v>
      </c>
    </row>
    <row r="130" spans="1:2" x14ac:dyDescent="0.3">
      <c r="A130" t="s">
        <v>30</v>
      </c>
      <c r="B130">
        <v>56</v>
      </c>
    </row>
    <row r="131" spans="1:2" x14ac:dyDescent="0.3">
      <c r="A131" t="s">
        <v>20</v>
      </c>
      <c r="B131">
        <v>59</v>
      </c>
    </row>
    <row r="132" spans="1:2" x14ac:dyDescent="0.3">
      <c r="A132" t="s">
        <v>17</v>
      </c>
      <c r="B132">
        <v>55</v>
      </c>
    </row>
    <row r="133" spans="1:2" x14ac:dyDescent="0.3">
      <c r="A133" t="s">
        <v>20</v>
      </c>
      <c r="B133">
        <v>170</v>
      </c>
    </row>
    <row r="134" spans="1:2" x14ac:dyDescent="0.3">
      <c r="A134" t="s">
        <v>30</v>
      </c>
      <c r="B134">
        <v>72</v>
      </c>
    </row>
    <row r="135" spans="1:2" x14ac:dyDescent="0.3">
      <c r="A135" t="s">
        <v>20</v>
      </c>
      <c r="B135">
        <v>122</v>
      </c>
    </row>
    <row r="136" spans="1:2" x14ac:dyDescent="0.3">
      <c r="A136" t="s">
        <v>20</v>
      </c>
      <c r="B136">
        <v>120</v>
      </c>
    </row>
    <row r="137" spans="1:2" x14ac:dyDescent="0.3">
      <c r="A137" t="s">
        <v>20</v>
      </c>
      <c r="B137">
        <v>108</v>
      </c>
    </row>
    <row r="138" spans="1:2" x14ac:dyDescent="0.3">
      <c r="A138" t="s">
        <v>17</v>
      </c>
      <c r="B138">
        <v>240</v>
      </c>
    </row>
    <row r="139" spans="1:2" x14ac:dyDescent="0.3">
      <c r="A139" t="s">
        <v>20</v>
      </c>
      <c r="B139">
        <v>50</v>
      </c>
    </row>
    <row r="140" spans="1:2" x14ac:dyDescent="0.3">
      <c r="A140" t="s">
        <v>17</v>
      </c>
      <c r="B140">
        <v>90</v>
      </c>
    </row>
    <row r="141" spans="1:2" x14ac:dyDescent="0.3">
      <c r="A141" t="s">
        <v>17</v>
      </c>
      <c r="B141">
        <v>155</v>
      </c>
    </row>
    <row r="142" spans="1:2" x14ac:dyDescent="0.3">
      <c r="A142" t="s">
        <v>17</v>
      </c>
      <c r="B142">
        <v>95</v>
      </c>
    </row>
    <row r="143" spans="1:2" x14ac:dyDescent="0.3">
      <c r="A143" t="s">
        <v>20</v>
      </c>
      <c r="B143">
        <v>110</v>
      </c>
    </row>
    <row r="144" spans="1:2" x14ac:dyDescent="0.3">
      <c r="A144" t="s">
        <v>20</v>
      </c>
      <c r="B144">
        <v>220</v>
      </c>
    </row>
    <row r="145" spans="1:2" x14ac:dyDescent="0.3">
      <c r="A145" t="s">
        <v>20</v>
      </c>
      <c r="B145">
        <v>139</v>
      </c>
    </row>
    <row r="146" spans="1:2" x14ac:dyDescent="0.3">
      <c r="A146" t="s">
        <v>20</v>
      </c>
      <c r="B146">
        <v>113</v>
      </c>
    </row>
    <row r="147" spans="1:2" x14ac:dyDescent="0.3">
      <c r="A147" t="s">
        <v>20</v>
      </c>
      <c r="B147">
        <v>120</v>
      </c>
    </row>
    <row r="148" spans="1:2" x14ac:dyDescent="0.3">
      <c r="A148" t="s">
        <v>20</v>
      </c>
      <c r="B148">
        <v>135</v>
      </c>
    </row>
    <row r="149" spans="1:2" x14ac:dyDescent="0.3">
      <c r="A149" t="s">
        <v>31</v>
      </c>
      <c r="B149">
        <v>50</v>
      </c>
    </row>
    <row r="150" spans="1:2" x14ac:dyDescent="0.3">
      <c r="A150" t="s">
        <v>17</v>
      </c>
      <c r="B150">
        <v>115</v>
      </c>
    </row>
    <row r="151" spans="1:2" x14ac:dyDescent="0.3">
      <c r="A151" t="s">
        <v>20</v>
      </c>
      <c r="B151">
        <v>180</v>
      </c>
    </row>
    <row r="152" spans="1:2" x14ac:dyDescent="0.3">
      <c r="A152" t="s">
        <v>20</v>
      </c>
      <c r="B152">
        <v>69</v>
      </c>
    </row>
    <row r="153" spans="1:2" x14ac:dyDescent="0.3">
      <c r="A153" t="s">
        <v>30</v>
      </c>
      <c r="B153">
        <v>180</v>
      </c>
    </row>
    <row r="154" spans="1:2" x14ac:dyDescent="0.3">
      <c r="A154" t="s">
        <v>31</v>
      </c>
      <c r="B154">
        <v>87</v>
      </c>
    </row>
    <row r="155" spans="1:2" x14ac:dyDescent="0.3">
      <c r="A155" t="s">
        <v>17</v>
      </c>
      <c r="B155">
        <v>120</v>
      </c>
    </row>
    <row r="156" spans="1:2" x14ac:dyDescent="0.3">
      <c r="A156" t="s">
        <v>30</v>
      </c>
      <c r="B156">
        <v>72</v>
      </c>
    </row>
    <row r="157" spans="1:2" x14ac:dyDescent="0.3">
      <c r="A157" t="s">
        <v>17</v>
      </c>
      <c r="B157">
        <v>177</v>
      </c>
    </row>
    <row r="158" spans="1:2" x14ac:dyDescent="0.3">
      <c r="A158" t="s">
        <v>30</v>
      </c>
      <c r="B158">
        <v>65</v>
      </c>
    </row>
    <row r="159" spans="1:2" x14ac:dyDescent="0.3">
      <c r="A159" t="s">
        <v>20</v>
      </c>
      <c r="B159">
        <v>131</v>
      </c>
    </row>
    <row r="160" spans="1:2" x14ac:dyDescent="0.3">
      <c r="A160" t="s">
        <v>17</v>
      </c>
      <c r="B160">
        <v>52</v>
      </c>
    </row>
    <row r="161" spans="1:2" x14ac:dyDescent="0.3">
      <c r="A161" t="s">
        <v>20</v>
      </c>
      <c r="B161">
        <v>178</v>
      </c>
    </row>
    <row r="162" spans="1:2" x14ac:dyDescent="0.3">
      <c r="A162" t="s">
        <v>20</v>
      </c>
      <c r="B162">
        <v>85</v>
      </c>
    </row>
    <row r="163" spans="1:2" x14ac:dyDescent="0.3">
      <c r="A163" t="s">
        <v>20</v>
      </c>
      <c r="B163">
        <v>200</v>
      </c>
    </row>
    <row r="164" spans="1:2" x14ac:dyDescent="0.3">
      <c r="A164" t="s">
        <v>31</v>
      </c>
      <c r="B164">
        <v>58</v>
      </c>
    </row>
    <row r="165" spans="1:2" x14ac:dyDescent="0.3">
      <c r="A165" t="s">
        <v>30</v>
      </c>
      <c r="B165">
        <v>143</v>
      </c>
    </row>
    <row r="166" spans="1:2" x14ac:dyDescent="0.3">
      <c r="A166" t="s">
        <v>20</v>
      </c>
      <c r="B166">
        <v>105</v>
      </c>
    </row>
    <row r="167" spans="1:2" x14ac:dyDescent="0.3">
      <c r="A167" t="s">
        <v>17</v>
      </c>
      <c r="B167">
        <v>190</v>
      </c>
    </row>
    <row r="168" spans="1:2" x14ac:dyDescent="0.3">
      <c r="A168" t="s">
        <v>17</v>
      </c>
      <c r="B168">
        <v>154</v>
      </c>
    </row>
    <row r="169" spans="1:2" x14ac:dyDescent="0.3">
      <c r="A169" t="s">
        <v>17</v>
      </c>
      <c r="B169">
        <v>80</v>
      </c>
    </row>
    <row r="170" spans="1:2" x14ac:dyDescent="0.3">
      <c r="A170" t="s">
        <v>30</v>
      </c>
      <c r="B170">
        <v>140</v>
      </c>
    </row>
    <row r="171" spans="1:2" x14ac:dyDescent="0.3">
      <c r="A171" t="s">
        <v>17</v>
      </c>
      <c r="B171">
        <v>51</v>
      </c>
    </row>
    <row r="172" spans="1:2" x14ac:dyDescent="0.3">
      <c r="A172" t="s">
        <v>17</v>
      </c>
      <c r="B172">
        <v>84</v>
      </c>
    </row>
    <row r="173" spans="1:2" x14ac:dyDescent="0.3">
      <c r="A173" t="s">
        <v>20</v>
      </c>
      <c r="B173">
        <v>75</v>
      </c>
    </row>
    <row r="174" spans="1:2" x14ac:dyDescent="0.3">
      <c r="A174" t="s">
        <v>20</v>
      </c>
      <c r="B174">
        <v>129</v>
      </c>
    </row>
    <row r="175" spans="1:2" x14ac:dyDescent="0.3">
      <c r="A175" t="s">
        <v>17</v>
      </c>
      <c r="B175">
        <v>127</v>
      </c>
    </row>
    <row r="176" spans="1:2" x14ac:dyDescent="0.3">
      <c r="A176" t="s">
        <v>20</v>
      </c>
      <c r="B176">
        <v>104</v>
      </c>
    </row>
    <row r="177" spans="1:2" x14ac:dyDescent="0.3">
      <c r="A177" t="s">
        <v>17</v>
      </c>
      <c r="B177">
        <v>56</v>
      </c>
    </row>
    <row r="178" spans="1:2" x14ac:dyDescent="0.3">
      <c r="A178" t="s">
        <v>20</v>
      </c>
      <c r="B178">
        <v>74</v>
      </c>
    </row>
    <row r="179" spans="1:2" x14ac:dyDescent="0.3">
      <c r="A179" t="s">
        <v>17</v>
      </c>
      <c r="B179">
        <v>192</v>
      </c>
    </row>
    <row r="180" spans="1:2" x14ac:dyDescent="0.3">
      <c r="A180" t="s">
        <v>17</v>
      </c>
      <c r="B180">
        <v>103</v>
      </c>
    </row>
    <row r="181" spans="1:2" x14ac:dyDescent="0.3">
      <c r="A181" t="s">
        <v>31</v>
      </c>
      <c r="B181">
        <v>55</v>
      </c>
    </row>
    <row r="182" spans="1:2" x14ac:dyDescent="0.3">
      <c r="A182" t="s">
        <v>17</v>
      </c>
      <c r="B182">
        <v>130</v>
      </c>
    </row>
    <row r="183" spans="1:2" x14ac:dyDescent="0.3">
      <c r="A183" t="s">
        <v>17</v>
      </c>
      <c r="B183">
        <v>110</v>
      </c>
    </row>
    <row r="184" spans="1:2" x14ac:dyDescent="0.3">
      <c r="A184" t="s">
        <v>17</v>
      </c>
      <c r="B184">
        <v>100</v>
      </c>
    </row>
    <row r="185" spans="1:2" x14ac:dyDescent="0.3">
      <c r="A185" t="s">
        <v>17</v>
      </c>
      <c r="B185">
        <v>145</v>
      </c>
    </row>
    <row r="186" spans="1:2" x14ac:dyDescent="0.3">
      <c r="A186" t="s">
        <v>17</v>
      </c>
      <c r="B186">
        <v>250</v>
      </c>
    </row>
    <row r="187" spans="1:2" x14ac:dyDescent="0.3">
      <c r="A187" t="s">
        <v>20</v>
      </c>
      <c r="B187">
        <v>173</v>
      </c>
    </row>
    <row r="188" spans="1:2" x14ac:dyDescent="0.3">
      <c r="A188" t="s">
        <v>17</v>
      </c>
      <c r="B188">
        <v>80</v>
      </c>
    </row>
    <row r="189" spans="1:2" x14ac:dyDescent="0.3">
      <c r="A189" t="s">
        <v>30</v>
      </c>
      <c r="B189">
        <v>150</v>
      </c>
    </row>
    <row r="190" spans="1:2" x14ac:dyDescent="0.3">
      <c r="A190" t="s">
        <v>20</v>
      </c>
      <c r="B190">
        <v>76</v>
      </c>
    </row>
    <row r="191" spans="1:2" x14ac:dyDescent="0.3">
      <c r="A191" t="s">
        <v>17</v>
      </c>
      <c r="B191">
        <v>112</v>
      </c>
    </row>
    <row r="192" spans="1:2" x14ac:dyDescent="0.3">
      <c r="A192" t="s">
        <v>30</v>
      </c>
      <c r="B192">
        <v>119</v>
      </c>
    </row>
    <row r="193" spans="1:2" x14ac:dyDescent="0.3">
      <c r="A193" t="s">
        <v>17</v>
      </c>
      <c r="B193">
        <v>75</v>
      </c>
    </row>
    <row r="194" spans="1:2" x14ac:dyDescent="0.3">
      <c r="A194" t="s">
        <v>17</v>
      </c>
      <c r="B194">
        <v>280</v>
      </c>
    </row>
    <row r="195" spans="1:2" x14ac:dyDescent="0.3">
      <c r="A195" t="s">
        <v>30</v>
      </c>
      <c r="B195">
        <v>142</v>
      </c>
    </row>
    <row r="196" spans="1:2" x14ac:dyDescent="0.3">
      <c r="A196" t="s">
        <v>17</v>
      </c>
      <c r="B196">
        <v>147</v>
      </c>
    </row>
    <row r="197" spans="1:2" x14ac:dyDescent="0.3">
      <c r="A197" t="s">
        <v>20</v>
      </c>
      <c r="B197">
        <v>98</v>
      </c>
    </row>
    <row r="198" spans="1:2" x14ac:dyDescent="0.3">
      <c r="A198" t="s">
        <v>17</v>
      </c>
      <c r="B198">
        <v>252</v>
      </c>
    </row>
    <row r="199" spans="1:2" x14ac:dyDescent="0.3">
      <c r="A199" t="s">
        <v>17</v>
      </c>
      <c r="B199">
        <v>77</v>
      </c>
    </row>
    <row r="200" spans="1:2" x14ac:dyDescent="0.3">
      <c r="A200" t="s">
        <v>30</v>
      </c>
      <c r="B200">
        <v>50</v>
      </c>
    </row>
    <row r="201" spans="1:2" x14ac:dyDescent="0.3">
      <c r="A201" t="s">
        <v>30</v>
      </c>
      <c r="B201">
        <v>139</v>
      </c>
    </row>
    <row r="202" spans="1:2" x14ac:dyDescent="0.3">
      <c r="A202" t="s">
        <v>20</v>
      </c>
      <c r="B202">
        <v>120</v>
      </c>
    </row>
    <row r="203" spans="1:2" x14ac:dyDescent="0.3">
      <c r="A203" t="s">
        <v>17</v>
      </c>
      <c r="B203">
        <v>139</v>
      </c>
    </row>
    <row r="204" spans="1:2" x14ac:dyDescent="0.3">
      <c r="A204" t="s">
        <v>17</v>
      </c>
      <c r="B204">
        <v>186</v>
      </c>
    </row>
    <row r="205" spans="1:2" x14ac:dyDescent="0.3">
      <c r="A205" t="s">
        <v>17</v>
      </c>
      <c r="B205">
        <v>191</v>
      </c>
    </row>
    <row r="206" spans="1:2" x14ac:dyDescent="0.3">
      <c r="A206" t="s">
        <v>31</v>
      </c>
      <c r="B206">
        <v>50</v>
      </c>
    </row>
    <row r="207" spans="1:2" x14ac:dyDescent="0.3">
      <c r="A207" t="s">
        <v>31</v>
      </c>
      <c r="B207">
        <v>146</v>
      </c>
    </row>
    <row r="208" spans="1:2" x14ac:dyDescent="0.3">
      <c r="A208" t="s">
        <v>17</v>
      </c>
      <c r="B208">
        <v>125</v>
      </c>
    </row>
    <row r="209" spans="1:2" x14ac:dyDescent="0.3">
      <c r="A209" t="s">
        <v>17</v>
      </c>
      <c r="B209">
        <v>74</v>
      </c>
    </row>
    <row r="210" spans="1:2" x14ac:dyDescent="0.3">
      <c r="A210" t="s">
        <v>30</v>
      </c>
      <c r="B210">
        <v>50</v>
      </c>
    </row>
    <row r="211" spans="1:2" x14ac:dyDescent="0.3">
      <c r="A211" t="s">
        <v>17</v>
      </c>
      <c r="B211">
        <v>128</v>
      </c>
    </row>
    <row r="212" spans="1:2" x14ac:dyDescent="0.3">
      <c r="A212" t="s">
        <v>17</v>
      </c>
      <c r="B212">
        <v>305</v>
      </c>
    </row>
    <row r="213" spans="1:2" x14ac:dyDescent="0.3">
      <c r="A213" t="s">
        <v>20</v>
      </c>
      <c r="B213">
        <v>62</v>
      </c>
    </row>
    <row r="214" spans="1:2" x14ac:dyDescent="0.3">
      <c r="A214" t="s">
        <v>30</v>
      </c>
      <c r="B214">
        <v>124</v>
      </c>
    </row>
    <row r="215" spans="1:2" x14ac:dyDescent="0.3">
      <c r="A215" t="s">
        <v>30</v>
      </c>
      <c r="B215">
        <v>74</v>
      </c>
    </row>
    <row r="216" spans="1:2" x14ac:dyDescent="0.3">
      <c r="A216" t="s">
        <v>30</v>
      </c>
      <c r="B216">
        <v>100</v>
      </c>
    </row>
    <row r="217" spans="1:2" x14ac:dyDescent="0.3">
      <c r="A217" t="s">
        <v>17</v>
      </c>
      <c r="B217">
        <v>70</v>
      </c>
    </row>
    <row r="218" spans="1:2" x14ac:dyDescent="0.3">
      <c r="A218" t="s">
        <v>17</v>
      </c>
      <c r="B218">
        <v>131</v>
      </c>
    </row>
    <row r="219" spans="1:2" x14ac:dyDescent="0.3">
      <c r="A219" t="s">
        <v>17</v>
      </c>
      <c r="B219">
        <v>105</v>
      </c>
    </row>
    <row r="220" spans="1:2" x14ac:dyDescent="0.3">
      <c r="A220" t="s">
        <v>20</v>
      </c>
      <c r="B220">
        <v>450</v>
      </c>
    </row>
    <row r="221" spans="1:2" x14ac:dyDescent="0.3">
      <c r="A221" t="s">
        <v>20</v>
      </c>
      <c r="B221">
        <v>293</v>
      </c>
    </row>
    <row r="222" spans="1:2" x14ac:dyDescent="0.3">
      <c r="A222" t="s">
        <v>17</v>
      </c>
      <c r="B222">
        <v>85</v>
      </c>
    </row>
    <row r="223" spans="1:2" x14ac:dyDescent="0.3">
      <c r="A223" t="s">
        <v>17</v>
      </c>
      <c r="B223">
        <v>247</v>
      </c>
    </row>
    <row r="224" spans="1:2" x14ac:dyDescent="0.3">
      <c r="A224" t="s">
        <v>17</v>
      </c>
      <c r="B224">
        <v>70</v>
      </c>
    </row>
    <row r="225" spans="1:2" x14ac:dyDescent="0.3">
      <c r="A225" t="s">
        <v>17</v>
      </c>
      <c r="B225">
        <v>86</v>
      </c>
    </row>
    <row r="226" spans="1:2" x14ac:dyDescent="0.3">
      <c r="A226" t="s">
        <v>20</v>
      </c>
      <c r="B226">
        <v>200</v>
      </c>
    </row>
    <row r="227" spans="1:2" x14ac:dyDescent="0.3">
      <c r="A227" t="s">
        <v>17</v>
      </c>
      <c r="B227">
        <v>100</v>
      </c>
    </row>
    <row r="228" spans="1:2" x14ac:dyDescent="0.3">
      <c r="A228" t="s">
        <v>31</v>
      </c>
      <c r="B228">
        <v>54</v>
      </c>
    </row>
    <row r="229" spans="1:2" x14ac:dyDescent="0.3">
      <c r="A229" t="s">
        <v>20</v>
      </c>
      <c r="B229">
        <v>266</v>
      </c>
    </row>
    <row r="230" spans="1:2" x14ac:dyDescent="0.3">
      <c r="A230" t="s">
        <v>20</v>
      </c>
      <c r="B230">
        <v>283</v>
      </c>
    </row>
    <row r="231" spans="1:2" x14ac:dyDescent="0.3">
      <c r="A231" t="s">
        <v>20</v>
      </c>
      <c r="B231">
        <v>416</v>
      </c>
    </row>
    <row r="232" spans="1:2" x14ac:dyDescent="0.3">
      <c r="A232" t="s">
        <v>20</v>
      </c>
      <c r="B232">
        <v>232</v>
      </c>
    </row>
    <row r="233" spans="1:2" x14ac:dyDescent="0.3">
      <c r="A233" t="s">
        <v>20</v>
      </c>
      <c r="B233">
        <v>70</v>
      </c>
    </row>
    <row r="234" spans="1:2" x14ac:dyDescent="0.3">
      <c r="A234" t="s">
        <v>30</v>
      </c>
      <c r="B234">
        <v>270</v>
      </c>
    </row>
    <row r="235" spans="1:2" x14ac:dyDescent="0.3">
      <c r="A235" t="s">
        <v>20</v>
      </c>
      <c r="B235">
        <v>110</v>
      </c>
    </row>
    <row r="236" spans="1:2" x14ac:dyDescent="0.3">
      <c r="A236" t="s">
        <v>17</v>
      </c>
      <c r="B236">
        <v>62</v>
      </c>
    </row>
    <row r="237" spans="1:2" x14ac:dyDescent="0.3">
      <c r="A237" t="s">
        <v>30</v>
      </c>
      <c r="B237">
        <v>82</v>
      </c>
    </row>
    <row r="238" spans="1:2" x14ac:dyDescent="0.3">
      <c r="A238" t="s">
        <v>17</v>
      </c>
      <c r="B238">
        <v>84</v>
      </c>
    </row>
    <row r="239" spans="1:2" x14ac:dyDescent="0.3">
      <c r="A239" t="s">
        <v>30</v>
      </c>
      <c r="B239">
        <v>69</v>
      </c>
    </row>
    <row r="240" spans="1:2" x14ac:dyDescent="0.3">
      <c r="A240" t="s">
        <v>20</v>
      </c>
      <c r="B240">
        <v>133</v>
      </c>
    </row>
    <row r="241" spans="1:2" x14ac:dyDescent="0.3">
      <c r="A241" t="s">
        <v>30</v>
      </c>
      <c r="B241">
        <v>100</v>
      </c>
    </row>
    <row r="242" spans="1:2" x14ac:dyDescent="0.3">
      <c r="A242" t="s">
        <v>20</v>
      </c>
      <c r="B242">
        <v>389</v>
      </c>
    </row>
    <row r="243" spans="1:2" x14ac:dyDescent="0.3">
      <c r="A243" t="s">
        <v>17</v>
      </c>
      <c r="B243">
        <v>117</v>
      </c>
    </row>
    <row r="244" spans="1:2" x14ac:dyDescent="0.3">
      <c r="A244" t="s">
        <v>20</v>
      </c>
      <c r="B244">
        <v>301</v>
      </c>
    </row>
    <row r="245" spans="1:2" x14ac:dyDescent="0.3">
      <c r="A245" t="s">
        <v>31</v>
      </c>
      <c r="B245">
        <v>75</v>
      </c>
    </row>
    <row r="246" spans="1:2" x14ac:dyDescent="0.3">
      <c r="A246" t="s">
        <v>20</v>
      </c>
      <c r="B246">
        <v>220</v>
      </c>
    </row>
    <row r="247" spans="1:2" x14ac:dyDescent="0.3">
      <c r="A247" t="s">
        <v>17</v>
      </c>
      <c r="B247">
        <v>143</v>
      </c>
    </row>
    <row r="248" spans="1:2" x14ac:dyDescent="0.3">
      <c r="A248" t="s">
        <v>17</v>
      </c>
      <c r="B248">
        <v>98</v>
      </c>
    </row>
    <row r="249" spans="1:2" x14ac:dyDescent="0.3">
      <c r="A249" t="s">
        <v>20</v>
      </c>
      <c r="B249">
        <v>234</v>
      </c>
    </row>
    <row r="250" spans="1:2" x14ac:dyDescent="0.3">
      <c r="A250" t="s">
        <v>17</v>
      </c>
      <c r="B250">
        <v>139</v>
      </c>
    </row>
    <row r="251" spans="1:2" x14ac:dyDescent="0.3">
      <c r="A251" t="s">
        <v>20</v>
      </c>
      <c r="B251">
        <v>113</v>
      </c>
    </row>
    <row r="252" spans="1:2" x14ac:dyDescent="0.3">
      <c r="A252" t="s">
        <v>31</v>
      </c>
      <c r="B252">
        <v>67</v>
      </c>
    </row>
    <row r="253" spans="1:2" x14ac:dyDescent="0.3">
      <c r="A253" t="s">
        <v>20</v>
      </c>
      <c r="B253">
        <v>264</v>
      </c>
    </row>
    <row r="254" spans="1:2" x14ac:dyDescent="0.3">
      <c r="A254" t="s">
        <v>30</v>
      </c>
      <c r="B254">
        <v>68</v>
      </c>
    </row>
    <row r="255" spans="1:2" x14ac:dyDescent="0.3">
      <c r="A255" t="s">
        <v>17</v>
      </c>
      <c r="B255">
        <v>70</v>
      </c>
    </row>
    <row r="256" spans="1:2" x14ac:dyDescent="0.3">
      <c r="A256" t="s">
        <v>20</v>
      </c>
      <c r="B256">
        <v>183</v>
      </c>
    </row>
    <row r="257" spans="1:2" x14ac:dyDescent="0.3">
      <c r="A257" t="s">
        <v>91</v>
      </c>
      <c r="B257">
        <v>100</v>
      </c>
    </row>
    <row r="258" spans="1:2" x14ac:dyDescent="0.3">
      <c r="A258" t="s">
        <v>17</v>
      </c>
      <c r="B258">
        <v>159</v>
      </c>
    </row>
    <row r="259" spans="1:2" x14ac:dyDescent="0.3">
      <c r="A259" t="s">
        <v>20</v>
      </c>
      <c r="B259">
        <v>324</v>
      </c>
    </row>
    <row r="260" spans="1:2" x14ac:dyDescent="0.3">
      <c r="A260" t="s">
        <v>20</v>
      </c>
      <c r="B260">
        <v>310</v>
      </c>
    </row>
    <row r="261" spans="1:2" x14ac:dyDescent="0.3">
      <c r="A261" t="s">
        <v>20</v>
      </c>
      <c r="B261">
        <v>230</v>
      </c>
    </row>
    <row r="262" spans="1:2" x14ac:dyDescent="0.3">
      <c r="A262" t="s">
        <v>20</v>
      </c>
      <c r="B262">
        <v>79</v>
      </c>
    </row>
    <row r="263" spans="1:2" x14ac:dyDescent="0.3">
      <c r="A263" t="s">
        <v>17</v>
      </c>
      <c r="B263">
        <v>203</v>
      </c>
    </row>
    <row r="264" spans="1:2" x14ac:dyDescent="0.3">
      <c r="A264" t="s">
        <v>17</v>
      </c>
      <c r="B264">
        <v>80</v>
      </c>
    </row>
    <row r="265" spans="1:2" x14ac:dyDescent="0.3">
      <c r="A265" t="s">
        <v>31</v>
      </c>
      <c r="B265">
        <v>92</v>
      </c>
    </row>
    <row r="266" spans="1:2" x14ac:dyDescent="0.3">
      <c r="A266" t="s">
        <v>30</v>
      </c>
      <c r="B266">
        <v>59</v>
      </c>
    </row>
    <row r="267" spans="1:2" x14ac:dyDescent="0.3">
      <c r="A267" t="s">
        <v>17</v>
      </c>
      <c r="B267">
        <v>145</v>
      </c>
    </row>
    <row r="268" spans="1:2" x14ac:dyDescent="0.3">
      <c r="A268" t="s">
        <v>20</v>
      </c>
      <c r="B268">
        <v>146</v>
      </c>
    </row>
    <row r="269" spans="1:2" x14ac:dyDescent="0.3">
      <c r="A269" t="s">
        <v>17</v>
      </c>
      <c r="B269">
        <v>157</v>
      </c>
    </row>
    <row r="270" spans="1:2" x14ac:dyDescent="0.3">
      <c r="A270" t="s">
        <v>20</v>
      </c>
      <c r="B270">
        <v>182</v>
      </c>
    </row>
    <row r="271" spans="1:2" x14ac:dyDescent="0.3">
      <c r="A271" t="s">
        <v>20</v>
      </c>
      <c r="B271">
        <v>284</v>
      </c>
    </row>
    <row r="272" spans="1:2" x14ac:dyDescent="0.3">
      <c r="A272" t="s">
        <v>17</v>
      </c>
      <c r="B272">
        <v>143</v>
      </c>
    </row>
    <row r="273" spans="1:2" x14ac:dyDescent="0.3">
      <c r="A273" t="s">
        <v>17</v>
      </c>
      <c r="B273">
        <v>245</v>
      </c>
    </row>
    <row r="274" spans="1:2" x14ac:dyDescent="0.3">
      <c r="A274" t="s">
        <v>20</v>
      </c>
      <c r="B274">
        <v>193</v>
      </c>
    </row>
    <row r="275" spans="1:2" x14ac:dyDescent="0.3">
      <c r="A275" t="s">
        <v>17</v>
      </c>
      <c r="B275">
        <v>298</v>
      </c>
    </row>
    <row r="276" spans="1:2" x14ac:dyDescent="0.3">
      <c r="A276" t="s">
        <v>20</v>
      </c>
      <c r="B276">
        <v>115</v>
      </c>
    </row>
    <row r="277" spans="1:2" x14ac:dyDescent="0.3">
      <c r="A277" t="s">
        <v>20</v>
      </c>
      <c r="B277">
        <v>120</v>
      </c>
    </row>
    <row r="278" spans="1:2" x14ac:dyDescent="0.3">
      <c r="A278" t="s">
        <v>17</v>
      </c>
      <c r="B278">
        <v>428</v>
      </c>
    </row>
    <row r="279" spans="1:2" x14ac:dyDescent="0.3">
      <c r="A279" t="s">
        <v>30</v>
      </c>
      <c r="B279">
        <v>74</v>
      </c>
    </row>
    <row r="280" spans="1:2" x14ac:dyDescent="0.3">
      <c r="A280" t="s">
        <v>30</v>
      </c>
      <c r="B280">
        <v>204</v>
      </c>
    </row>
    <row r="281" spans="1:2" x14ac:dyDescent="0.3">
      <c r="A281" t="s">
        <v>20</v>
      </c>
      <c r="B281">
        <v>213</v>
      </c>
    </row>
    <row r="282" spans="1:2" x14ac:dyDescent="0.3">
      <c r="A282" t="s">
        <v>20</v>
      </c>
      <c r="B282">
        <v>319</v>
      </c>
    </row>
    <row r="283" spans="1:2" x14ac:dyDescent="0.3">
      <c r="A283" t="s">
        <v>20</v>
      </c>
      <c r="B283">
        <v>158</v>
      </c>
    </row>
    <row r="284" spans="1:2" x14ac:dyDescent="0.3">
      <c r="A284" t="s">
        <v>20</v>
      </c>
      <c r="B284">
        <v>255</v>
      </c>
    </row>
    <row r="285" spans="1:2" x14ac:dyDescent="0.3">
      <c r="A285" t="s">
        <v>17</v>
      </c>
      <c r="B285">
        <v>53</v>
      </c>
    </row>
    <row r="286" spans="1:2" x14ac:dyDescent="0.3">
      <c r="A286" t="s">
        <v>31</v>
      </c>
      <c r="B286">
        <v>59</v>
      </c>
    </row>
    <row r="287" spans="1:2" x14ac:dyDescent="0.3">
      <c r="A287" t="s">
        <v>17</v>
      </c>
      <c r="B287">
        <v>211</v>
      </c>
    </row>
    <row r="288" spans="1:2" x14ac:dyDescent="0.3">
      <c r="A288" t="s">
        <v>30</v>
      </c>
      <c r="B288">
        <v>186</v>
      </c>
    </row>
    <row r="289" spans="1:2" x14ac:dyDescent="0.3">
      <c r="A289" t="s">
        <v>17</v>
      </c>
      <c r="B289">
        <v>67</v>
      </c>
    </row>
    <row r="290" spans="1:2" x14ac:dyDescent="0.3">
      <c r="A290" t="s">
        <v>20</v>
      </c>
      <c r="B290">
        <v>75</v>
      </c>
    </row>
    <row r="291" spans="1:2" x14ac:dyDescent="0.3">
      <c r="A291" t="s">
        <v>20</v>
      </c>
      <c r="B291">
        <v>294</v>
      </c>
    </row>
    <row r="292" spans="1:2" x14ac:dyDescent="0.3">
      <c r="A292" t="s">
        <v>20</v>
      </c>
      <c r="B292">
        <v>305</v>
      </c>
    </row>
    <row r="293" spans="1:2" x14ac:dyDescent="0.3">
      <c r="A293" t="s">
        <v>20</v>
      </c>
      <c r="B293">
        <v>97</v>
      </c>
    </row>
    <row r="294" spans="1:2" x14ac:dyDescent="0.3">
      <c r="A294" t="s">
        <v>20</v>
      </c>
      <c r="B294">
        <v>58</v>
      </c>
    </row>
    <row r="295" spans="1:2" x14ac:dyDescent="0.3">
      <c r="A295" t="s">
        <v>17</v>
      </c>
      <c r="B295">
        <v>88</v>
      </c>
    </row>
    <row r="296" spans="1:2" x14ac:dyDescent="0.3">
      <c r="A296" t="s">
        <v>20</v>
      </c>
      <c r="B296">
        <v>162</v>
      </c>
    </row>
    <row r="297" spans="1:2" x14ac:dyDescent="0.3">
      <c r="A297" t="s">
        <v>20</v>
      </c>
      <c r="B297">
        <v>165</v>
      </c>
    </row>
    <row r="298" spans="1:2" x14ac:dyDescent="0.3">
      <c r="A298" t="s">
        <v>17</v>
      </c>
      <c r="B298">
        <v>177</v>
      </c>
    </row>
    <row r="299" spans="1:2" x14ac:dyDescent="0.3">
      <c r="A299" t="s">
        <v>17</v>
      </c>
      <c r="B299">
        <v>94</v>
      </c>
    </row>
    <row r="300" spans="1:2" x14ac:dyDescent="0.3">
      <c r="A300" t="s">
        <v>20</v>
      </c>
      <c r="B300">
        <v>402</v>
      </c>
    </row>
    <row r="301" spans="1:2" x14ac:dyDescent="0.3">
      <c r="A301" t="s">
        <v>17</v>
      </c>
      <c r="B301">
        <v>210</v>
      </c>
    </row>
    <row r="302" spans="1:2" x14ac:dyDescent="0.3">
      <c r="A302" t="s">
        <v>20</v>
      </c>
      <c r="B302">
        <v>114</v>
      </c>
    </row>
    <row r="303" spans="1:2" x14ac:dyDescent="0.3">
      <c r="A303" t="s">
        <v>17</v>
      </c>
      <c r="B303">
        <v>245</v>
      </c>
    </row>
    <row r="304" spans="1:2" x14ac:dyDescent="0.3">
      <c r="A304" t="s">
        <v>17</v>
      </c>
      <c r="B304">
        <v>120</v>
      </c>
    </row>
    <row r="305" spans="1:2" x14ac:dyDescent="0.3">
      <c r="A305" t="s">
        <v>17</v>
      </c>
      <c r="B305">
        <v>161</v>
      </c>
    </row>
    <row r="306" spans="1:2" x14ac:dyDescent="0.3">
      <c r="A306" t="s">
        <v>20</v>
      </c>
      <c r="B306">
        <v>117</v>
      </c>
    </row>
    <row r="307" spans="1:2" x14ac:dyDescent="0.3">
      <c r="A307" t="s">
        <v>17</v>
      </c>
      <c r="B307">
        <v>67</v>
      </c>
    </row>
    <row r="308" spans="1:2" x14ac:dyDescent="0.3">
      <c r="A308" t="s">
        <v>30</v>
      </c>
      <c r="B308">
        <v>100</v>
      </c>
    </row>
    <row r="309" spans="1:2" x14ac:dyDescent="0.3">
      <c r="A309" t="s">
        <v>20</v>
      </c>
      <c r="B309">
        <v>90</v>
      </c>
    </row>
    <row r="310" spans="1:2" x14ac:dyDescent="0.3">
      <c r="A310" t="s">
        <v>17</v>
      </c>
      <c r="B310">
        <v>100</v>
      </c>
    </row>
    <row r="311" spans="1:2" x14ac:dyDescent="0.3">
      <c r="A311" t="s">
        <v>17</v>
      </c>
      <c r="B311">
        <v>150</v>
      </c>
    </row>
    <row r="312" spans="1:2" x14ac:dyDescent="0.3">
      <c r="A312" t="s">
        <v>20</v>
      </c>
      <c r="B312">
        <v>169</v>
      </c>
    </row>
    <row r="313" spans="1:2" x14ac:dyDescent="0.3">
      <c r="A313" t="s">
        <v>20</v>
      </c>
      <c r="B313">
        <v>82</v>
      </c>
    </row>
    <row r="314" spans="1:2" x14ac:dyDescent="0.3">
      <c r="A314" t="s">
        <v>20</v>
      </c>
      <c r="B314">
        <v>125</v>
      </c>
    </row>
    <row r="315" spans="1:2" x14ac:dyDescent="0.3">
      <c r="A315" t="s">
        <v>20</v>
      </c>
      <c r="B315">
        <v>90</v>
      </c>
    </row>
    <row r="316" spans="1:2" x14ac:dyDescent="0.3">
      <c r="A316" t="s">
        <v>20</v>
      </c>
      <c r="B316">
        <v>143</v>
      </c>
    </row>
    <row r="317" spans="1:2" x14ac:dyDescent="0.3">
      <c r="A317" t="s">
        <v>20</v>
      </c>
      <c r="B317">
        <v>330</v>
      </c>
    </row>
    <row r="318" spans="1:2" x14ac:dyDescent="0.3">
      <c r="A318" t="s">
        <v>17</v>
      </c>
      <c r="B318">
        <v>118</v>
      </c>
    </row>
    <row r="319" spans="1:2" x14ac:dyDescent="0.3">
      <c r="A319" t="s">
        <v>17</v>
      </c>
      <c r="B319">
        <v>170</v>
      </c>
    </row>
    <row r="320" spans="1:2" x14ac:dyDescent="0.3">
      <c r="A320" t="s">
        <v>20</v>
      </c>
      <c r="B320">
        <v>200</v>
      </c>
    </row>
    <row r="321" spans="1:2" x14ac:dyDescent="0.3">
      <c r="A321" t="s">
        <v>20</v>
      </c>
      <c r="B321">
        <v>227</v>
      </c>
    </row>
    <row r="322" spans="1:2" x14ac:dyDescent="0.3">
      <c r="A322" t="s">
        <v>20</v>
      </c>
      <c r="B322">
        <v>204</v>
      </c>
    </row>
    <row r="323" spans="1:2" x14ac:dyDescent="0.3">
      <c r="A323" t="s">
        <v>20</v>
      </c>
      <c r="B323">
        <v>200</v>
      </c>
    </row>
    <row r="324" spans="1:2" x14ac:dyDescent="0.3">
      <c r="A324" t="s">
        <v>20</v>
      </c>
      <c r="B324">
        <v>200</v>
      </c>
    </row>
    <row r="325" spans="1:2" x14ac:dyDescent="0.3">
      <c r="A325" t="s">
        <v>20</v>
      </c>
      <c r="B325">
        <v>200</v>
      </c>
    </row>
    <row r="326" spans="1:2" x14ac:dyDescent="0.3">
      <c r="A326" t="s">
        <v>20</v>
      </c>
      <c r="B326">
        <v>200</v>
      </c>
    </row>
    <row r="327" spans="1:2" x14ac:dyDescent="0.3">
      <c r="A327" t="s">
        <v>17</v>
      </c>
      <c r="B327">
        <v>180</v>
      </c>
    </row>
    <row r="328" spans="1:2" x14ac:dyDescent="0.3">
      <c r="A328" t="s">
        <v>20</v>
      </c>
      <c r="B328">
        <v>200</v>
      </c>
    </row>
    <row r="329" spans="1:2" x14ac:dyDescent="0.3">
      <c r="A329" t="s">
        <v>20</v>
      </c>
      <c r="B329">
        <v>228</v>
      </c>
    </row>
    <row r="330" spans="1:2" x14ac:dyDescent="0.3">
      <c r="A330" t="s">
        <v>17</v>
      </c>
      <c r="B330">
        <v>100</v>
      </c>
    </row>
    <row r="331" spans="1:2" x14ac:dyDescent="0.3">
      <c r="A331" t="s">
        <v>17</v>
      </c>
      <c r="B331">
        <v>105</v>
      </c>
    </row>
    <row r="332" spans="1:2" x14ac:dyDescent="0.3">
      <c r="A332" t="s">
        <v>20</v>
      </c>
      <c r="B332">
        <v>248</v>
      </c>
    </row>
    <row r="333" spans="1:2" x14ac:dyDescent="0.3">
      <c r="A333" t="s">
        <v>20</v>
      </c>
      <c r="B333">
        <v>114</v>
      </c>
    </row>
    <row r="334" spans="1:2" x14ac:dyDescent="0.3">
      <c r="A334" t="s">
        <v>17</v>
      </c>
      <c r="B334">
        <v>132</v>
      </c>
    </row>
    <row r="335" spans="1:2" x14ac:dyDescent="0.3">
      <c r="A335" t="s">
        <v>20</v>
      </c>
      <c r="B335">
        <v>199</v>
      </c>
    </row>
    <row r="336" spans="1:2" x14ac:dyDescent="0.3">
      <c r="A336" t="s">
        <v>17</v>
      </c>
      <c r="B336">
        <v>80</v>
      </c>
    </row>
    <row r="337" spans="1:2" x14ac:dyDescent="0.3">
      <c r="A337" t="s">
        <v>17</v>
      </c>
      <c r="B337">
        <v>168</v>
      </c>
    </row>
    <row r="338" spans="1:2" x14ac:dyDescent="0.3">
      <c r="A338" t="s">
        <v>20</v>
      </c>
      <c r="B338">
        <v>205</v>
      </c>
    </row>
    <row r="339" spans="1:2" x14ac:dyDescent="0.3">
      <c r="A339" t="s">
        <v>30</v>
      </c>
      <c r="B339">
        <v>298</v>
      </c>
    </row>
    <row r="340" spans="1:2" x14ac:dyDescent="0.3">
      <c r="A340" t="s">
        <v>20</v>
      </c>
      <c r="B340">
        <v>110</v>
      </c>
    </row>
    <row r="341" spans="1:2" x14ac:dyDescent="0.3">
      <c r="A341" t="s">
        <v>20</v>
      </c>
      <c r="B341">
        <v>250</v>
      </c>
    </row>
    <row r="342" spans="1:2" x14ac:dyDescent="0.3">
      <c r="A342" t="s">
        <v>20</v>
      </c>
      <c r="B342">
        <v>131</v>
      </c>
    </row>
    <row r="343" spans="1:2" x14ac:dyDescent="0.3">
      <c r="A343" t="s">
        <v>20</v>
      </c>
      <c r="B343">
        <v>213</v>
      </c>
    </row>
    <row r="344" spans="1:2" x14ac:dyDescent="0.3">
      <c r="A344" t="s">
        <v>20</v>
      </c>
      <c r="B344">
        <v>200</v>
      </c>
    </row>
    <row r="345" spans="1:2" x14ac:dyDescent="0.3">
      <c r="A345" t="s">
        <v>17</v>
      </c>
      <c r="B345">
        <v>175</v>
      </c>
    </row>
    <row r="346" spans="1:2" x14ac:dyDescent="0.3">
      <c r="A346" t="s">
        <v>17</v>
      </c>
      <c r="B346">
        <v>206</v>
      </c>
    </row>
    <row r="347" spans="1:2" x14ac:dyDescent="0.3">
      <c r="A347" t="s">
        <v>20</v>
      </c>
      <c r="B347">
        <v>159</v>
      </c>
    </row>
    <row r="348" spans="1:2" x14ac:dyDescent="0.3">
      <c r="A348" t="s">
        <v>20</v>
      </c>
      <c r="B348">
        <v>218</v>
      </c>
    </row>
    <row r="349" spans="1:2" x14ac:dyDescent="0.3">
      <c r="A349" t="s">
        <v>20</v>
      </c>
      <c r="B349">
        <v>120</v>
      </c>
    </row>
    <row r="350" spans="1:2" x14ac:dyDescent="0.3">
      <c r="A350" t="s">
        <v>20</v>
      </c>
      <c r="B350">
        <v>125</v>
      </c>
    </row>
    <row r="351" spans="1:2" x14ac:dyDescent="0.3">
      <c r="A351" t="s">
        <v>20</v>
      </c>
      <c r="B351">
        <v>332</v>
      </c>
    </row>
    <row r="352" spans="1:2" x14ac:dyDescent="0.3">
      <c r="A352" t="s">
        <v>20</v>
      </c>
      <c r="B352">
        <v>205</v>
      </c>
    </row>
    <row r="353" spans="1:2" x14ac:dyDescent="0.3">
      <c r="A353" t="s">
        <v>20</v>
      </c>
      <c r="B353">
        <v>220</v>
      </c>
    </row>
    <row r="354" spans="1:2" x14ac:dyDescent="0.3">
      <c r="A354" t="s">
        <v>30</v>
      </c>
      <c r="B354">
        <v>132</v>
      </c>
    </row>
    <row r="355" spans="1:2" x14ac:dyDescent="0.3">
      <c r="A355" t="s">
        <v>20</v>
      </c>
      <c r="B355">
        <v>200</v>
      </c>
    </row>
    <row r="356" spans="1:2" x14ac:dyDescent="0.3">
      <c r="A356" t="s">
        <v>20</v>
      </c>
      <c r="B356">
        <v>120</v>
      </c>
    </row>
    <row r="357" spans="1:2" x14ac:dyDescent="0.3">
      <c r="A357" t="s">
        <v>17</v>
      </c>
      <c r="B357">
        <v>77</v>
      </c>
    </row>
    <row r="358" spans="1:2" x14ac:dyDescent="0.3">
      <c r="A358" t="s">
        <v>20</v>
      </c>
      <c r="B358">
        <v>200</v>
      </c>
    </row>
    <row r="359" spans="1:2" x14ac:dyDescent="0.3">
      <c r="A359" t="s">
        <v>20</v>
      </c>
      <c r="B359">
        <v>120</v>
      </c>
    </row>
    <row r="360" spans="1:2" x14ac:dyDescent="0.3">
      <c r="A360" t="s">
        <v>20</v>
      </c>
      <c r="B360">
        <v>212</v>
      </c>
    </row>
    <row r="361" spans="1:2" x14ac:dyDescent="0.3">
      <c r="A361" t="s">
        <v>17</v>
      </c>
      <c r="B361">
        <v>177</v>
      </c>
    </row>
    <row r="362" spans="1:2" x14ac:dyDescent="0.3">
      <c r="A362" t="s">
        <v>20</v>
      </c>
      <c r="B362">
        <v>122</v>
      </c>
    </row>
    <row r="363" spans="1:2" x14ac:dyDescent="0.3">
      <c r="A363" t="s">
        <v>20</v>
      </c>
      <c r="B363">
        <v>137</v>
      </c>
    </row>
    <row r="364" spans="1:2" x14ac:dyDescent="0.3">
      <c r="A364" t="s">
        <v>17</v>
      </c>
      <c r="B364">
        <v>90</v>
      </c>
    </row>
    <row r="365" spans="1:2" x14ac:dyDescent="0.3">
      <c r="A365" t="s">
        <v>17</v>
      </c>
      <c r="B365">
        <v>99</v>
      </c>
    </row>
    <row r="366" spans="1:2" x14ac:dyDescent="0.3">
      <c r="A366" t="s">
        <v>20</v>
      </c>
      <c r="B366">
        <v>107</v>
      </c>
    </row>
    <row r="367" spans="1:2" x14ac:dyDescent="0.3">
      <c r="A367" t="s">
        <v>17</v>
      </c>
      <c r="B367">
        <v>129</v>
      </c>
    </row>
    <row r="368" spans="1:2" x14ac:dyDescent="0.3">
      <c r="A368" t="s">
        <v>20</v>
      </c>
      <c r="B368">
        <v>209</v>
      </c>
    </row>
    <row r="369" spans="1:2" x14ac:dyDescent="0.3">
      <c r="A369" t="s">
        <v>17</v>
      </c>
      <c r="B369">
        <v>227</v>
      </c>
    </row>
    <row r="370" spans="1:2" x14ac:dyDescent="0.3">
      <c r="A370" t="s">
        <v>91</v>
      </c>
      <c r="B370">
        <v>100</v>
      </c>
    </row>
    <row r="371" spans="1:2" x14ac:dyDescent="0.3">
      <c r="A371" t="s">
        <v>20</v>
      </c>
      <c r="B371">
        <v>140</v>
      </c>
    </row>
    <row r="372" spans="1:2" x14ac:dyDescent="0.3">
      <c r="A372" t="s">
        <v>17</v>
      </c>
      <c r="B372">
        <v>169</v>
      </c>
    </row>
    <row r="373" spans="1:2" x14ac:dyDescent="0.3">
      <c r="A373" t="s">
        <v>20</v>
      </c>
      <c r="B373">
        <v>209</v>
      </c>
    </row>
    <row r="374" spans="1:2" x14ac:dyDescent="0.3">
      <c r="A374" t="s">
        <v>20</v>
      </c>
      <c r="B374">
        <v>170</v>
      </c>
    </row>
    <row r="375" spans="1:2" x14ac:dyDescent="0.3">
      <c r="A375" t="s">
        <v>20</v>
      </c>
      <c r="B375">
        <v>267</v>
      </c>
    </row>
    <row r="376" spans="1:2" x14ac:dyDescent="0.3">
      <c r="A376" t="s">
        <v>30</v>
      </c>
      <c r="B376">
        <v>62</v>
      </c>
    </row>
    <row r="377" spans="1:2" x14ac:dyDescent="0.3">
      <c r="A377" t="s">
        <v>20</v>
      </c>
      <c r="B377">
        <v>209</v>
      </c>
    </row>
    <row r="378" spans="1:2" x14ac:dyDescent="0.3">
      <c r="A378" t="s">
        <v>20</v>
      </c>
      <c r="B378">
        <v>248</v>
      </c>
    </row>
    <row r="379" spans="1:2" x14ac:dyDescent="0.3">
      <c r="A379" t="s">
        <v>91</v>
      </c>
      <c r="B379">
        <v>80</v>
      </c>
    </row>
    <row r="380" spans="1:2" x14ac:dyDescent="0.3">
      <c r="A380" t="s">
        <v>17</v>
      </c>
      <c r="B380">
        <v>120</v>
      </c>
    </row>
    <row r="381" spans="1:2" x14ac:dyDescent="0.3">
      <c r="A381" t="s">
        <v>20</v>
      </c>
      <c r="B381">
        <v>120</v>
      </c>
    </row>
    <row r="382" spans="1:2" x14ac:dyDescent="0.3">
      <c r="A382" t="s">
        <v>17</v>
      </c>
      <c r="B382">
        <v>96</v>
      </c>
    </row>
    <row r="383" spans="1:2" x14ac:dyDescent="0.3">
      <c r="A383" t="s">
        <v>20</v>
      </c>
      <c r="B383">
        <v>120</v>
      </c>
    </row>
    <row r="384" spans="1:2" x14ac:dyDescent="0.3">
      <c r="A384" t="s">
        <v>30</v>
      </c>
      <c r="B384">
        <v>65</v>
      </c>
    </row>
    <row r="385" spans="1:2" x14ac:dyDescent="0.3">
      <c r="A385" t="s">
        <v>20</v>
      </c>
      <c r="B385">
        <v>356</v>
      </c>
    </row>
    <row r="386" spans="1:2" x14ac:dyDescent="0.3">
      <c r="A386" t="s">
        <v>20</v>
      </c>
      <c r="B386">
        <v>381</v>
      </c>
    </row>
    <row r="387" spans="1:2" x14ac:dyDescent="0.3">
      <c r="A387" t="s">
        <v>20</v>
      </c>
      <c r="B387">
        <v>56</v>
      </c>
    </row>
    <row r="388" spans="1:2" x14ac:dyDescent="0.3">
      <c r="A388" t="s">
        <v>20</v>
      </c>
      <c r="B388">
        <v>421</v>
      </c>
    </row>
    <row r="389" spans="1:2" x14ac:dyDescent="0.3">
      <c r="A389" t="s">
        <v>17</v>
      </c>
      <c r="B389">
        <v>230</v>
      </c>
    </row>
    <row r="390" spans="1:2" x14ac:dyDescent="0.3">
      <c r="A390" t="s">
        <v>30</v>
      </c>
      <c r="B390">
        <v>236</v>
      </c>
    </row>
    <row r="391" spans="1:2" x14ac:dyDescent="0.3">
      <c r="A391" t="s">
        <v>17</v>
      </c>
      <c r="B391">
        <v>140</v>
      </c>
    </row>
    <row r="392" spans="1:2" x14ac:dyDescent="0.3">
      <c r="A392" t="s">
        <v>20</v>
      </c>
      <c r="B392">
        <v>119</v>
      </c>
    </row>
    <row r="393" spans="1:2" x14ac:dyDescent="0.3">
      <c r="A393" t="s">
        <v>17</v>
      </c>
      <c r="B393">
        <v>210</v>
      </c>
    </row>
    <row r="394" spans="1:2" x14ac:dyDescent="0.3">
      <c r="A394" t="s">
        <v>17</v>
      </c>
      <c r="B394">
        <v>78</v>
      </c>
    </row>
    <row r="395" spans="1:2" x14ac:dyDescent="0.3">
      <c r="A395" t="s">
        <v>20</v>
      </c>
      <c r="B395">
        <v>289</v>
      </c>
    </row>
    <row r="396" spans="1:2" x14ac:dyDescent="0.3">
      <c r="A396" t="s">
        <v>20</v>
      </c>
      <c r="B396">
        <v>207</v>
      </c>
    </row>
    <row r="397" spans="1:2" x14ac:dyDescent="0.3">
      <c r="A397" t="s">
        <v>17</v>
      </c>
      <c r="B397">
        <v>178</v>
      </c>
    </row>
    <row r="398" spans="1:2" x14ac:dyDescent="0.3">
      <c r="A398" t="s">
        <v>30</v>
      </c>
      <c r="B398">
        <v>135</v>
      </c>
    </row>
    <row r="399" spans="1:2" x14ac:dyDescent="0.3">
      <c r="A399" t="s">
        <v>20</v>
      </c>
      <c r="B399">
        <v>365</v>
      </c>
    </row>
    <row r="400" spans="1:2" x14ac:dyDescent="0.3">
      <c r="A400" t="s">
        <v>17</v>
      </c>
      <c r="B400">
        <v>249</v>
      </c>
    </row>
    <row r="401" spans="1:2" x14ac:dyDescent="0.3">
      <c r="A401" t="s">
        <v>91</v>
      </c>
      <c r="B401">
        <v>90</v>
      </c>
    </row>
    <row r="402" spans="1:2" x14ac:dyDescent="0.3">
      <c r="A402" t="s">
        <v>20</v>
      </c>
      <c r="B402">
        <v>194</v>
      </c>
    </row>
    <row r="403" spans="1:2" x14ac:dyDescent="0.3">
      <c r="A403" t="s">
        <v>30</v>
      </c>
      <c r="B403">
        <v>179</v>
      </c>
    </row>
    <row r="404" spans="1:2" x14ac:dyDescent="0.3">
      <c r="A404" t="s">
        <v>17</v>
      </c>
      <c r="B404">
        <v>105</v>
      </c>
    </row>
    <row r="405" spans="1:2" x14ac:dyDescent="0.3">
      <c r="A405" t="s">
        <v>20</v>
      </c>
      <c r="B405">
        <v>57</v>
      </c>
    </row>
    <row r="406" spans="1:2" x14ac:dyDescent="0.3">
      <c r="A406" t="s">
        <v>20</v>
      </c>
      <c r="B406">
        <v>51</v>
      </c>
    </row>
    <row r="407" spans="1:2" x14ac:dyDescent="0.3">
      <c r="A407" t="s">
        <v>20</v>
      </c>
      <c r="B407">
        <v>245</v>
      </c>
    </row>
    <row r="408" spans="1:2" x14ac:dyDescent="0.3">
      <c r="A408" t="s">
        <v>17</v>
      </c>
      <c r="B408">
        <v>80</v>
      </c>
    </row>
    <row r="409" spans="1:2" x14ac:dyDescent="0.3">
      <c r="A409" t="s">
        <v>20</v>
      </c>
      <c r="B409">
        <v>132</v>
      </c>
    </row>
    <row r="410" spans="1:2" x14ac:dyDescent="0.3">
      <c r="A410" t="s">
        <v>20</v>
      </c>
      <c r="B410">
        <v>132</v>
      </c>
    </row>
    <row r="411" spans="1:2" x14ac:dyDescent="0.3">
      <c r="A411" t="s">
        <v>30</v>
      </c>
      <c r="B411">
        <v>79</v>
      </c>
    </row>
    <row r="412" spans="1:2" x14ac:dyDescent="0.3">
      <c r="A412" t="s">
        <v>17</v>
      </c>
      <c r="B412">
        <v>143</v>
      </c>
    </row>
    <row r="413" spans="1:2" x14ac:dyDescent="0.3">
      <c r="A413" t="s">
        <v>17</v>
      </c>
      <c r="B413">
        <v>76</v>
      </c>
    </row>
    <row r="414" spans="1:2" x14ac:dyDescent="0.3">
      <c r="A414" t="s">
        <v>17</v>
      </c>
      <c r="B414">
        <v>185</v>
      </c>
    </row>
    <row r="415" spans="1:2" x14ac:dyDescent="0.3">
      <c r="A415" t="s">
        <v>20</v>
      </c>
      <c r="B415">
        <v>332</v>
      </c>
    </row>
    <row r="416" spans="1:2" x14ac:dyDescent="0.3">
      <c r="A416" t="s">
        <v>20</v>
      </c>
      <c r="B416">
        <v>106</v>
      </c>
    </row>
    <row r="417" spans="1:2" x14ac:dyDescent="0.3">
      <c r="A417" t="s">
        <v>17</v>
      </c>
      <c r="B417">
        <v>198</v>
      </c>
    </row>
    <row r="418" spans="1:2" x14ac:dyDescent="0.3">
      <c r="A418" t="s">
        <v>17</v>
      </c>
      <c r="B418">
        <v>81</v>
      </c>
    </row>
    <row r="419" spans="1:2" x14ac:dyDescent="0.3">
      <c r="A419" t="s">
        <v>17</v>
      </c>
      <c r="B419">
        <v>87</v>
      </c>
    </row>
    <row r="420" spans="1:2" x14ac:dyDescent="0.3">
      <c r="A420" t="s">
        <v>17</v>
      </c>
      <c r="B420">
        <v>146</v>
      </c>
    </row>
    <row r="421" spans="1:2" x14ac:dyDescent="0.3">
      <c r="A421" t="s">
        <v>20</v>
      </c>
      <c r="B421">
        <v>417</v>
      </c>
    </row>
    <row r="422" spans="1:2" x14ac:dyDescent="0.3">
      <c r="A422" t="s">
        <v>20</v>
      </c>
      <c r="B422">
        <v>97</v>
      </c>
    </row>
    <row r="423" spans="1:2" x14ac:dyDescent="0.3">
      <c r="A423" t="s">
        <v>20</v>
      </c>
      <c r="B423">
        <v>133</v>
      </c>
    </row>
    <row r="424" spans="1:2" x14ac:dyDescent="0.3">
      <c r="A424" t="s">
        <v>20</v>
      </c>
      <c r="B424">
        <v>125</v>
      </c>
    </row>
    <row r="425" spans="1:2" x14ac:dyDescent="0.3">
      <c r="A425" t="s">
        <v>20</v>
      </c>
      <c r="B425">
        <v>179</v>
      </c>
    </row>
    <row r="426" spans="1:2" x14ac:dyDescent="0.3">
      <c r="A426" t="s">
        <v>20</v>
      </c>
      <c r="B426">
        <v>118</v>
      </c>
    </row>
    <row r="427" spans="1:2" x14ac:dyDescent="0.3">
      <c r="A427" t="s">
        <v>31</v>
      </c>
      <c r="B427">
        <v>81</v>
      </c>
    </row>
    <row r="428" spans="1:2" x14ac:dyDescent="0.3">
      <c r="A428" t="s">
        <v>20</v>
      </c>
      <c r="B428">
        <v>161</v>
      </c>
    </row>
    <row r="429" spans="1:2" x14ac:dyDescent="0.3">
      <c r="A429" t="s">
        <v>20</v>
      </c>
      <c r="B429">
        <v>118</v>
      </c>
    </row>
    <row r="430" spans="1:2" x14ac:dyDescent="0.3">
      <c r="A430" t="s">
        <v>20</v>
      </c>
      <c r="B430">
        <v>183</v>
      </c>
    </row>
    <row r="431" spans="1:2" x14ac:dyDescent="0.3">
      <c r="A431" t="s">
        <v>17</v>
      </c>
      <c r="B431">
        <v>65</v>
      </c>
    </row>
    <row r="432" spans="1:2" x14ac:dyDescent="0.3">
      <c r="A432" t="s">
        <v>20</v>
      </c>
      <c r="B432">
        <v>200</v>
      </c>
    </row>
    <row r="433" spans="1:2" x14ac:dyDescent="0.3">
      <c r="A433" t="s">
        <v>17</v>
      </c>
      <c r="B433">
        <v>90</v>
      </c>
    </row>
    <row r="434" spans="1:2" x14ac:dyDescent="0.3">
      <c r="A434" t="s">
        <v>17</v>
      </c>
      <c r="B434">
        <v>120</v>
      </c>
    </row>
    <row r="435" spans="1:2" x14ac:dyDescent="0.3">
      <c r="A435" t="s">
        <v>20</v>
      </c>
      <c r="B435">
        <v>149</v>
      </c>
    </row>
    <row r="436" spans="1:2" x14ac:dyDescent="0.3">
      <c r="A436" t="s">
        <v>20</v>
      </c>
      <c r="B436">
        <v>108</v>
      </c>
    </row>
    <row r="437" spans="1:2" x14ac:dyDescent="0.3">
      <c r="A437" t="s">
        <v>17</v>
      </c>
      <c r="B437">
        <v>118</v>
      </c>
    </row>
    <row r="438" spans="1:2" x14ac:dyDescent="0.3">
      <c r="A438" t="s">
        <v>30</v>
      </c>
      <c r="B438">
        <v>124</v>
      </c>
    </row>
    <row r="439" spans="1:2" x14ac:dyDescent="0.3">
      <c r="A439" t="s">
        <v>20</v>
      </c>
      <c r="B439">
        <v>310</v>
      </c>
    </row>
    <row r="440" spans="1:2" x14ac:dyDescent="0.3">
      <c r="A440" t="s">
        <v>20</v>
      </c>
      <c r="B440">
        <v>231</v>
      </c>
    </row>
    <row r="441" spans="1:2" x14ac:dyDescent="0.3">
      <c r="A441" t="s">
        <v>20</v>
      </c>
      <c r="B441">
        <v>405</v>
      </c>
    </row>
    <row r="442" spans="1:2" x14ac:dyDescent="0.3">
      <c r="A442" t="s">
        <v>20</v>
      </c>
      <c r="B442">
        <v>334</v>
      </c>
    </row>
    <row r="443" spans="1:2" x14ac:dyDescent="0.3">
      <c r="A443" t="s">
        <v>20</v>
      </c>
      <c r="B443">
        <v>170</v>
      </c>
    </row>
    <row r="444" spans="1:2" x14ac:dyDescent="0.3">
      <c r="A444" t="s">
        <v>17</v>
      </c>
      <c r="B444">
        <v>350</v>
      </c>
    </row>
    <row r="445" spans="1:2" x14ac:dyDescent="0.3">
      <c r="A445" t="s">
        <v>17</v>
      </c>
      <c r="B445">
        <v>149</v>
      </c>
    </row>
    <row r="446" spans="1:2" x14ac:dyDescent="0.3">
      <c r="A446" t="s">
        <v>20</v>
      </c>
      <c r="B446">
        <v>261</v>
      </c>
    </row>
    <row r="447" spans="1:2" x14ac:dyDescent="0.3">
      <c r="A447" t="s">
        <v>91</v>
      </c>
      <c r="B447">
        <v>145</v>
      </c>
    </row>
    <row r="448" spans="1:2" x14ac:dyDescent="0.3">
      <c r="A448" t="s">
        <v>17</v>
      </c>
      <c r="B448">
        <v>179</v>
      </c>
    </row>
    <row r="449" spans="1:2" x14ac:dyDescent="0.3">
      <c r="A449" t="s">
        <v>20</v>
      </c>
      <c r="B449">
        <v>224</v>
      </c>
    </row>
    <row r="450" spans="1:2" x14ac:dyDescent="0.3">
      <c r="A450" t="s">
        <v>17</v>
      </c>
      <c r="B450">
        <v>70</v>
      </c>
    </row>
    <row r="451" spans="1:2" x14ac:dyDescent="0.3">
      <c r="A451" t="s">
        <v>20</v>
      </c>
      <c r="B451">
        <v>137</v>
      </c>
    </row>
    <row r="452" spans="1:2" x14ac:dyDescent="0.3">
      <c r="A452" t="s">
        <v>20</v>
      </c>
      <c r="B452">
        <v>151</v>
      </c>
    </row>
    <row r="453" spans="1:2" x14ac:dyDescent="0.3">
      <c r="A453" t="s">
        <v>31</v>
      </c>
      <c r="B453">
        <v>57</v>
      </c>
    </row>
    <row r="454" spans="1:2" x14ac:dyDescent="0.3">
      <c r="A454" t="s">
        <v>30</v>
      </c>
      <c r="B454">
        <v>106</v>
      </c>
    </row>
    <row r="455" spans="1:2" x14ac:dyDescent="0.3">
      <c r="A455" t="s">
        <v>17</v>
      </c>
      <c r="B455">
        <v>193</v>
      </c>
    </row>
    <row r="456" spans="1:2" x14ac:dyDescent="0.3">
      <c r="A456" t="s">
        <v>20</v>
      </c>
      <c r="B456">
        <v>120</v>
      </c>
    </row>
    <row r="457" spans="1:2" x14ac:dyDescent="0.3">
      <c r="A457" t="s">
        <v>30</v>
      </c>
      <c r="B457">
        <v>101</v>
      </c>
    </row>
    <row r="458" spans="1:2" x14ac:dyDescent="0.3">
      <c r="A458" t="s">
        <v>17</v>
      </c>
      <c r="B458">
        <v>116</v>
      </c>
    </row>
    <row r="459" spans="1:2" x14ac:dyDescent="0.3">
      <c r="A459" t="s">
        <v>20</v>
      </c>
      <c r="B459">
        <v>208</v>
      </c>
    </row>
    <row r="460" spans="1:2" x14ac:dyDescent="0.3">
      <c r="A460" t="s">
        <v>17</v>
      </c>
      <c r="B460">
        <v>115</v>
      </c>
    </row>
    <row r="461" spans="1:2" x14ac:dyDescent="0.3">
      <c r="A461" t="s">
        <v>20</v>
      </c>
      <c r="B461">
        <v>331</v>
      </c>
    </row>
    <row r="462" spans="1:2" x14ac:dyDescent="0.3">
      <c r="A462" t="s">
        <v>20</v>
      </c>
      <c r="B462">
        <v>82</v>
      </c>
    </row>
    <row r="463" spans="1:2" x14ac:dyDescent="0.3">
      <c r="A463" t="s">
        <v>17</v>
      </c>
      <c r="B463">
        <v>85</v>
      </c>
    </row>
    <row r="464" spans="1:2" x14ac:dyDescent="0.3">
      <c r="A464" t="s">
        <v>30</v>
      </c>
      <c r="B464">
        <v>137</v>
      </c>
    </row>
    <row r="465" spans="1:2" x14ac:dyDescent="0.3">
      <c r="A465" t="s">
        <v>17</v>
      </c>
      <c r="B465">
        <v>185</v>
      </c>
    </row>
    <row r="466" spans="1:2" x14ac:dyDescent="0.3">
      <c r="A466" t="s">
        <v>20</v>
      </c>
      <c r="B466">
        <v>330</v>
      </c>
    </row>
    <row r="467" spans="1:2" x14ac:dyDescent="0.3">
      <c r="A467" t="s">
        <v>30</v>
      </c>
      <c r="B467">
        <v>175</v>
      </c>
    </row>
    <row r="468" spans="1:2" x14ac:dyDescent="0.3">
      <c r="A468" t="s">
        <v>31</v>
      </c>
      <c r="B468">
        <v>165</v>
      </c>
    </row>
    <row r="469" spans="1:2" x14ac:dyDescent="0.3">
      <c r="A469" t="s">
        <v>31</v>
      </c>
      <c r="B469">
        <v>86</v>
      </c>
    </row>
    <row r="470" spans="1:2" x14ac:dyDescent="0.3">
      <c r="A470" t="s">
        <v>20</v>
      </c>
      <c r="B470">
        <v>214</v>
      </c>
    </row>
    <row r="471" spans="1:2" x14ac:dyDescent="0.3">
      <c r="A471" t="s">
        <v>30</v>
      </c>
      <c r="B471">
        <v>90</v>
      </c>
    </row>
    <row r="472" spans="1:2" x14ac:dyDescent="0.3">
      <c r="A472" t="s">
        <v>20</v>
      </c>
      <c r="B472">
        <v>134</v>
      </c>
    </row>
    <row r="473" spans="1:2" x14ac:dyDescent="0.3">
      <c r="A473" t="s">
        <v>20</v>
      </c>
      <c r="B473">
        <v>134</v>
      </c>
    </row>
    <row r="474" spans="1:2" x14ac:dyDescent="0.3">
      <c r="A474" t="s">
        <v>17</v>
      </c>
      <c r="B474">
        <v>145</v>
      </c>
    </row>
    <row r="475" spans="1:2" x14ac:dyDescent="0.3">
      <c r="A475" t="s">
        <v>20</v>
      </c>
      <c r="B475">
        <v>205</v>
      </c>
    </row>
    <row r="476" spans="1:2" x14ac:dyDescent="0.3">
      <c r="A476" t="s">
        <v>17</v>
      </c>
      <c r="B476">
        <v>220</v>
      </c>
    </row>
    <row r="477" spans="1:2" x14ac:dyDescent="0.3">
      <c r="A477" t="s">
        <v>20</v>
      </c>
      <c r="B477">
        <v>203</v>
      </c>
    </row>
    <row r="478" spans="1:2" x14ac:dyDescent="0.3">
      <c r="A478" t="s">
        <v>91</v>
      </c>
      <c r="B478">
        <v>65</v>
      </c>
    </row>
    <row r="479" spans="1:2" x14ac:dyDescent="0.3">
      <c r="A479" t="s">
        <v>20</v>
      </c>
      <c r="B479">
        <v>170</v>
      </c>
    </row>
    <row r="480" spans="1:2" x14ac:dyDescent="0.3">
      <c r="A480" t="s">
        <v>17</v>
      </c>
      <c r="B480">
        <v>120</v>
      </c>
    </row>
    <row r="481" spans="1:2" x14ac:dyDescent="0.3">
      <c r="A481" t="s">
        <v>20</v>
      </c>
      <c r="B481">
        <v>185</v>
      </c>
    </row>
    <row r="482" spans="1:2" x14ac:dyDescent="0.3">
      <c r="A482" t="s">
        <v>17</v>
      </c>
      <c r="B482">
        <v>179</v>
      </c>
    </row>
    <row r="483" spans="1:2" x14ac:dyDescent="0.3">
      <c r="A483" t="s">
        <v>20</v>
      </c>
      <c r="B483">
        <v>126</v>
      </c>
    </row>
    <row r="484" spans="1:2" x14ac:dyDescent="0.3">
      <c r="A484" t="s">
        <v>17</v>
      </c>
      <c r="B484">
        <v>120</v>
      </c>
    </row>
    <row r="485" spans="1:2" x14ac:dyDescent="0.3">
      <c r="A485" t="s">
        <v>17</v>
      </c>
      <c r="B485">
        <v>75</v>
      </c>
    </row>
    <row r="486" spans="1:2" x14ac:dyDescent="0.3">
      <c r="A486" t="s">
        <v>17</v>
      </c>
      <c r="B486">
        <v>77</v>
      </c>
    </row>
    <row r="487" spans="1:2" x14ac:dyDescent="0.3">
      <c r="A487" t="s">
        <v>20</v>
      </c>
      <c r="B487">
        <v>242</v>
      </c>
    </row>
    <row r="488" spans="1:2" x14ac:dyDescent="0.3">
      <c r="A488" t="s">
        <v>20</v>
      </c>
      <c r="B488">
        <v>115</v>
      </c>
    </row>
    <row r="489" spans="1:2" x14ac:dyDescent="0.3">
      <c r="A489" t="s">
        <v>17</v>
      </c>
      <c r="B489">
        <v>100</v>
      </c>
    </row>
    <row r="490" spans="1:2" x14ac:dyDescent="0.3">
      <c r="A490" t="s">
        <v>20</v>
      </c>
      <c r="B490">
        <v>150</v>
      </c>
    </row>
    <row r="491" spans="1:2" x14ac:dyDescent="0.3">
      <c r="A491" t="s">
        <v>17</v>
      </c>
      <c r="B491">
        <v>98</v>
      </c>
    </row>
    <row r="492" spans="1:2" x14ac:dyDescent="0.3">
      <c r="A492" t="s">
        <v>20</v>
      </c>
      <c r="B492">
        <v>155</v>
      </c>
    </row>
    <row r="493" spans="1:2" x14ac:dyDescent="0.3">
      <c r="A493" t="s">
        <v>20</v>
      </c>
      <c r="B493">
        <v>135</v>
      </c>
    </row>
    <row r="494" spans="1:2" x14ac:dyDescent="0.3">
      <c r="A494" t="s">
        <v>17</v>
      </c>
      <c r="B494">
        <v>160</v>
      </c>
    </row>
    <row r="495" spans="1:2" x14ac:dyDescent="0.3">
      <c r="A495" t="s">
        <v>20</v>
      </c>
      <c r="B495">
        <v>67</v>
      </c>
    </row>
    <row r="496" spans="1:2" x14ac:dyDescent="0.3">
      <c r="A496" t="s">
        <v>30</v>
      </c>
      <c r="B496">
        <v>169</v>
      </c>
    </row>
    <row r="497" spans="1:2" x14ac:dyDescent="0.3">
      <c r="A497" t="s">
        <v>20</v>
      </c>
      <c r="B497">
        <v>68</v>
      </c>
    </row>
    <row r="498" spans="1:2" x14ac:dyDescent="0.3">
      <c r="A498" t="s">
        <v>20</v>
      </c>
      <c r="B498">
        <v>155</v>
      </c>
    </row>
    <row r="499" spans="1:2" x14ac:dyDescent="0.3">
      <c r="A499" t="s">
        <v>17</v>
      </c>
      <c r="B499">
        <v>175</v>
      </c>
    </row>
    <row r="500" spans="1:2" x14ac:dyDescent="0.3">
      <c r="A500" t="s">
        <v>17</v>
      </c>
      <c r="B500">
        <v>114</v>
      </c>
    </row>
    <row r="501" spans="1:2" x14ac:dyDescent="0.3">
      <c r="A501" t="s">
        <v>17</v>
      </c>
      <c r="B501">
        <v>183</v>
      </c>
    </row>
    <row r="502" spans="1:2" x14ac:dyDescent="0.3">
      <c r="A502" t="s">
        <v>17</v>
      </c>
      <c r="B502">
        <v>125</v>
      </c>
    </row>
    <row r="503" spans="1:2" x14ac:dyDescent="0.3">
      <c r="A503" t="s">
        <v>17</v>
      </c>
      <c r="B503">
        <v>65</v>
      </c>
    </row>
    <row r="504" spans="1:2" x14ac:dyDescent="0.3">
      <c r="A504" t="s">
        <v>17</v>
      </c>
      <c r="B504">
        <v>161</v>
      </c>
    </row>
    <row r="505" spans="1:2" x14ac:dyDescent="0.3">
      <c r="A505" t="s">
        <v>20</v>
      </c>
      <c r="B505">
        <v>76</v>
      </c>
    </row>
    <row r="506" spans="1:2" x14ac:dyDescent="0.3">
      <c r="A506" t="s">
        <v>30</v>
      </c>
      <c r="B506">
        <v>175</v>
      </c>
    </row>
    <row r="507" spans="1:2" x14ac:dyDescent="0.3">
      <c r="A507" t="s">
        <v>17</v>
      </c>
      <c r="B507">
        <v>67</v>
      </c>
    </row>
    <row r="508" spans="1:2" x14ac:dyDescent="0.3">
      <c r="A508" t="s">
        <v>30</v>
      </c>
      <c r="B508">
        <v>70</v>
      </c>
    </row>
    <row r="509" spans="1:2" x14ac:dyDescent="0.3">
      <c r="A509" t="s">
        <v>17</v>
      </c>
      <c r="B509">
        <v>104</v>
      </c>
    </row>
    <row r="510" spans="1:2" x14ac:dyDescent="0.3">
      <c r="A510" t="s">
        <v>31</v>
      </c>
      <c r="B510">
        <v>59</v>
      </c>
    </row>
    <row r="511" spans="1:2" x14ac:dyDescent="0.3">
      <c r="A511" t="s">
        <v>17</v>
      </c>
      <c r="B511">
        <v>93</v>
      </c>
    </row>
    <row r="512" spans="1:2" x14ac:dyDescent="0.3">
      <c r="A512" t="s">
        <v>20</v>
      </c>
      <c r="B512">
        <v>160</v>
      </c>
    </row>
    <row r="513" spans="1:2" x14ac:dyDescent="0.3">
      <c r="A513" t="s">
        <v>17</v>
      </c>
      <c r="B513">
        <v>104</v>
      </c>
    </row>
    <row r="514" spans="1:2" x14ac:dyDescent="0.3">
      <c r="A514" t="s">
        <v>17</v>
      </c>
      <c r="B514">
        <v>116</v>
      </c>
    </row>
    <row r="515" spans="1:2" x14ac:dyDescent="0.3">
      <c r="A515" t="s">
        <v>30</v>
      </c>
      <c r="B515">
        <v>400</v>
      </c>
    </row>
    <row r="516" spans="1:2" x14ac:dyDescent="0.3">
      <c r="A516" t="s">
        <v>30</v>
      </c>
      <c r="B516">
        <v>197</v>
      </c>
    </row>
    <row r="517" spans="1:2" x14ac:dyDescent="0.3">
      <c r="A517" t="s">
        <v>17</v>
      </c>
      <c r="B517">
        <v>245</v>
      </c>
    </row>
    <row r="518" spans="1:2" x14ac:dyDescent="0.3">
      <c r="A518" t="s">
        <v>17</v>
      </c>
      <c r="B518">
        <v>168</v>
      </c>
    </row>
    <row r="519" spans="1:2" x14ac:dyDescent="0.3">
      <c r="A519" t="s">
        <v>17</v>
      </c>
      <c r="B519">
        <v>90</v>
      </c>
    </row>
    <row r="520" spans="1:2" x14ac:dyDescent="0.3">
      <c r="A520" t="s">
        <v>20</v>
      </c>
      <c r="B520">
        <v>64</v>
      </c>
    </row>
    <row r="521" spans="1:2" x14ac:dyDescent="0.3">
      <c r="A521" t="s">
        <v>17</v>
      </c>
      <c r="B521">
        <v>119</v>
      </c>
    </row>
    <row r="522" spans="1:2" x14ac:dyDescent="0.3">
      <c r="A522" t="s">
        <v>30</v>
      </c>
      <c r="B522">
        <v>90</v>
      </c>
    </row>
    <row r="523" spans="1:2" x14ac:dyDescent="0.3">
      <c r="A523" t="s">
        <v>17</v>
      </c>
      <c r="B523">
        <v>160</v>
      </c>
    </row>
    <row r="524" spans="1:2" x14ac:dyDescent="0.3">
      <c r="A524" t="s">
        <v>30</v>
      </c>
      <c r="B524">
        <v>136</v>
      </c>
    </row>
    <row r="525" spans="1:2" x14ac:dyDescent="0.3">
      <c r="A525" t="s">
        <v>30</v>
      </c>
      <c r="B525">
        <v>60</v>
      </c>
    </row>
    <row r="526" spans="1:2" x14ac:dyDescent="0.3">
      <c r="A526" t="s">
        <v>20</v>
      </c>
      <c r="B526">
        <v>300</v>
      </c>
    </row>
    <row r="527" spans="1:2" x14ac:dyDescent="0.3">
      <c r="A527" t="s">
        <v>17</v>
      </c>
      <c r="B527">
        <v>100</v>
      </c>
    </row>
    <row r="528" spans="1:2" x14ac:dyDescent="0.3">
      <c r="A528" t="s">
        <v>20</v>
      </c>
      <c r="B528">
        <v>274</v>
      </c>
    </row>
    <row r="529" spans="1:2" x14ac:dyDescent="0.3">
      <c r="A529" t="s">
        <v>20</v>
      </c>
      <c r="B529">
        <v>378</v>
      </c>
    </row>
    <row r="530" spans="1:2" x14ac:dyDescent="0.3">
      <c r="A530" t="s">
        <v>20</v>
      </c>
      <c r="B530">
        <v>199</v>
      </c>
    </row>
    <row r="531" spans="1:2" x14ac:dyDescent="0.3">
      <c r="A531" t="s">
        <v>20</v>
      </c>
      <c r="B531">
        <v>372</v>
      </c>
    </row>
    <row r="532" spans="1:2" x14ac:dyDescent="0.3">
      <c r="A532" t="s">
        <v>20</v>
      </c>
      <c r="B532">
        <v>100</v>
      </c>
    </row>
    <row r="533" spans="1:2" x14ac:dyDescent="0.3">
      <c r="A533" t="s">
        <v>31</v>
      </c>
      <c r="B533">
        <v>98</v>
      </c>
    </row>
    <row r="534" spans="1:2" x14ac:dyDescent="0.3">
      <c r="A534" t="s">
        <v>20</v>
      </c>
      <c r="B534">
        <v>188</v>
      </c>
    </row>
    <row r="535" spans="1:2" x14ac:dyDescent="0.3">
      <c r="A535" t="s">
        <v>20</v>
      </c>
      <c r="B535">
        <v>340</v>
      </c>
    </row>
    <row r="536" spans="1:2" x14ac:dyDescent="0.3">
      <c r="A536" t="s">
        <v>20</v>
      </c>
      <c r="B536">
        <v>50</v>
      </c>
    </row>
    <row r="537" spans="1:2" x14ac:dyDescent="0.3">
      <c r="A537" t="s">
        <v>20</v>
      </c>
      <c r="B537">
        <v>311</v>
      </c>
    </row>
    <row r="538" spans="1:2" x14ac:dyDescent="0.3">
      <c r="A538" t="s">
        <v>30</v>
      </c>
      <c r="B538">
        <v>126</v>
      </c>
    </row>
    <row r="539" spans="1:2" x14ac:dyDescent="0.3">
      <c r="A539" t="s">
        <v>30</v>
      </c>
      <c r="B539">
        <v>126</v>
      </c>
    </row>
    <row r="540" spans="1:2" x14ac:dyDescent="0.3">
      <c r="A540" t="s">
        <v>17</v>
      </c>
      <c r="B540">
        <v>129</v>
      </c>
    </row>
    <row r="541" spans="1:2" x14ac:dyDescent="0.3">
      <c r="A541" t="s">
        <v>17</v>
      </c>
      <c r="B541">
        <v>90</v>
      </c>
    </row>
    <row r="542" spans="1:2" x14ac:dyDescent="0.3">
      <c r="A542" t="s">
        <v>17</v>
      </c>
      <c r="B542">
        <v>79</v>
      </c>
    </row>
    <row r="543" spans="1:2" x14ac:dyDescent="0.3">
      <c r="A543" t="s">
        <v>17</v>
      </c>
      <c r="B543">
        <v>240</v>
      </c>
    </row>
    <row r="544" spans="1:2" x14ac:dyDescent="0.3">
      <c r="A544" t="s">
        <v>20</v>
      </c>
      <c r="B544">
        <v>366</v>
      </c>
    </row>
    <row r="545" spans="1:2" x14ac:dyDescent="0.3">
      <c r="A545" t="s">
        <v>17</v>
      </c>
      <c r="B545">
        <v>332</v>
      </c>
    </row>
    <row r="546" spans="1:2" x14ac:dyDescent="0.3">
      <c r="A546" t="s">
        <v>17</v>
      </c>
      <c r="B546">
        <v>262</v>
      </c>
    </row>
    <row r="547" spans="1:2" x14ac:dyDescent="0.3">
      <c r="A547" t="s">
        <v>17</v>
      </c>
      <c r="B547">
        <v>145</v>
      </c>
    </row>
    <row r="548" spans="1:2" x14ac:dyDescent="0.3">
      <c r="A548" t="s">
        <v>20</v>
      </c>
      <c r="B548">
        <v>149</v>
      </c>
    </row>
    <row r="549" spans="1:2" x14ac:dyDescent="0.3">
      <c r="A549" t="s">
        <v>31</v>
      </c>
      <c r="B549">
        <v>133</v>
      </c>
    </row>
    <row r="550" spans="1:2" x14ac:dyDescent="0.3">
      <c r="A550" t="s">
        <v>17</v>
      </c>
      <c r="B550">
        <v>50</v>
      </c>
    </row>
    <row r="551" spans="1:2" x14ac:dyDescent="0.3">
      <c r="A551" t="s">
        <v>17</v>
      </c>
      <c r="B551">
        <v>225</v>
      </c>
    </row>
    <row r="552" spans="1:2" x14ac:dyDescent="0.3">
      <c r="A552" t="s">
        <v>30</v>
      </c>
      <c r="B552">
        <v>141</v>
      </c>
    </row>
    <row r="553" spans="1:2" x14ac:dyDescent="0.3">
      <c r="A553" t="s">
        <v>30</v>
      </c>
      <c r="B553">
        <v>86</v>
      </c>
    </row>
    <row r="554" spans="1:2" x14ac:dyDescent="0.3">
      <c r="A554" t="s">
        <v>17</v>
      </c>
      <c r="B554">
        <v>92</v>
      </c>
    </row>
    <row r="555" spans="1:2" x14ac:dyDescent="0.3">
      <c r="A555" t="s">
        <v>91</v>
      </c>
      <c r="B555">
        <v>90</v>
      </c>
    </row>
    <row r="556" spans="1:2" x14ac:dyDescent="0.3">
      <c r="A556" t="s">
        <v>17</v>
      </c>
      <c r="B556">
        <v>207</v>
      </c>
    </row>
    <row r="557" spans="1:2" x14ac:dyDescent="0.3">
      <c r="A557" t="s">
        <v>30</v>
      </c>
      <c r="B557">
        <v>263</v>
      </c>
    </row>
    <row r="558" spans="1:2" x14ac:dyDescent="0.3">
      <c r="A558" t="s">
        <v>20</v>
      </c>
      <c r="B558">
        <v>170</v>
      </c>
    </row>
    <row r="559" spans="1:2" x14ac:dyDescent="0.3">
      <c r="A559" t="s">
        <v>17</v>
      </c>
      <c r="B559">
        <v>215</v>
      </c>
    </row>
    <row r="560" spans="1:2" x14ac:dyDescent="0.3">
      <c r="A560" t="s">
        <v>17</v>
      </c>
      <c r="B560">
        <v>100</v>
      </c>
    </row>
    <row r="561" spans="1:2" x14ac:dyDescent="0.3">
      <c r="A561" t="s">
        <v>20</v>
      </c>
      <c r="B561">
        <v>134</v>
      </c>
    </row>
    <row r="562" spans="1:2" x14ac:dyDescent="0.3">
      <c r="A562" t="s">
        <v>17</v>
      </c>
      <c r="B562">
        <v>60</v>
      </c>
    </row>
    <row r="563" spans="1:2" x14ac:dyDescent="0.3">
      <c r="A563" t="s">
        <v>17</v>
      </c>
      <c r="B563">
        <v>110</v>
      </c>
    </row>
    <row r="564" spans="1:2" x14ac:dyDescent="0.3">
      <c r="A564" t="s">
        <v>17</v>
      </c>
      <c r="B564">
        <v>159</v>
      </c>
    </row>
    <row r="565" spans="1:2" x14ac:dyDescent="0.3">
      <c r="A565" t="s">
        <v>17</v>
      </c>
      <c r="B565">
        <v>114</v>
      </c>
    </row>
    <row r="566" spans="1:2" x14ac:dyDescent="0.3">
      <c r="A566" t="s">
        <v>30</v>
      </c>
      <c r="B566">
        <v>159</v>
      </c>
    </row>
    <row r="567" spans="1:2" x14ac:dyDescent="0.3">
      <c r="A567" t="s">
        <v>17</v>
      </c>
      <c r="B567">
        <v>90</v>
      </c>
    </row>
    <row r="568" spans="1:2" x14ac:dyDescent="0.3">
      <c r="A568" t="s">
        <v>31</v>
      </c>
      <c r="B568">
        <v>71</v>
      </c>
    </row>
    <row r="569" spans="1:2" x14ac:dyDescent="0.3">
      <c r="A569" t="s">
        <v>30</v>
      </c>
      <c r="B569">
        <v>68</v>
      </c>
    </row>
    <row r="570" spans="1:2" x14ac:dyDescent="0.3">
      <c r="A570" t="s">
        <v>17</v>
      </c>
      <c r="B570">
        <v>102</v>
      </c>
    </row>
    <row r="571" spans="1:2" x14ac:dyDescent="0.3">
      <c r="A571" t="s">
        <v>30</v>
      </c>
      <c r="B571">
        <v>59</v>
      </c>
    </row>
    <row r="572" spans="1:2" x14ac:dyDescent="0.3">
      <c r="A572" t="s">
        <v>20</v>
      </c>
      <c r="B572">
        <v>207</v>
      </c>
    </row>
    <row r="573" spans="1:2" x14ac:dyDescent="0.3">
      <c r="A573" t="s">
        <v>17</v>
      </c>
      <c r="B573">
        <v>83</v>
      </c>
    </row>
    <row r="574" spans="1:2" x14ac:dyDescent="0.3">
      <c r="A574" t="s">
        <v>17</v>
      </c>
      <c r="B574">
        <v>184</v>
      </c>
    </row>
    <row r="575" spans="1:2" x14ac:dyDescent="0.3">
      <c r="A575" t="s">
        <v>30</v>
      </c>
      <c r="B575">
        <v>112</v>
      </c>
    </row>
    <row r="576" spans="1:2" x14ac:dyDescent="0.3">
      <c r="A576" t="s">
        <v>30</v>
      </c>
      <c r="B576">
        <v>98</v>
      </c>
    </row>
    <row r="577" spans="1:2" x14ac:dyDescent="0.3">
      <c r="A577" t="s">
        <v>20</v>
      </c>
      <c r="B577">
        <v>207</v>
      </c>
    </row>
    <row r="578" spans="1:2" x14ac:dyDescent="0.3">
      <c r="A578" t="s">
        <v>20</v>
      </c>
      <c r="B578">
        <v>155</v>
      </c>
    </row>
    <row r="579" spans="1:2" x14ac:dyDescent="0.3">
      <c r="A579" t="s">
        <v>17</v>
      </c>
      <c r="B579">
        <v>170</v>
      </c>
    </row>
    <row r="580" spans="1:2" x14ac:dyDescent="0.3">
      <c r="A580" t="s">
        <v>17</v>
      </c>
      <c r="B580">
        <v>240</v>
      </c>
    </row>
    <row r="581" spans="1:2" x14ac:dyDescent="0.3">
      <c r="A581" t="s">
        <v>31</v>
      </c>
      <c r="B581">
        <v>75</v>
      </c>
    </row>
    <row r="582" spans="1:2" x14ac:dyDescent="0.3">
      <c r="A582" t="s">
        <v>17</v>
      </c>
      <c r="B582">
        <v>420</v>
      </c>
    </row>
    <row r="583" spans="1:2" x14ac:dyDescent="0.3">
      <c r="A583" t="s">
        <v>17</v>
      </c>
      <c r="B583">
        <v>173</v>
      </c>
    </row>
    <row r="584" spans="1:2" x14ac:dyDescent="0.3">
      <c r="A584" t="s">
        <v>30</v>
      </c>
      <c r="B584">
        <v>85</v>
      </c>
    </row>
    <row r="585" spans="1:2" x14ac:dyDescent="0.3">
      <c r="A585" t="s">
        <v>17</v>
      </c>
      <c r="B585">
        <v>403</v>
      </c>
    </row>
    <row r="586" spans="1:2" x14ac:dyDescent="0.3">
      <c r="A586" t="s">
        <v>30</v>
      </c>
      <c r="B586">
        <v>87</v>
      </c>
    </row>
    <row r="587" spans="1:2" x14ac:dyDescent="0.3">
      <c r="A587" t="s">
        <v>17</v>
      </c>
      <c r="B587">
        <v>210</v>
      </c>
    </row>
    <row r="588" spans="1:2" x14ac:dyDescent="0.3">
      <c r="A588" t="s">
        <v>17</v>
      </c>
      <c r="B588">
        <v>149</v>
      </c>
    </row>
    <row r="589" spans="1:2" x14ac:dyDescent="0.3">
      <c r="A589" t="s">
        <v>17</v>
      </c>
      <c r="B589">
        <v>78</v>
      </c>
    </row>
    <row r="590" spans="1:2" x14ac:dyDescent="0.3">
      <c r="A590" t="s">
        <v>30</v>
      </c>
      <c r="B590">
        <v>305</v>
      </c>
    </row>
    <row r="591" spans="1:2" x14ac:dyDescent="0.3">
      <c r="A591" t="s">
        <v>20</v>
      </c>
      <c r="B591">
        <v>55</v>
      </c>
    </row>
    <row r="592" spans="1:2" x14ac:dyDescent="0.3">
      <c r="A592" t="s">
        <v>20</v>
      </c>
      <c r="B592">
        <v>60</v>
      </c>
    </row>
    <row r="593" spans="1:2" x14ac:dyDescent="0.3">
      <c r="A593" t="s">
        <v>20</v>
      </c>
      <c r="B593">
        <v>57</v>
      </c>
    </row>
    <row r="594" spans="1:2" x14ac:dyDescent="0.3">
      <c r="A594" t="s">
        <v>30</v>
      </c>
      <c r="B594">
        <v>58</v>
      </c>
    </row>
    <row r="595" spans="1:2" x14ac:dyDescent="0.3">
      <c r="A595" t="s">
        <v>17</v>
      </c>
      <c r="B595">
        <v>105</v>
      </c>
    </row>
    <row r="596" spans="1:2" x14ac:dyDescent="0.3">
      <c r="A596" t="s">
        <v>20</v>
      </c>
      <c r="B596">
        <v>288</v>
      </c>
    </row>
    <row r="597" spans="1:2" x14ac:dyDescent="0.3">
      <c r="A597" t="s">
        <v>20</v>
      </c>
      <c r="B597">
        <v>269</v>
      </c>
    </row>
    <row r="598" spans="1:2" x14ac:dyDescent="0.3">
      <c r="A598" t="s">
        <v>17</v>
      </c>
      <c r="B598">
        <v>120</v>
      </c>
    </row>
    <row r="599" spans="1:2" x14ac:dyDescent="0.3">
      <c r="A599" t="s">
        <v>20</v>
      </c>
      <c r="B599">
        <v>243</v>
      </c>
    </row>
    <row r="600" spans="1:2" x14ac:dyDescent="0.3">
      <c r="A600" t="s">
        <v>17</v>
      </c>
      <c r="B600">
        <v>132</v>
      </c>
    </row>
    <row r="601" spans="1:2" x14ac:dyDescent="0.3">
      <c r="A601" t="s">
        <v>17</v>
      </c>
      <c r="B601">
        <v>188</v>
      </c>
    </row>
    <row r="602" spans="1:2" x14ac:dyDescent="0.3">
      <c r="A602" t="s">
        <v>20</v>
      </c>
      <c r="B602">
        <v>99</v>
      </c>
    </row>
    <row r="603" spans="1:2" x14ac:dyDescent="0.3">
      <c r="A603" t="s">
        <v>17</v>
      </c>
      <c r="B603">
        <v>55</v>
      </c>
    </row>
    <row r="604" spans="1:2" x14ac:dyDescent="0.3">
      <c r="A604" t="s">
        <v>20</v>
      </c>
      <c r="B604">
        <v>55</v>
      </c>
    </row>
    <row r="605" spans="1:2" x14ac:dyDescent="0.3">
      <c r="A605" t="s">
        <v>30</v>
      </c>
      <c r="B605">
        <v>115</v>
      </c>
    </row>
    <row r="606" spans="1:2" x14ac:dyDescent="0.3">
      <c r="A606" t="s">
        <v>17</v>
      </c>
      <c r="B606">
        <v>150</v>
      </c>
    </row>
    <row r="607" spans="1:2" x14ac:dyDescent="0.3">
      <c r="A607" t="s">
        <v>20</v>
      </c>
      <c r="B607">
        <v>194</v>
      </c>
    </row>
    <row r="608" spans="1:2" x14ac:dyDescent="0.3">
      <c r="A608" t="s">
        <v>17</v>
      </c>
      <c r="B608">
        <v>101</v>
      </c>
    </row>
    <row r="609" spans="1:2" x14ac:dyDescent="0.3">
      <c r="A609" t="s">
        <v>17</v>
      </c>
      <c r="B609">
        <v>260</v>
      </c>
    </row>
    <row r="610" spans="1:2" x14ac:dyDescent="0.3">
      <c r="A610" t="s">
        <v>17</v>
      </c>
      <c r="B610">
        <v>233</v>
      </c>
    </row>
    <row r="611" spans="1:2" x14ac:dyDescent="0.3">
      <c r="A611" t="s">
        <v>17</v>
      </c>
      <c r="B611">
        <v>88</v>
      </c>
    </row>
    <row r="612" spans="1:2" x14ac:dyDescent="0.3">
      <c r="A612" t="s">
        <v>20</v>
      </c>
      <c r="B612">
        <v>140</v>
      </c>
    </row>
    <row r="613" spans="1:2" x14ac:dyDescent="0.3">
      <c r="A613" t="s">
        <v>17</v>
      </c>
      <c r="B613">
        <v>116</v>
      </c>
    </row>
    <row r="614" spans="1:2" x14ac:dyDescent="0.3">
      <c r="A614" t="s">
        <v>31</v>
      </c>
      <c r="B614">
        <v>69</v>
      </c>
    </row>
    <row r="615" spans="1:2" x14ac:dyDescent="0.3">
      <c r="A615" t="s">
        <v>17</v>
      </c>
      <c r="B615">
        <v>99</v>
      </c>
    </row>
    <row r="616" spans="1:2" x14ac:dyDescent="0.3">
      <c r="A616" t="s">
        <v>30</v>
      </c>
      <c r="B616">
        <v>71</v>
      </c>
    </row>
    <row r="617" spans="1:2" x14ac:dyDescent="0.3">
      <c r="A617" t="s">
        <v>20</v>
      </c>
      <c r="B617">
        <v>143</v>
      </c>
    </row>
    <row r="618" spans="1:2" x14ac:dyDescent="0.3">
      <c r="A618" t="s">
        <v>31</v>
      </c>
      <c r="B618">
        <v>84</v>
      </c>
    </row>
    <row r="619" spans="1:2" x14ac:dyDescent="0.3">
      <c r="A619" t="s">
        <v>20</v>
      </c>
      <c r="B619">
        <v>141</v>
      </c>
    </row>
    <row r="620" spans="1:2" x14ac:dyDescent="0.3">
      <c r="A620" t="s">
        <v>20</v>
      </c>
      <c r="B620">
        <v>106</v>
      </c>
    </row>
    <row r="621" spans="1:2" x14ac:dyDescent="0.3">
      <c r="A621" t="s">
        <v>20</v>
      </c>
      <c r="B621">
        <v>323</v>
      </c>
    </row>
    <row r="622" spans="1:2" x14ac:dyDescent="0.3">
      <c r="A622" t="s">
        <v>20</v>
      </c>
      <c r="B622">
        <v>100</v>
      </c>
    </row>
    <row r="623" spans="1:2" x14ac:dyDescent="0.3">
      <c r="A623" t="s">
        <v>20</v>
      </c>
      <c r="B623">
        <v>342</v>
      </c>
    </row>
    <row r="624" spans="1:2" x14ac:dyDescent="0.3">
      <c r="A624" t="s">
        <v>20</v>
      </c>
      <c r="B624">
        <v>262</v>
      </c>
    </row>
    <row r="625" spans="1:2" x14ac:dyDescent="0.3">
      <c r="A625" t="s">
        <v>17</v>
      </c>
      <c r="B625">
        <v>268</v>
      </c>
    </row>
    <row r="626" spans="1:2" x14ac:dyDescent="0.3">
      <c r="A626" t="s">
        <v>17</v>
      </c>
      <c r="B626">
        <v>61</v>
      </c>
    </row>
    <row r="627" spans="1:2" x14ac:dyDescent="0.3">
      <c r="A627" t="s">
        <v>30</v>
      </c>
      <c r="B627">
        <v>275</v>
      </c>
    </row>
    <row r="628" spans="1:2" x14ac:dyDescent="0.3">
      <c r="A628" t="s">
        <v>17</v>
      </c>
      <c r="B628">
        <v>120</v>
      </c>
    </row>
    <row r="629" spans="1:2" x14ac:dyDescent="0.3">
      <c r="A629" t="s">
        <v>17</v>
      </c>
      <c r="B629">
        <v>58</v>
      </c>
    </row>
    <row r="630" spans="1:2" x14ac:dyDescent="0.3">
      <c r="A630" t="s">
        <v>30</v>
      </c>
      <c r="B630">
        <v>286</v>
      </c>
    </row>
    <row r="631" spans="1:2" x14ac:dyDescent="0.3">
      <c r="A631" t="s">
        <v>17</v>
      </c>
      <c r="B631">
        <v>120</v>
      </c>
    </row>
    <row r="632" spans="1:2" x14ac:dyDescent="0.3">
      <c r="A632" t="s">
        <v>30</v>
      </c>
      <c r="B632">
        <v>222</v>
      </c>
    </row>
    <row r="633" spans="1:2" x14ac:dyDescent="0.3">
      <c r="A633" t="s">
        <v>20</v>
      </c>
      <c r="B633">
        <v>171</v>
      </c>
    </row>
    <row r="634" spans="1:2" x14ac:dyDescent="0.3">
      <c r="A634" t="s">
        <v>30</v>
      </c>
      <c r="B634">
        <v>97</v>
      </c>
    </row>
    <row r="635" spans="1:2" x14ac:dyDescent="0.3">
      <c r="A635" t="s">
        <v>20</v>
      </c>
      <c r="B635">
        <v>159</v>
      </c>
    </row>
    <row r="636" spans="1:2" x14ac:dyDescent="0.3">
      <c r="A636" t="s">
        <v>20</v>
      </c>
      <c r="B636">
        <v>79</v>
      </c>
    </row>
    <row r="637" spans="1:2" x14ac:dyDescent="0.3">
      <c r="A637" t="s">
        <v>17</v>
      </c>
      <c r="B637">
        <v>50</v>
      </c>
    </row>
    <row r="638" spans="1:2" x14ac:dyDescent="0.3">
      <c r="A638" t="s">
        <v>17</v>
      </c>
      <c r="B638">
        <v>78</v>
      </c>
    </row>
    <row r="639" spans="1:2" x14ac:dyDescent="0.3">
      <c r="A639" t="s">
        <v>31</v>
      </c>
      <c r="B639">
        <v>94</v>
      </c>
    </row>
    <row r="640" spans="1:2" x14ac:dyDescent="0.3">
      <c r="A640" t="s">
        <v>17</v>
      </c>
      <c r="B640">
        <v>300</v>
      </c>
    </row>
    <row r="641" spans="1:2" x14ac:dyDescent="0.3">
      <c r="A641" t="s">
        <v>30</v>
      </c>
      <c r="B641">
        <v>90</v>
      </c>
    </row>
    <row r="642" spans="1:2" x14ac:dyDescent="0.3">
      <c r="A642" t="s">
        <v>20</v>
      </c>
      <c r="B642">
        <v>55</v>
      </c>
    </row>
    <row r="643" spans="1:2" x14ac:dyDescent="0.3">
      <c r="A643" t="s">
        <v>17</v>
      </c>
      <c r="B643">
        <v>89</v>
      </c>
    </row>
    <row r="644" spans="1:2" x14ac:dyDescent="0.3">
      <c r="A644" t="s">
        <v>20</v>
      </c>
      <c r="B644">
        <v>65</v>
      </c>
    </row>
    <row r="645" spans="1:2" x14ac:dyDescent="0.3">
      <c r="A645" t="s">
        <v>17</v>
      </c>
      <c r="B645">
        <v>58</v>
      </c>
    </row>
    <row r="646" spans="1:2" x14ac:dyDescent="0.3">
      <c r="A646" t="s">
        <v>17</v>
      </c>
      <c r="B646">
        <v>98</v>
      </c>
    </row>
    <row r="647" spans="1:2" x14ac:dyDescent="0.3">
      <c r="A647" t="s">
        <v>17</v>
      </c>
      <c r="B647">
        <v>90</v>
      </c>
    </row>
    <row r="648" spans="1:2" x14ac:dyDescent="0.3">
      <c r="A648" t="s">
        <v>17</v>
      </c>
      <c r="B648">
        <v>180</v>
      </c>
    </row>
    <row r="649" spans="1:2" x14ac:dyDescent="0.3">
      <c r="A649" t="s">
        <v>20</v>
      </c>
      <c r="B649">
        <v>276</v>
      </c>
    </row>
    <row r="650" spans="1:2" x14ac:dyDescent="0.3">
      <c r="A650" t="s">
        <v>30</v>
      </c>
      <c r="B650">
        <v>52</v>
      </c>
    </row>
    <row r="651" spans="1:2" x14ac:dyDescent="0.3">
      <c r="A651" t="s">
        <v>31</v>
      </c>
      <c r="B651">
        <v>84</v>
      </c>
    </row>
    <row r="652" spans="1:2" x14ac:dyDescent="0.3">
      <c r="A652" t="s">
        <v>20</v>
      </c>
      <c r="B652">
        <v>132</v>
      </c>
    </row>
    <row r="653" spans="1:2" x14ac:dyDescent="0.3">
      <c r="A653" t="s">
        <v>17</v>
      </c>
      <c r="B653">
        <v>215</v>
      </c>
    </row>
    <row r="654" spans="1:2" x14ac:dyDescent="0.3">
      <c r="A654" t="s">
        <v>17</v>
      </c>
      <c r="B654">
        <v>96</v>
      </c>
    </row>
    <row r="655" spans="1:2" x14ac:dyDescent="0.3">
      <c r="A655" t="s">
        <v>20</v>
      </c>
      <c r="B655">
        <v>405</v>
      </c>
    </row>
    <row r="656" spans="1:2" x14ac:dyDescent="0.3">
      <c r="A656" t="s">
        <v>30</v>
      </c>
      <c r="B656">
        <v>143</v>
      </c>
    </row>
    <row r="657" spans="1:2" x14ac:dyDescent="0.3">
      <c r="A657" t="s">
        <v>17</v>
      </c>
      <c r="B657">
        <v>120</v>
      </c>
    </row>
    <row r="658" spans="1:2" x14ac:dyDescent="0.3">
      <c r="A658" t="s">
        <v>30</v>
      </c>
      <c r="B658">
        <v>89</v>
      </c>
    </row>
    <row r="659" spans="1:2" x14ac:dyDescent="0.3">
      <c r="A659" t="s">
        <v>30</v>
      </c>
      <c r="B659">
        <v>280</v>
      </c>
    </row>
    <row r="660" spans="1:2" x14ac:dyDescent="0.3">
      <c r="A660" t="s">
        <v>20</v>
      </c>
      <c r="B660">
        <v>50</v>
      </c>
    </row>
    <row r="661" spans="1:2" x14ac:dyDescent="0.3">
      <c r="A661" t="s">
        <v>20</v>
      </c>
      <c r="B661">
        <v>130</v>
      </c>
    </row>
    <row r="662" spans="1:2" x14ac:dyDescent="0.3">
      <c r="A662" t="s">
        <v>20</v>
      </c>
      <c r="B662">
        <v>204</v>
      </c>
    </row>
    <row r="663" spans="1:2" x14ac:dyDescent="0.3">
      <c r="A663" t="s">
        <v>20</v>
      </c>
      <c r="B663">
        <v>291</v>
      </c>
    </row>
    <row r="664" spans="1:2" x14ac:dyDescent="0.3">
      <c r="A664" t="s">
        <v>20</v>
      </c>
      <c r="B664">
        <v>110</v>
      </c>
    </row>
    <row r="665" spans="1:2" x14ac:dyDescent="0.3">
      <c r="A665" t="s">
        <v>17</v>
      </c>
      <c r="B665">
        <v>221</v>
      </c>
    </row>
    <row r="666" spans="1:2" x14ac:dyDescent="0.3">
      <c r="A666" t="s">
        <v>17</v>
      </c>
      <c r="B666">
        <v>169</v>
      </c>
    </row>
    <row r="667" spans="1:2" x14ac:dyDescent="0.3">
      <c r="A667" t="s">
        <v>20</v>
      </c>
      <c r="B667">
        <v>132</v>
      </c>
    </row>
    <row r="668" spans="1:2" x14ac:dyDescent="0.3">
      <c r="A668" t="s">
        <v>17</v>
      </c>
      <c r="B668">
        <v>100</v>
      </c>
    </row>
    <row r="669" spans="1:2" x14ac:dyDescent="0.3">
      <c r="A669" t="s">
        <v>30</v>
      </c>
      <c r="B669">
        <v>55</v>
      </c>
    </row>
    <row r="670" spans="1:2" x14ac:dyDescent="0.3">
      <c r="A670" t="s">
        <v>20</v>
      </c>
      <c r="B670">
        <v>149</v>
      </c>
    </row>
    <row r="671" spans="1:2" x14ac:dyDescent="0.3">
      <c r="A671" t="s">
        <v>17</v>
      </c>
      <c r="B671">
        <v>126</v>
      </c>
    </row>
    <row r="672" spans="1:2" x14ac:dyDescent="0.3">
      <c r="A672" t="s">
        <v>30</v>
      </c>
      <c r="B672">
        <v>80</v>
      </c>
    </row>
    <row r="673" spans="1:2" x14ac:dyDescent="0.3">
      <c r="A673" t="s">
        <v>30</v>
      </c>
      <c r="B673">
        <v>70</v>
      </c>
    </row>
    <row r="674" spans="1:2" x14ac:dyDescent="0.3">
      <c r="A674" t="s">
        <v>17</v>
      </c>
      <c r="B674">
        <v>158</v>
      </c>
    </row>
    <row r="675" spans="1:2" x14ac:dyDescent="0.3">
      <c r="A675" t="s">
        <v>30</v>
      </c>
      <c r="B675">
        <v>71</v>
      </c>
    </row>
    <row r="676" spans="1:2" x14ac:dyDescent="0.3">
      <c r="A676" t="s">
        <v>20</v>
      </c>
      <c r="B676">
        <v>120</v>
      </c>
    </row>
    <row r="677" spans="1:2" x14ac:dyDescent="0.3">
      <c r="A677" t="s">
        <v>91</v>
      </c>
      <c r="B677">
        <v>86</v>
      </c>
    </row>
    <row r="678" spans="1:2" x14ac:dyDescent="0.3">
      <c r="A678" t="s">
        <v>30</v>
      </c>
      <c r="B678">
        <v>130</v>
      </c>
    </row>
    <row r="679" spans="1:2" x14ac:dyDescent="0.3">
      <c r="A679" t="s">
        <v>17</v>
      </c>
      <c r="B679">
        <v>57</v>
      </c>
    </row>
    <row r="680" spans="1:2" x14ac:dyDescent="0.3">
      <c r="A680" t="s">
        <v>20</v>
      </c>
      <c r="B680">
        <v>155</v>
      </c>
    </row>
    <row r="681" spans="1:2" x14ac:dyDescent="0.3">
      <c r="A681" t="s">
        <v>17</v>
      </c>
      <c r="B681">
        <v>342</v>
      </c>
    </row>
    <row r="682" spans="1:2" x14ac:dyDescent="0.3">
      <c r="A682" t="s">
        <v>20</v>
      </c>
      <c r="B682">
        <v>60</v>
      </c>
    </row>
    <row r="683" spans="1:2" x14ac:dyDescent="0.3">
      <c r="A683" t="s">
        <v>20</v>
      </c>
      <c r="B683">
        <v>137</v>
      </c>
    </row>
    <row r="684" spans="1:2" x14ac:dyDescent="0.3">
      <c r="A684" t="s">
        <v>20</v>
      </c>
      <c r="B684">
        <v>229</v>
      </c>
    </row>
    <row r="685" spans="1:2" x14ac:dyDescent="0.3">
      <c r="A685" t="s">
        <v>20</v>
      </c>
      <c r="B685">
        <v>403</v>
      </c>
    </row>
    <row r="686" spans="1:2" x14ac:dyDescent="0.3">
      <c r="A686" t="s">
        <v>30</v>
      </c>
      <c r="B686">
        <v>68</v>
      </c>
    </row>
    <row r="687" spans="1:2" x14ac:dyDescent="0.3">
      <c r="A687" t="s">
        <v>30</v>
      </c>
      <c r="B687">
        <v>115</v>
      </c>
    </row>
    <row r="688" spans="1:2" x14ac:dyDescent="0.3">
      <c r="A688" t="s">
        <v>20</v>
      </c>
      <c r="B688">
        <v>130</v>
      </c>
    </row>
    <row r="689" spans="1:2" x14ac:dyDescent="0.3">
      <c r="A689" t="s">
        <v>20</v>
      </c>
      <c r="B689">
        <v>272</v>
      </c>
    </row>
    <row r="690" spans="1:2" x14ac:dyDescent="0.3">
      <c r="A690" t="s">
        <v>20</v>
      </c>
      <c r="B690">
        <v>286</v>
      </c>
    </row>
    <row r="691" spans="1:2" x14ac:dyDescent="0.3">
      <c r="A691" t="s">
        <v>20</v>
      </c>
      <c r="B691">
        <v>238</v>
      </c>
    </row>
    <row r="692" spans="1:2" x14ac:dyDescent="0.3">
      <c r="A692" t="s">
        <v>17</v>
      </c>
      <c r="B692">
        <v>272</v>
      </c>
    </row>
    <row r="693" spans="1:2" x14ac:dyDescent="0.3">
      <c r="A693" t="s">
        <v>31</v>
      </c>
      <c r="B693">
        <v>100</v>
      </c>
    </row>
    <row r="694" spans="1:2" x14ac:dyDescent="0.3">
      <c r="A694" t="s">
        <v>20</v>
      </c>
      <c r="B694">
        <v>380</v>
      </c>
    </row>
    <row r="695" spans="1:2" x14ac:dyDescent="0.3">
      <c r="A695" t="s">
        <v>20</v>
      </c>
      <c r="B695">
        <v>92</v>
      </c>
    </row>
    <row r="696" spans="1:2" x14ac:dyDescent="0.3">
      <c r="A696" t="s">
        <v>20</v>
      </c>
      <c r="B696">
        <v>155</v>
      </c>
    </row>
    <row r="697" spans="1:2" x14ac:dyDescent="0.3">
      <c r="A697" t="s">
        <v>17</v>
      </c>
      <c r="B697">
        <v>84</v>
      </c>
    </row>
    <row r="698" spans="1:2" x14ac:dyDescent="0.3">
      <c r="A698" t="s">
        <v>30</v>
      </c>
      <c r="B698">
        <v>245</v>
      </c>
    </row>
    <row r="699" spans="1:2" x14ac:dyDescent="0.3">
      <c r="A699" t="s">
        <v>20</v>
      </c>
      <c r="B699">
        <v>150</v>
      </c>
    </row>
    <row r="700" spans="1:2" x14ac:dyDescent="0.3">
      <c r="A700" t="s">
        <v>20</v>
      </c>
      <c r="B700">
        <v>60</v>
      </c>
    </row>
    <row r="701" spans="1:2" x14ac:dyDescent="0.3">
      <c r="A701" t="s">
        <v>20</v>
      </c>
      <c r="B701">
        <v>148</v>
      </c>
    </row>
    <row r="702" spans="1:2" x14ac:dyDescent="0.3">
      <c r="A702" t="s">
        <v>20</v>
      </c>
      <c r="B702">
        <v>363</v>
      </c>
    </row>
    <row r="703" spans="1:2" x14ac:dyDescent="0.3">
      <c r="A703" t="s">
        <v>20</v>
      </c>
      <c r="B703">
        <v>160</v>
      </c>
    </row>
    <row r="704" spans="1:2" x14ac:dyDescent="0.3">
      <c r="A704" t="s">
        <v>17</v>
      </c>
      <c r="B704">
        <v>57</v>
      </c>
    </row>
    <row r="705" spans="1:2" x14ac:dyDescent="0.3">
      <c r="A705" t="s">
        <v>20</v>
      </c>
      <c r="B705">
        <v>80</v>
      </c>
    </row>
    <row r="706" spans="1:2" x14ac:dyDescent="0.3">
      <c r="A706" t="s">
        <v>17</v>
      </c>
      <c r="B706">
        <v>125</v>
      </c>
    </row>
    <row r="707" spans="1:2" x14ac:dyDescent="0.3">
      <c r="A707" t="s">
        <v>17</v>
      </c>
      <c r="B707">
        <v>79</v>
      </c>
    </row>
    <row r="708" spans="1:2" x14ac:dyDescent="0.3">
      <c r="A708" t="s">
        <v>17</v>
      </c>
      <c r="B708">
        <v>67</v>
      </c>
    </row>
    <row r="709" spans="1:2" x14ac:dyDescent="0.3">
      <c r="A709" t="s">
        <v>20</v>
      </c>
      <c r="B709">
        <v>135</v>
      </c>
    </row>
    <row r="710" spans="1:2" x14ac:dyDescent="0.3">
      <c r="A710" t="s">
        <v>30</v>
      </c>
      <c r="B710">
        <v>119</v>
      </c>
    </row>
    <row r="711" spans="1:2" x14ac:dyDescent="0.3">
      <c r="A711" t="s">
        <v>20</v>
      </c>
      <c r="B711">
        <v>378</v>
      </c>
    </row>
    <row r="712" spans="1:2" x14ac:dyDescent="0.3">
      <c r="A712" t="s">
        <v>20</v>
      </c>
      <c r="B712">
        <v>322</v>
      </c>
    </row>
    <row r="713" spans="1:2" x14ac:dyDescent="0.3">
      <c r="A713" t="s">
        <v>17</v>
      </c>
      <c r="B713">
        <v>268</v>
      </c>
    </row>
    <row r="714" spans="1:2" x14ac:dyDescent="0.3">
      <c r="A714" t="s">
        <v>17</v>
      </c>
      <c r="B714">
        <v>85</v>
      </c>
    </row>
    <row r="715" spans="1:2" x14ac:dyDescent="0.3">
      <c r="A715" t="s">
        <v>20</v>
      </c>
      <c r="B715">
        <v>115</v>
      </c>
    </row>
    <row r="716" spans="1:2" x14ac:dyDescent="0.3">
      <c r="A716" t="s">
        <v>20</v>
      </c>
      <c r="B716">
        <v>51</v>
      </c>
    </row>
    <row r="717" spans="1:2" x14ac:dyDescent="0.3">
      <c r="A717" t="s">
        <v>30</v>
      </c>
      <c r="B717">
        <v>127</v>
      </c>
    </row>
    <row r="718" spans="1:2" x14ac:dyDescent="0.3">
      <c r="A718" t="s">
        <v>17</v>
      </c>
      <c r="B718">
        <v>175</v>
      </c>
    </row>
    <row r="719" spans="1:2" x14ac:dyDescent="0.3">
      <c r="A719" t="s">
        <v>20</v>
      </c>
      <c r="B719">
        <v>227</v>
      </c>
    </row>
    <row r="720" spans="1:2" x14ac:dyDescent="0.3">
      <c r="A720" t="s">
        <v>17</v>
      </c>
      <c r="B720">
        <v>222</v>
      </c>
    </row>
    <row r="721" spans="1:2" x14ac:dyDescent="0.3">
      <c r="A721" t="s">
        <v>20</v>
      </c>
      <c r="B721">
        <v>54</v>
      </c>
    </row>
    <row r="722" spans="1:2" x14ac:dyDescent="0.3">
      <c r="A722" t="s">
        <v>17</v>
      </c>
      <c r="B722">
        <v>85</v>
      </c>
    </row>
    <row r="723" spans="1:2" x14ac:dyDescent="0.3">
      <c r="A723" t="s">
        <v>20</v>
      </c>
      <c r="B723">
        <v>110</v>
      </c>
    </row>
    <row r="724" spans="1:2" x14ac:dyDescent="0.3">
      <c r="A724" t="s">
        <v>20</v>
      </c>
      <c r="B724">
        <v>192</v>
      </c>
    </row>
    <row r="725" spans="1:2" x14ac:dyDescent="0.3">
      <c r="A725" t="s">
        <v>20</v>
      </c>
      <c r="B725">
        <v>118</v>
      </c>
    </row>
    <row r="726" spans="1:2" x14ac:dyDescent="0.3">
      <c r="A726" t="s">
        <v>20</v>
      </c>
      <c r="B726">
        <v>264</v>
      </c>
    </row>
    <row r="727" spans="1:2" x14ac:dyDescent="0.3">
      <c r="A727" t="s">
        <v>20</v>
      </c>
      <c r="B727">
        <v>53</v>
      </c>
    </row>
    <row r="728" spans="1:2" x14ac:dyDescent="0.3">
      <c r="A728" t="s">
        <v>20</v>
      </c>
      <c r="B728">
        <v>412</v>
      </c>
    </row>
    <row r="729" spans="1:2" x14ac:dyDescent="0.3">
      <c r="A729" t="s">
        <v>20</v>
      </c>
      <c r="B729">
        <v>150</v>
      </c>
    </row>
    <row r="730" spans="1:2" x14ac:dyDescent="0.3">
      <c r="A730" t="s">
        <v>17</v>
      </c>
      <c r="B730">
        <v>99</v>
      </c>
    </row>
    <row r="731" spans="1:2" x14ac:dyDescent="0.3">
      <c r="A731" t="s">
        <v>17</v>
      </c>
      <c r="B731">
        <v>131</v>
      </c>
    </row>
    <row r="732" spans="1:2" x14ac:dyDescent="0.3">
      <c r="A732" t="s">
        <v>20</v>
      </c>
      <c r="B732">
        <v>296</v>
      </c>
    </row>
    <row r="733" spans="1:2" x14ac:dyDescent="0.3">
      <c r="A733" t="s">
        <v>91</v>
      </c>
      <c r="B733">
        <v>109</v>
      </c>
    </row>
    <row r="734" spans="1:2" x14ac:dyDescent="0.3">
      <c r="A734" t="s">
        <v>20</v>
      </c>
      <c r="B734">
        <v>175</v>
      </c>
    </row>
    <row r="735" spans="1:2" x14ac:dyDescent="0.3">
      <c r="A735" t="s">
        <v>17</v>
      </c>
      <c r="B735">
        <v>240</v>
      </c>
    </row>
    <row r="736" spans="1:2" x14ac:dyDescent="0.3">
      <c r="A736" t="s">
        <v>17</v>
      </c>
      <c r="B736">
        <v>77</v>
      </c>
    </row>
    <row r="737" spans="1:2" x14ac:dyDescent="0.3">
      <c r="A737" t="s">
        <v>17</v>
      </c>
      <c r="B737">
        <v>81</v>
      </c>
    </row>
    <row r="738" spans="1:2" x14ac:dyDescent="0.3">
      <c r="A738" t="s">
        <v>17</v>
      </c>
      <c r="B738">
        <v>90</v>
      </c>
    </row>
    <row r="739" spans="1:2" x14ac:dyDescent="0.3">
      <c r="A739" t="s">
        <v>20</v>
      </c>
      <c r="B739">
        <v>146</v>
      </c>
    </row>
    <row r="740" spans="1:2" x14ac:dyDescent="0.3">
      <c r="A740" t="s">
        <v>20</v>
      </c>
      <c r="B740">
        <v>150</v>
      </c>
    </row>
    <row r="741" spans="1:2" x14ac:dyDescent="0.3">
      <c r="A741" t="s">
        <v>20</v>
      </c>
      <c r="B741">
        <v>200</v>
      </c>
    </row>
    <row r="742" spans="1:2" x14ac:dyDescent="0.3">
      <c r="A742" t="s">
        <v>20</v>
      </c>
      <c r="B742">
        <v>88</v>
      </c>
    </row>
    <row r="743" spans="1:2" x14ac:dyDescent="0.3">
      <c r="A743" t="s">
        <v>20</v>
      </c>
      <c r="B743">
        <v>140</v>
      </c>
    </row>
    <row r="744" spans="1:2" x14ac:dyDescent="0.3">
      <c r="A744" t="s">
        <v>20</v>
      </c>
      <c r="B744">
        <v>112</v>
      </c>
    </row>
    <row r="745" spans="1:2" x14ac:dyDescent="0.3">
      <c r="A745" t="s">
        <v>20</v>
      </c>
      <c r="B745">
        <v>147</v>
      </c>
    </row>
    <row r="746" spans="1:2" x14ac:dyDescent="0.3">
      <c r="A746" t="s">
        <v>20</v>
      </c>
      <c r="B746">
        <v>442</v>
      </c>
    </row>
    <row r="747" spans="1:2" x14ac:dyDescent="0.3">
      <c r="A747" t="s">
        <v>20</v>
      </c>
      <c r="B747">
        <v>288</v>
      </c>
    </row>
    <row r="748" spans="1:2" x14ac:dyDescent="0.3">
      <c r="A748" t="s">
        <v>17</v>
      </c>
      <c r="B748">
        <v>201</v>
      </c>
    </row>
    <row r="749" spans="1:2" x14ac:dyDescent="0.3">
      <c r="A749" t="s">
        <v>17</v>
      </c>
      <c r="B749">
        <v>52</v>
      </c>
    </row>
    <row r="750" spans="1:2" x14ac:dyDescent="0.3">
      <c r="A750" t="s">
        <v>17</v>
      </c>
      <c r="B750">
        <v>90</v>
      </c>
    </row>
    <row r="751" spans="1:2" x14ac:dyDescent="0.3">
      <c r="A751" t="s">
        <v>20</v>
      </c>
      <c r="B751">
        <v>192</v>
      </c>
    </row>
    <row r="752" spans="1:2" x14ac:dyDescent="0.3">
      <c r="A752" t="s">
        <v>31</v>
      </c>
      <c r="B752">
        <v>116</v>
      </c>
    </row>
    <row r="753" spans="1:2" x14ac:dyDescent="0.3">
      <c r="A753" t="s">
        <v>30</v>
      </c>
      <c r="B753">
        <v>127</v>
      </c>
    </row>
    <row r="754" spans="1:2" x14ac:dyDescent="0.3">
      <c r="A754" t="s">
        <v>20</v>
      </c>
      <c r="B754">
        <v>85</v>
      </c>
    </row>
    <row r="755" spans="1:2" x14ac:dyDescent="0.3">
      <c r="A755" t="s">
        <v>17</v>
      </c>
      <c r="B755">
        <v>115</v>
      </c>
    </row>
    <row r="756" spans="1:2" x14ac:dyDescent="0.3">
      <c r="A756" t="s">
        <v>20</v>
      </c>
      <c r="B756">
        <v>350</v>
      </c>
    </row>
    <row r="757" spans="1:2" x14ac:dyDescent="0.3">
      <c r="A757" t="s">
        <v>17</v>
      </c>
      <c r="B757">
        <v>121</v>
      </c>
    </row>
    <row r="758" spans="1:2" x14ac:dyDescent="0.3">
      <c r="A758" t="s">
        <v>30</v>
      </c>
      <c r="B758">
        <v>99</v>
      </c>
    </row>
    <row r="759" spans="1:2" x14ac:dyDescent="0.3">
      <c r="A759" t="s">
        <v>20</v>
      </c>
      <c r="B759">
        <v>280</v>
      </c>
    </row>
    <row r="760" spans="1:2" x14ac:dyDescent="0.3">
      <c r="A760" t="s">
        <v>20</v>
      </c>
      <c r="B760">
        <v>449</v>
      </c>
    </row>
    <row r="761" spans="1:2" x14ac:dyDescent="0.3">
      <c r="A761" t="s">
        <v>17</v>
      </c>
      <c r="B761">
        <v>178</v>
      </c>
    </row>
    <row r="762" spans="1:2" x14ac:dyDescent="0.3">
      <c r="A762" t="s">
        <v>20</v>
      </c>
      <c r="B762">
        <v>150</v>
      </c>
    </row>
    <row r="763" spans="1:2" x14ac:dyDescent="0.3">
      <c r="A763" t="s">
        <v>20</v>
      </c>
      <c r="B763">
        <v>378</v>
      </c>
    </row>
    <row r="764" spans="1:2" x14ac:dyDescent="0.3">
      <c r="A764" t="s">
        <v>30</v>
      </c>
      <c r="B764">
        <v>160</v>
      </c>
    </row>
    <row r="765" spans="1:2" x14ac:dyDescent="0.3">
      <c r="A765" t="s">
        <v>30</v>
      </c>
      <c r="B765">
        <v>247</v>
      </c>
    </row>
    <row r="766" spans="1:2" x14ac:dyDescent="0.3">
      <c r="A766" t="s">
        <v>20</v>
      </c>
      <c r="B766">
        <v>410</v>
      </c>
    </row>
    <row r="767" spans="1:2" x14ac:dyDescent="0.3">
      <c r="A767" t="s">
        <v>20</v>
      </c>
      <c r="B767">
        <v>220</v>
      </c>
    </row>
    <row r="768" spans="1:2" x14ac:dyDescent="0.3">
      <c r="A768" t="s">
        <v>17</v>
      </c>
      <c r="B768">
        <v>295</v>
      </c>
    </row>
    <row r="769" spans="1:2" x14ac:dyDescent="0.3">
      <c r="A769" t="s">
        <v>17</v>
      </c>
      <c r="B769">
        <v>386</v>
      </c>
    </row>
    <row r="770" spans="1:2" x14ac:dyDescent="0.3">
      <c r="A770" t="s">
        <v>20</v>
      </c>
      <c r="B770">
        <v>294</v>
      </c>
    </row>
    <row r="771" spans="1:2" x14ac:dyDescent="0.3">
      <c r="A771" t="s">
        <v>17</v>
      </c>
      <c r="B771">
        <v>110</v>
      </c>
    </row>
    <row r="772" spans="1:2" x14ac:dyDescent="0.3">
      <c r="A772" t="s">
        <v>17</v>
      </c>
      <c r="B772">
        <v>406</v>
      </c>
    </row>
    <row r="773" spans="1:2" x14ac:dyDescent="0.3">
      <c r="A773" t="s">
        <v>17</v>
      </c>
      <c r="B773">
        <v>151</v>
      </c>
    </row>
    <row r="774" spans="1:2" x14ac:dyDescent="0.3">
      <c r="A774" t="s">
        <v>20</v>
      </c>
      <c r="B774">
        <v>127</v>
      </c>
    </row>
    <row r="775" spans="1:2" x14ac:dyDescent="0.3">
      <c r="A775" t="s">
        <v>30</v>
      </c>
      <c r="B775">
        <v>55</v>
      </c>
    </row>
    <row r="776" spans="1:2" x14ac:dyDescent="0.3">
      <c r="A776" t="s">
        <v>20</v>
      </c>
      <c r="B776">
        <v>329</v>
      </c>
    </row>
    <row r="777" spans="1:2" x14ac:dyDescent="0.3">
      <c r="A777" t="s">
        <v>30</v>
      </c>
      <c r="B777">
        <v>62</v>
      </c>
    </row>
    <row r="778" spans="1:2" x14ac:dyDescent="0.3">
      <c r="A778" t="s">
        <v>20</v>
      </c>
      <c r="B778">
        <v>52</v>
      </c>
    </row>
    <row r="779" spans="1:2" x14ac:dyDescent="0.3">
      <c r="A779" t="s">
        <v>17</v>
      </c>
      <c r="B779">
        <v>74</v>
      </c>
    </row>
    <row r="780" spans="1:2" x14ac:dyDescent="0.3">
      <c r="A780" t="s">
        <v>20</v>
      </c>
      <c r="B780">
        <v>134</v>
      </c>
    </row>
    <row r="781" spans="1:2" x14ac:dyDescent="0.3">
      <c r="A781" t="s">
        <v>20</v>
      </c>
      <c r="B781">
        <v>261</v>
      </c>
    </row>
    <row r="782" spans="1:2" x14ac:dyDescent="0.3">
      <c r="A782" t="s">
        <v>20</v>
      </c>
      <c r="B782">
        <v>218</v>
      </c>
    </row>
    <row r="783" spans="1:2" x14ac:dyDescent="0.3">
      <c r="A783" t="s">
        <v>20</v>
      </c>
      <c r="B783">
        <v>199</v>
      </c>
    </row>
    <row r="784" spans="1:2" x14ac:dyDescent="0.3">
      <c r="A784" t="s">
        <v>17</v>
      </c>
      <c r="B784">
        <v>150</v>
      </c>
    </row>
    <row r="785" spans="1:2" x14ac:dyDescent="0.3">
      <c r="A785" t="s">
        <v>17</v>
      </c>
      <c r="B785">
        <v>228</v>
      </c>
    </row>
    <row r="786" spans="1:2" x14ac:dyDescent="0.3">
      <c r="A786" t="s">
        <v>20</v>
      </c>
      <c r="B786">
        <v>118</v>
      </c>
    </row>
    <row r="787" spans="1:2" x14ac:dyDescent="0.3">
      <c r="A787" t="s">
        <v>20</v>
      </c>
      <c r="B787">
        <v>150</v>
      </c>
    </row>
    <row r="788" spans="1:2" x14ac:dyDescent="0.3">
      <c r="A788" t="s">
        <v>20</v>
      </c>
      <c r="B788">
        <v>433</v>
      </c>
    </row>
    <row r="789" spans="1:2" x14ac:dyDescent="0.3">
      <c r="A789" t="s">
        <v>30</v>
      </c>
      <c r="B789">
        <v>140</v>
      </c>
    </row>
    <row r="790" spans="1:2" x14ac:dyDescent="0.3">
      <c r="A790" t="s">
        <v>20</v>
      </c>
      <c r="B790">
        <v>366</v>
      </c>
    </row>
    <row r="791" spans="1:2" x14ac:dyDescent="0.3">
      <c r="A791" t="s">
        <v>20</v>
      </c>
      <c r="B791">
        <v>179</v>
      </c>
    </row>
    <row r="792" spans="1:2" x14ac:dyDescent="0.3">
      <c r="A792" t="s">
        <v>20</v>
      </c>
      <c r="B792">
        <v>328</v>
      </c>
    </row>
    <row r="793" spans="1:2" x14ac:dyDescent="0.3">
      <c r="A793" t="s">
        <v>20</v>
      </c>
      <c r="B793">
        <v>165</v>
      </c>
    </row>
    <row r="794" spans="1:2" x14ac:dyDescent="0.3">
      <c r="A794" t="s">
        <v>20</v>
      </c>
      <c r="B794">
        <v>350</v>
      </c>
    </row>
    <row r="795" spans="1:2" x14ac:dyDescent="0.3">
      <c r="A795" t="s">
        <v>20</v>
      </c>
      <c r="B795">
        <v>157</v>
      </c>
    </row>
    <row r="796" spans="1:2" x14ac:dyDescent="0.3">
      <c r="A796" t="s">
        <v>30</v>
      </c>
      <c r="B796">
        <v>190</v>
      </c>
    </row>
    <row r="797" spans="1:2" x14ac:dyDescent="0.3">
      <c r="A797" t="s">
        <v>20</v>
      </c>
      <c r="B797">
        <v>297</v>
      </c>
    </row>
    <row r="798" spans="1:2" x14ac:dyDescent="0.3">
      <c r="A798" t="s">
        <v>20</v>
      </c>
      <c r="B798">
        <v>302</v>
      </c>
    </row>
    <row r="799" spans="1:2" x14ac:dyDescent="0.3">
      <c r="A799" t="s">
        <v>20</v>
      </c>
      <c r="B799">
        <v>119</v>
      </c>
    </row>
    <row r="800" spans="1:2" x14ac:dyDescent="0.3">
      <c r="A800" t="s">
        <v>30</v>
      </c>
      <c r="B800">
        <v>74</v>
      </c>
    </row>
    <row r="801" spans="1:2" x14ac:dyDescent="0.3">
      <c r="A801" t="s">
        <v>30</v>
      </c>
      <c r="B801">
        <v>67</v>
      </c>
    </row>
    <row r="802" spans="1:2" x14ac:dyDescent="0.3">
      <c r="A802" t="s">
        <v>20</v>
      </c>
      <c r="B802">
        <v>389</v>
      </c>
    </row>
    <row r="803" spans="1:2" x14ac:dyDescent="0.3">
      <c r="A803" t="s">
        <v>20</v>
      </c>
      <c r="B803">
        <v>267</v>
      </c>
    </row>
    <row r="804" spans="1:2" x14ac:dyDescent="0.3">
      <c r="A804" t="s">
        <v>30</v>
      </c>
      <c r="B804">
        <v>67</v>
      </c>
    </row>
    <row r="805" spans="1:2" x14ac:dyDescent="0.3">
      <c r="A805" t="s">
        <v>31</v>
      </c>
      <c r="B805">
        <v>86</v>
      </c>
    </row>
    <row r="806" spans="1:2" x14ac:dyDescent="0.3">
      <c r="A806" t="s">
        <v>20</v>
      </c>
      <c r="B806">
        <v>118</v>
      </c>
    </row>
    <row r="807" spans="1:2" x14ac:dyDescent="0.3">
      <c r="A807" t="s">
        <v>20</v>
      </c>
      <c r="B807">
        <v>203</v>
      </c>
    </row>
    <row r="808" spans="1:2" x14ac:dyDescent="0.3">
      <c r="A808" t="s">
        <v>20</v>
      </c>
      <c r="B808">
        <v>120</v>
      </c>
    </row>
    <row r="809" spans="1:2" x14ac:dyDescent="0.3">
      <c r="A809" t="s">
        <v>20</v>
      </c>
      <c r="B809">
        <v>191</v>
      </c>
    </row>
    <row r="810" spans="1:2" x14ac:dyDescent="0.3">
      <c r="A810" t="s">
        <v>30</v>
      </c>
      <c r="B810">
        <v>99</v>
      </c>
    </row>
    <row r="811" spans="1:2" x14ac:dyDescent="0.3">
      <c r="A811" t="s">
        <v>20</v>
      </c>
      <c r="B811">
        <v>345</v>
      </c>
    </row>
    <row r="812" spans="1:2" x14ac:dyDescent="0.3">
      <c r="A812" t="s">
        <v>20</v>
      </c>
      <c r="B812">
        <v>279</v>
      </c>
    </row>
    <row r="813" spans="1:2" x14ac:dyDescent="0.3">
      <c r="A813" t="s">
        <v>20</v>
      </c>
      <c r="B813">
        <v>131</v>
      </c>
    </row>
    <row r="814" spans="1:2" x14ac:dyDescent="0.3">
      <c r="A814" t="s">
        <v>20</v>
      </c>
      <c r="B814">
        <v>120</v>
      </c>
    </row>
    <row r="815" spans="1:2" x14ac:dyDescent="0.3">
      <c r="A815" t="s">
        <v>20</v>
      </c>
      <c r="B815">
        <v>137</v>
      </c>
    </row>
    <row r="816" spans="1:2" x14ac:dyDescent="0.3">
      <c r="A816" t="s">
        <v>20</v>
      </c>
      <c r="B816">
        <v>113</v>
      </c>
    </row>
    <row r="817" spans="1:2" x14ac:dyDescent="0.3">
      <c r="A817" t="s">
        <v>30</v>
      </c>
      <c r="B817">
        <v>73</v>
      </c>
    </row>
    <row r="818" spans="1:2" x14ac:dyDescent="0.3">
      <c r="A818" t="s">
        <v>30</v>
      </c>
      <c r="B818">
        <v>85</v>
      </c>
    </row>
    <row r="819" spans="1:2" x14ac:dyDescent="0.3">
      <c r="A819" t="s">
        <v>20</v>
      </c>
      <c r="B819">
        <v>430</v>
      </c>
    </row>
    <row r="820" spans="1:2" x14ac:dyDescent="0.3">
      <c r="A820" t="s">
        <v>20</v>
      </c>
      <c r="B820">
        <v>170</v>
      </c>
    </row>
    <row r="821" spans="1:2" x14ac:dyDescent="0.3">
      <c r="A821" t="s">
        <v>20</v>
      </c>
      <c r="B821">
        <v>244</v>
      </c>
    </row>
    <row r="822" spans="1:2" x14ac:dyDescent="0.3">
      <c r="A822" t="s">
        <v>20</v>
      </c>
      <c r="B822">
        <v>78</v>
      </c>
    </row>
    <row r="823" spans="1:2" x14ac:dyDescent="0.3">
      <c r="A823" t="s">
        <v>20</v>
      </c>
      <c r="B823">
        <v>358</v>
      </c>
    </row>
    <row r="824" spans="1:2" x14ac:dyDescent="0.3">
      <c r="A824" t="s">
        <v>20</v>
      </c>
      <c r="B824">
        <v>385</v>
      </c>
    </row>
    <row r="825" spans="1:2" x14ac:dyDescent="0.3">
      <c r="A825" t="s">
        <v>20</v>
      </c>
      <c r="B825">
        <v>249</v>
      </c>
    </row>
    <row r="826" spans="1:2" x14ac:dyDescent="0.3">
      <c r="A826" t="s">
        <v>20</v>
      </c>
      <c r="B826">
        <v>290</v>
      </c>
    </row>
    <row r="827" spans="1:2" x14ac:dyDescent="0.3">
      <c r="A827" t="s">
        <v>20</v>
      </c>
      <c r="B827">
        <v>90</v>
      </c>
    </row>
    <row r="828" spans="1:2" x14ac:dyDescent="0.3">
      <c r="A828" t="s">
        <v>17</v>
      </c>
      <c r="B828">
        <v>181</v>
      </c>
    </row>
    <row r="829" spans="1:2" x14ac:dyDescent="0.3">
      <c r="A829" t="s">
        <v>30</v>
      </c>
      <c r="B829">
        <v>76</v>
      </c>
    </row>
    <row r="830" spans="1:2" x14ac:dyDescent="0.3">
      <c r="A830" t="s">
        <v>20</v>
      </c>
      <c r="B830">
        <v>316</v>
      </c>
    </row>
    <row r="831" spans="1:2" x14ac:dyDescent="0.3">
      <c r="A831" t="s">
        <v>20</v>
      </c>
      <c r="B831">
        <v>355</v>
      </c>
    </row>
    <row r="832" spans="1:2" x14ac:dyDescent="0.3">
      <c r="A832" t="s">
        <v>20</v>
      </c>
      <c r="B832">
        <v>203</v>
      </c>
    </row>
    <row r="833" spans="1:2" x14ac:dyDescent="0.3">
      <c r="A833" t="s">
        <v>20</v>
      </c>
      <c r="B833">
        <v>154</v>
      </c>
    </row>
    <row r="834" spans="1:2" x14ac:dyDescent="0.3">
      <c r="A834" t="s">
        <v>30</v>
      </c>
      <c r="B834">
        <v>69</v>
      </c>
    </row>
    <row r="835" spans="1:2" x14ac:dyDescent="0.3">
      <c r="A835" t="s">
        <v>20</v>
      </c>
      <c r="B835">
        <v>74</v>
      </c>
    </row>
    <row r="836" spans="1:2" x14ac:dyDescent="0.3">
      <c r="A836" t="s">
        <v>17</v>
      </c>
      <c r="B836">
        <v>325</v>
      </c>
    </row>
    <row r="837" spans="1:2" x14ac:dyDescent="0.3">
      <c r="A837" t="s">
        <v>20</v>
      </c>
      <c r="B837">
        <v>231</v>
      </c>
    </row>
    <row r="838" spans="1:2" x14ac:dyDescent="0.3">
      <c r="A838" t="s">
        <v>20</v>
      </c>
      <c r="B838">
        <v>145</v>
      </c>
    </row>
    <row r="839" spans="1:2" x14ac:dyDescent="0.3">
      <c r="A839" t="s">
        <v>20</v>
      </c>
      <c r="B839">
        <v>160</v>
      </c>
    </row>
    <row r="840" spans="1:2" x14ac:dyDescent="0.3">
      <c r="A840" t="s">
        <v>20</v>
      </c>
      <c r="B840">
        <v>293</v>
      </c>
    </row>
    <row r="841" spans="1:2" x14ac:dyDescent="0.3">
      <c r="A841" t="s">
        <v>20</v>
      </c>
      <c r="B841">
        <v>53</v>
      </c>
    </row>
    <row r="842" spans="1:2" x14ac:dyDescent="0.3">
      <c r="A842" t="s">
        <v>20</v>
      </c>
      <c r="B842">
        <v>64</v>
      </c>
    </row>
    <row r="843" spans="1:2" x14ac:dyDescent="0.3">
      <c r="A843" t="s">
        <v>20</v>
      </c>
      <c r="B843">
        <v>250</v>
      </c>
    </row>
    <row r="844" spans="1:2" x14ac:dyDescent="0.3">
      <c r="A844" t="s">
        <v>20</v>
      </c>
      <c r="B844">
        <v>144</v>
      </c>
    </row>
    <row r="845" spans="1:2" x14ac:dyDescent="0.3">
      <c r="A845" t="s">
        <v>20</v>
      </c>
      <c r="B845">
        <v>296</v>
      </c>
    </row>
    <row r="846" spans="1:2" x14ac:dyDescent="0.3">
      <c r="A846" t="s">
        <v>17</v>
      </c>
      <c r="B846">
        <v>232</v>
      </c>
    </row>
    <row r="847" spans="1:2" x14ac:dyDescent="0.3">
      <c r="A847" t="s">
        <v>20</v>
      </c>
      <c r="B847">
        <v>209</v>
      </c>
    </row>
    <row r="848" spans="1:2" x14ac:dyDescent="0.3">
      <c r="A848" t="s">
        <v>20</v>
      </c>
      <c r="B848">
        <v>64</v>
      </c>
    </row>
    <row r="849" spans="1:2" x14ac:dyDescent="0.3">
      <c r="A849" t="s">
        <v>20</v>
      </c>
      <c r="B849">
        <v>132</v>
      </c>
    </row>
    <row r="850" spans="1:2" x14ac:dyDescent="0.3">
      <c r="A850" t="s">
        <v>30</v>
      </c>
      <c r="B850">
        <v>90</v>
      </c>
    </row>
    <row r="851" spans="1:2" x14ac:dyDescent="0.3">
      <c r="A851" t="s">
        <v>20</v>
      </c>
      <c r="B851">
        <v>81</v>
      </c>
    </row>
    <row r="852" spans="1:2" x14ac:dyDescent="0.3">
      <c r="A852" t="s">
        <v>20</v>
      </c>
      <c r="B852">
        <v>57</v>
      </c>
    </row>
    <row r="853" spans="1:2" x14ac:dyDescent="0.3">
      <c r="A853" t="s">
        <v>20</v>
      </c>
      <c r="B853">
        <v>388</v>
      </c>
    </row>
    <row r="854" spans="1:2" x14ac:dyDescent="0.3">
      <c r="A854" t="s">
        <v>20</v>
      </c>
      <c r="B854">
        <v>318</v>
      </c>
    </row>
    <row r="855" spans="1:2" x14ac:dyDescent="0.3">
      <c r="A855" t="s">
        <v>20</v>
      </c>
      <c r="B855">
        <v>74</v>
      </c>
    </row>
    <row r="856" spans="1:2" x14ac:dyDescent="0.3">
      <c r="A856" t="s">
        <v>20</v>
      </c>
      <c r="B856">
        <v>57</v>
      </c>
    </row>
    <row r="857" spans="1:2" x14ac:dyDescent="0.3">
      <c r="A857" t="s">
        <v>20</v>
      </c>
      <c r="B857">
        <v>120</v>
      </c>
    </row>
    <row r="858" spans="1:2" x14ac:dyDescent="0.3">
      <c r="A858" t="s">
        <v>20</v>
      </c>
      <c r="B858">
        <v>232</v>
      </c>
    </row>
    <row r="859" spans="1:2" x14ac:dyDescent="0.3">
      <c r="A859" t="s">
        <v>20</v>
      </c>
      <c r="B859">
        <v>130</v>
      </c>
    </row>
    <row r="860" spans="1:2" x14ac:dyDescent="0.3">
      <c r="A860" t="s">
        <v>31</v>
      </c>
      <c r="B860">
        <v>109</v>
      </c>
    </row>
    <row r="861" spans="1:2" x14ac:dyDescent="0.3">
      <c r="A861" t="s">
        <v>30</v>
      </c>
      <c r="B861">
        <v>96</v>
      </c>
    </row>
    <row r="862" spans="1:2" x14ac:dyDescent="0.3">
      <c r="A862" t="s">
        <v>20</v>
      </c>
      <c r="B862">
        <v>197</v>
      </c>
    </row>
    <row r="863" spans="1:2" x14ac:dyDescent="0.3">
      <c r="A863" t="s">
        <v>20</v>
      </c>
      <c r="B863">
        <v>58</v>
      </c>
    </row>
    <row r="864" spans="1:2" x14ac:dyDescent="0.3">
      <c r="A864" t="s">
        <v>30</v>
      </c>
      <c r="B864">
        <v>140</v>
      </c>
    </row>
    <row r="865" spans="1:2" x14ac:dyDescent="0.3">
      <c r="A865" t="s">
        <v>20</v>
      </c>
      <c r="B865">
        <v>262</v>
      </c>
    </row>
    <row r="866" spans="1:2" x14ac:dyDescent="0.3">
      <c r="A866" t="s">
        <v>20</v>
      </c>
      <c r="B866">
        <v>209</v>
      </c>
    </row>
    <row r="867" spans="1:2" x14ac:dyDescent="0.3">
      <c r="A867" t="s">
        <v>30</v>
      </c>
      <c r="B867">
        <v>233</v>
      </c>
    </row>
    <row r="868" spans="1:2" x14ac:dyDescent="0.3">
      <c r="A868" t="s">
        <v>20</v>
      </c>
      <c r="B868">
        <v>377</v>
      </c>
    </row>
    <row r="869" spans="1:2" x14ac:dyDescent="0.3">
      <c r="A869" t="s">
        <v>20</v>
      </c>
      <c r="B869">
        <v>302</v>
      </c>
    </row>
    <row r="870" spans="1:2" x14ac:dyDescent="0.3">
      <c r="A870" t="s">
        <v>20</v>
      </c>
      <c r="B870">
        <v>67</v>
      </c>
    </row>
    <row r="871" spans="1:2" x14ac:dyDescent="0.3">
      <c r="A871" t="s">
        <v>20</v>
      </c>
      <c r="B871">
        <v>57</v>
      </c>
    </row>
    <row r="872" spans="1:2" x14ac:dyDescent="0.3">
      <c r="A872" t="s">
        <v>20</v>
      </c>
      <c r="B872">
        <v>317</v>
      </c>
    </row>
    <row r="873" spans="1:2" x14ac:dyDescent="0.3">
      <c r="A873" t="s">
        <v>20</v>
      </c>
      <c r="B873">
        <v>120</v>
      </c>
    </row>
    <row r="874" spans="1:2" x14ac:dyDescent="0.3">
      <c r="A874" t="s">
        <v>20</v>
      </c>
      <c r="B874">
        <v>300</v>
      </c>
    </row>
    <row r="875" spans="1:2" x14ac:dyDescent="0.3">
      <c r="A875" t="s">
        <v>20</v>
      </c>
      <c r="B875">
        <v>150</v>
      </c>
    </row>
    <row r="876" spans="1:2" x14ac:dyDescent="0.3">
      <c r="A876" t="s">
        <v>17</v>
      </c>
      <c r="B876">
        <v>189</v>
      </c>
    </row>
    <row r="877" spans="1:2" x14ac:dyDescent="0.3">
      <c r="A877" t="s">
        <v>20</v>
      </c>
      <c r="B877">
        <v>169</v>
      </c>
    </row>
    <row r="878" spans="1:2" x14ac:dyDescent="0.3">
      <c r="A878" t="s">
        <v>91</v>
      </c>
      <c r="B878">
        <v>68</v>
      </c>
    </row>
    <row r="879" spans="1:2" x14ac:dyDescent="0.3">
      <c r="A879" t="s">
        <v>31</v>
      </c>
      <c r="B879">
        <v>74</v>
      </c>
    </row>
    <row r="880" spans="1:2" x14ac:dyDescent="0.3">
      <c r="A880" t="s">
        <v>20</v>
      </c>
      <c r="B880">
        <v>53</v>
      </c>
    </row>
    <row r="881" spans="1:2" x14ac:dyDescent="0.3">
      <c r="A881" t="s">
        <v>31</v>
      </c>
      <c r="B881">
        <v>81</v>
      </c>
    </row>
    <row r="882" spans="1:2" x14ac:dyDescent="0.3">
      <c r="A882" t="s">
        <v>20</v>
      </c>
      <c r="B882">
        <v>66</v>
      </c>
    </row>
    <row r="883" spans="1:2" x14ac:dyDescent="0.3">
      <c r="A883" t="s">
        <v>20</v>
      </c>
      <c r="B883">
        <v>385</v>
      </c>
    </row>
    <row r="884" spans="1:2" x14ac:dyDescent="0.3">
      <c r="A884" t="s">
        <v>20</v>
      </c>
      <c r="B884">
        <v>161</v>
      </c>
    </row>
    <row r="885" spans="1:2" x14ac:dyDescent="0.3">
      <c r="A885" t="s">
        <v>20</v>
      </c>
      <c r="B885">
        <v>350</v>
      </c>
    </row>
    <row r="886" spans="1:2" x14ac:dyDescent="0.3">
      <c r="A886" t="s">
        <v>20</v>
      </c>
      <c r="B886">
        <v>298</v>
      </c>
    </row>
    <row r="887" spans="1:2" x14ac:dyDescent="0.3">
      <c r="A887" t="s">
        <v>17</v>
      </c>
      <c r="B887">
        <v>178</v>
      </c>
    </row>
    <row r="888" spans="1:2" x14ac:dyDescent="0.3">
      <c r="A888" t="s">
        <v>17</v>
      </c>
      <c r="B888">
        <v>54</v>
      </c>
    </row>
    <row r="889" spans="1:2" x14ac:dyDescent="0.3">
      <c r="A889" t="s">
        <v>20</v>
      </c>
      <c r="B889">
        <v>132</v>
      </c>
    </row>
    <row r="890" spans="1:2" x14ac:dyDescent="0.3">
      <c r="A890" t="s">
        <v>20</v>
      </c>
      <c r="B890">
        <v>189</v>
      </c>
    </row>
    <row r="891" spans="1:2" x14ac:dyDescent="0.3">
      <c r="A891" t="s">
        <v>20</v>
      </c>
      <c r="B891">
        <v>192</v>
      </c>
    </row>
    <row r="892" spans="1:2" x14ac:dyDescent="0.3">
      <c r="A892" t="s">
        <v>20</v>
      </c>
      <c r="B892">
        <v>134</v>
      </c>
    </row>
    <row r="893" spans="1:2" x14ac:dyDescent="0.3">
      <c r="A893" t="s">
        <v>20</v>
      </c>
      <c r="B893">
        <v>189</v>
      </c>
    </row>
    <row r="894" spans="1:2" x14ac:dyDescent="0.3">
      <c r="A894" t="s">
        <v>20</v>
      </c>
      <c r="B894">
        <v>185</v>
      </c>
    </row>
    <row r="895" spans="1:2" x14ac:dyDescent="0.3">
      <c r="A895" t="s">
        <v>17</v>
      </c>
      <c r="B895">
        <v>120</v>
      </c>
    </row>
    <row r="896" spans="1:2" x14ac:dyDescent="0.3">
      <c r="A896" t="s">
        <v>17</v>
      </c>
      <c r="B896">
        <v>146</v>
      </c>
    </row>
    <row r="897" spans="1:2" x14ac:dyDescent="0.3">
      <c r="A897" t="s">
        <v>20</v>
      </c>
      <c r="B897">
        <v>79</v>
      </c>
    </row>
    <row r="898" spans="1:2" x14ac:dyDescent="0.3">
      <c r="A898" t="s">
        <v>20</v>
      </c>
      <c r="B898">
        <v>127</v>
      </c>
    </row>
    <row r="899" spans="1:2" x14ac:dyDescent="0.3">
      <c r="A899" t="s">
        <v>17</v>
      </c>
      <c r="B899">
        <v>110</v>
      </c>
    </row>
    <row r="900" spans="1:2" x14ac:dyDescent="0.3">
      <c r="A900" t="s">
        <v>17</v>
      </c>
      <c r="B900">
        <v>163</v>
      </c>
    </row>
    <row r="901" spans="1:2" x14ac:dyDescent="0.3">
      <c r="A901" t="s">
        <v>20</v>
      </c>
      <c r="B901">
        <v>141</v>
      </c>
    </row>
    <row r="902" spans="1:2" x14ac:dyDescent="0.3">
      <c r="A902" t="s">
        <v>20</v>
      </c>
      <c r="B902">
        <v>233</v>
      </c>
    </row>
    <row r="903" spans="1:2" x14ac:dyDescent="0.3">
      <c r="A903" t="s">
        <v>20</v>
      </c>
      <c r="B903">
        <v>208</v>
      </c>
    </row>
    <row r="904" spans="1:2" x14ac:dyDescent="0.3">
      <c r="A904" t="s">
        <v>17</v>
      </c>
      <c r="B904">
        <v>116</v>
      </c>
    </row>
    <row r="905" spans="1:2" x14ac:dyDescent="0.3">
      <c r="A905" t="s">
        <v>20</v>
      </c>
      <c r="B905">
        <v>198</v>
      </c>
    </row>
    <row r="906" spans="1:2" x14ac:dyDescent="0.3">
      <c r="A906" t="s">
        <v>17</v>
      </c>
      <c r="B906">
        <v>51</v>
      </c>
    </row>
    <row r="907" spans="1:2" x14ac:dyDescent="0.3">
      <c r="A907" t="s">
        <v>17</v>
      </c>
      <c r="B907">
        <v>120</v>
      </c>
    </row>
    <row r="908" spans="1:2" x14ac:dyDescent="0.3">
      <c r="A908" t="s">
        <v>17</v>
      </c>
      <c r="B908">
        <v>361</v>
      </c>
    </row>
    <row r="909" spans="1:2" x14ac:dyDescent="0.3">
      <c r="A909" t="s">
        <v>20</v>
      </c>
      <c r="B909">
        <v>99</v>
      </c>
    </row>
    <row r="910" spans="1:2" x14ac:dyDescent="0.3">
      <c r="A910" t="s">
        <v>20</v>
      </c>
      <c r="B910">
        <v>183</v>
      </c>
    </row>
    <row r="911" spans="1:2" x14ac:dyDescent="0.3">
      <c r="A911" t="s">
        <v>17</v>
      </c>
      <c r="B911">
        <v>109</v>
      </c>
    </row>
    <row r="912" spans="1:2" x14ac:dyDescent="0.3">
      <c r="A912" t="s">
        <v>20</v>
      </c>
      <c r="B912">
        <v>199</v>
      </c>
    </row>
    <row r="913" spans="1:2" x14ac:dyDescent="0.3">
      <c r="A913" t="s">
        <v>17</v>
      </c>
      <c r="B913">
        <v>61</v>
      </c>
    </row>
    <row r="914" spans="1:2" x14ac:dyDescent="0.3">
      <c r="A914" t="s">
        <v>17</v>
      </c>
      <c r="B914">
        <v>119</v>
      </c>
    </row>
    <row r="915" spans="1:2" x14ac:dyDescent="0.3">
      <c r="A915" t="s">
        <v>17</v>
      </c>
      <c r="B915">
        <v>116</v>
      </c>
    </row>
    <row r="916" spans="1:2" x14ac:dyDescent="0.3">
      <c r="A916" t="s">
        <v>17</v>
      </c>
      <c r="B916">
        <v>184</v>
      </c>
    </row>
    <row r="917" spans="1:2" x14ac:dyDescent="0.3">
      <c r="A917" t="s">
        <v>17</v>
      </c>
      <c r="B917">
        <v>128</v>
      </c>
    </row>
    <row r="918" spans="1:2" x14ac:dyDescent="0.3">
      <c r="A918" t="s">
        <v>17</v>
      </c>
      <c r="B918">
        <v>139</v>
      </c>
    </row>
    <row r="919" spans="1:2" x14ac:dyDescent="0.3">
      <c r="A919" t="s">
        <v>17</v>
      </c>
      <c r="B919">
        <v>128</v>
      </c>
    </row>
    <row r="920" spans="1:2" x14ac:dyDescent="0.3">
      <c r="A920" t="s">
        <v>20</v>
      </c>
      <c r="B920">
        <v>53</v>
      </c>
    </row>
    <row r="921" spans="1:2" x14ac:dyDescent="0.3">
      <c r="A921" t="s">
        <v>30</v>
      </c>
      <c r="B921">
        <v>129</v>
      </c>
    </row>
    <row r="922" spans="1:2" x14ac:dyDescent="0.3">
      <c r="A922" t="s">
        <v>20</v>
      </c>
      <c r="B922">
        <v>335</v>
      </c>
    </row>
    <row r="923" spans="1:2" x14ac:dyDescent="0.3">
      <c r="A923" t="s">
        <v>20</v>
      </c>
      <c r="B923">
        <v>450</v>
      </c>
    </row>
    <row r="924" spans="1:2" x14ac:dyDescent="0.3">
      <c r="A924" t="s">
        <v>20</v>
      </c>
      <c r="B924">
        <v>96</v>
      </c>
    </row>
    <row r="925" spans="1:2" x14ac:dyDescent="0.3">
      <c r="A925" t="s">
        <v>17</v>
      </c>
      <c r="B925">
        <v>72</v>
      </c>
    </row>
    <row r="926" spans="1:2" x14ac:dyDescent="0.3">
      <c r="A926" t="s">
        <v>20</v>
      </c>
      <c r="B926">
        <v>119</v>
      </c>
    </row>
    <row r="927" spans="1:2" x14ac:dyDescent="0.3">
      <c r="A927" t="s">
        <v>20</v>
      </c>
      <c r="B927">
        <v>280</v>
      </c>
    </row>
    <row r="928" spans="1:2" x14ac:dyDescent="0.3">
      <c r="A928" t="s">
        <v>20</v>
      </c>
      <c r="B928">
        <v>361</v>
      </c>
    </row>
    <row r="929" spans="1:2" x14ac:dyDescent="0.3">
      <c r="A929" t="s">
        <v>20</v>
      </c>
      <c r="B929">
        <v>90</v>
      </c>
    </row>
    <row r="930" spans="1:2" x14ac:dyDescent="0.3">
      <c r="A930" t="s">
        <v>20</v>
      </c>
      <c r="B930">
        <v>285</v>
      </c>
    </row>
    <row r="931" spans="1:2" x14ac:dyDescent="0.3">
      <c r="A931" t="s">
        <v>20</v>
      </c>
      <c r="B931">
        <v>54</v>
      </c>
    </row>
    <row r="932" spans="1:2" x14ac:dyDescent="0.3">
      <c r="A932" t="s">
        <v>30</v>
      </c>
      <c r="B932">
        <v>73</v>
      </c>
    </row>
    <row r="933" spans="1:2" x14ac:dyDescent="0.3">
      <c r="A933" t="s">
        <v>20</v>
      </c>
      <c r="B933">
        <v>238</v>
      </c>
    </row>
    <row r="934" spans="1:2" x14ac:dyDescent="0.3">
      <c r="A934" t="s">
        <v>30</v>
      </c>
      <c r="B934">
        <v>50</v>
      </c>
    </row>
    <row r="935" spans="1:2" x14ac:dyDescent="0.3">
      <c r="A935" t="s">
        <v>20</v>
      </c>
      <c r="B935">
        <v>225</v>
      </c>
    </row>
    <row r="936" spans="1:2" x14ac:dyDescent="0.3">
      <c r="A936" t="s">
        <v>20</v>
      </c>
      <c r="B936">
        <v>104</v>
      </c>
    </row>
    <row r="937" spans="1:2" x14ac:dyDescent="0.3">
      <c r="A937" t="s">
        <v>17</v>
      </c>
      <c r="B937">
        <v>58</v>
      </c>
    </row>
    <row r="938" spans="1:2" x14ac:dyDescent="0.3">
      <c r="A938" t="s">
        <v>20</v>
      </c>
      <c r="B938">
        <v>257</v>
      </c>
    </row>
    <row r="939" spans="1:2" x14ac:dyDescent="0.3">
      <c r="A939" t="s">
        <v>20</v>
      </c>
      <c r="B939">
        <v>180</v>
      </c>
    </row>
    <row r="940" spans="1:2" x14ac:dyDescent="0.3">
      <c r="A940" t="s">
        <v>20</v>
      </c>
      <c r="B940">
        <v>263</v>
      </c>
    </row>
    <row r="941" spans="1:2" x14ac:dyDescent="0.3">
      <c r="A941" t="s">
        <v>20</v>
      </c>
      <c r="B941">
        <v>255</v>
      </c>
    </row>
    <row r="942" spans="1:2" x14ac:dyDescent="0.3">
      <c r="A942" t="s">
        <v>31</v>
      </c>
      <c r="B942">
        <v>106</v>
      </c>
    </row>
    <row r="943" spans="1:2" x14ac:dyDescent="0.3">
      <c r="A943" t="s">
        <v>20</v>
      </c>
      <c r="B943">
        <v>194</v>
      </c>
    </row>
    <row r="944" spans="1:2" x14ac:dyDescent="0.3">
      <c r="A944" t="s">
        <v>20</v>
      </c>
      <c r="B944">
        <v>155</v>
      </c>
    </row>
    <row r="945" spans="1:2" x14ac:dyDescent="0.3">
      <c r="A945" t="s">
        <v>20</v>
      </c>
      <c r="B945">
        <v>137</v>
      </c>
    </row>
    <row r="946" spans="1:2" x14ac:dyDescent="0.3">
      <c r="A946" t="s">
        <v>20</v>
      </c>
      <c r="B946">
        <v>237</v>
      </c>
    </row>
    <row r="947" spans="1:2" x14ac:dyDescent="0.3">
      <c r="A947" t="s">
        <v>17</v>
      </c>
      <c r="B947">
        <v>97</v>
      </c>
    </row>
    <row r="948" spans="1:2" x14ac:dyDescent="0.3">
      <c r="A948" t="s">
        <v>31</v>
      </c>
      <c r="B948">
        <v>72</v>
      </c>
    </row>
    <row r="949" spans="1:2" x14ac:dyDescent="0.3">
      <c r="A949" t="s">
        <v>20</v>
      </c>
      <c r="B949">
        <v>339</v>
      </c>
    </row>
    <row r="950" spans="1:2" x14ac:dyDescent="0.3">
      <c r="A950" t="s">
        <v>20</v>
      </c>
      <c r="B950">
        <v>180</v>
      </c>
    </row>
    <row r="951" spans="1:2" x14ac:dyDescent="0.3">
      <c r="A951" t="s">
        <v>20</v>
      </c>
      <c r="B951">
        <v>162</v>
      </c>
    </row>
    <row r="952" spans="1:2" x14ac:dyDescent="0.3">
      <c r="A952" t="s">
        <v>17</v>
      </c>
      <c r="B952">
        <v>418</v>
      </c>
    </row>
    <row r="953" spans="1:2" x14ac:dyDescent="0.3">
      <c r="A953" t="s">
        <v>30</v>
      </c>
      <c r="B953">
        <v>100</v>
      </c>
    </row>
    <row r="954" spans="1:2" x14ac:dyDescent="0.3">
      <c r="A954" t="s">
        <v>31</v>
      </c>
      <c r="B954">
        <v>109</v>
      </c>
    </row>
    <row r="955" spans="1:2" x14ac:dyDescent="0.3">
      <c r="A955" t="s">
        <v>30</v>
      </c>
      <c r="B955">
        <v>244</v>
      </c>
    </row>
    <row r="956" spans="1:2" x14ac:dyDescent="0.3">
      <c r="A956" t="s">
        <v>20</v>
      </c>
      <c r="B956">
        <v>154</v>
      </c>
    </row>
    <row r="957" spans="1:2" x14ac:dyDescent="0.3">
      <c r="A957" t="s">
        <v>20</v>
      </c>
      <c r="B957">
        <v>240</v>
      </c>
    </row>
    <row r="958" spans="1:2" x14ac:dyDescent="0.3">
      <c r="A958" t="s">
        <v>20</v>
      </c>
      <c r="B958">
        <v>226</v>
      </c>
    </row>
    <row r="959" spans="1:2" x14ac:dyDescent="0.3">
      <c r="A959" t="s">
        <v>20</v>
      </c>
      <c r="B959">
        <v>222</v>
      </c>
    </row>
    <row r="960" spans="1:2" x14ac:dyDescent="0.3">
      <c r="A960" t="s">
        <v>20</v>
      </c>
      <c r="B960">
        <v>150</v>
      </c>
    </row>
    <row r="961" spans="1:2" x14ac:dyDescent="0.3">
      <c r="A961" t="s">
        <v>20</v>
      </c>
      <c r="B961">
        <v>379</v>
      </c>
    </row>
    <row r="962" spans="1:2" x14ac:dyDescent="0.3">
      <c r="A962" t="s">
        <v>17</v>
      </c>
      <c r="B962">
        <v>72</v>
      </c>
    </row>
    <row r="963" spans="1:2" x14ac:dyDescent="0.3">
      <c r="A963" t="s">
        <v>30</v>
      </c>
      <c r="B963">
        <v>170</v>
      </c>
    </row>
    <row r="964" spans="1:2" x14ac:dyDescent="0.3">
      <c r="A964" t="s">
        <v>20</v>
      </c>
      <c r="B964">
        <v>289</v>
      </c>
    </row>
    <row r="965" spans="1:2" x14ac:dyDescent="0.3">
      <c r="A965" t="s">
        <v>17</v>
      </c>
      <c r="B965">
        <v>233</v>
      </c>
    </row>
    <row r="966" spans="1:2" x14ac:dyDescent="0.3">
      <c r="A966" t="s">
        <v>17</v>
      </c>
      <c r="B966">
        <v>102</v>
      </c>
    </row>
    <row r="967" spans="1:2" x14ac:dyDescent="0.3">
      <c r="A967" t="s">
        <v>30</v>
      </c>
      <c r="B967">
        <v>115</v>
      </c>
    </row>
    <row r="968" spans="1:2" x14ac:dyDescent="0.3">
      <c r="A968" t="s">
        <v>30</v>
      </c>
      <c r="B968">
        <v>50</v>
      </c>
    </row>
    <row r="969" spans="1:2" x14ac:dyDescent="0.3">
      <c r="A969" t="s">
        <v>20</v>
      </c>
      <c r="B969">
        <v>277</v>
      </c>
    </row>
    <row r="970" spans="1:2" x14ac:dyDescent="0.3">
      <c r="A970" t="s">
        <v>20</v>
      </c>
      <c r="B970">
        <v>135</v>
      </c>
    </row>
    <row r="971" spans="1:2" x14ac:dyDescent="0.3">
      <c r="A971" t="s">
        <v>20</v>
      </c>
      <c r="B971">
        <v>175</v>
      </c>
    </row>
    <row r="972" spans="1:2" x14ac:dyDescent="0.3">
      <c r="A972" t="s">
        <v>20</v>
      </c>
      <c r="B972">
        <v>143</v>
      </c>
    </row>
    <row r="973" spans="1:2" x14ac:dyDescent="0.3">
      <c r="A973" t="s">
        <v>20</v>
      </c>
      <c r="B973">
        <v>185</v>
      </c>
    </row>
    <row r="974" spans="1:2" x14ac:dyDescent="0.3">
      <c r="A974" t="s">
        <v>20</v>
      </c>
      <c r="B974">
        <v>60</v>
      </c>
    </row>
    <row r="975" spans="1:2" x14ac:dyDescent="0.3">
      <c r="A975" t="s">
        <v>17</v>
      </c>
      <c r="B975">
        <v>221</v>
      </c>
    </row>
    <row r="976" spans="1:2" x14ac:dyDescent="0.3">
      <c r="A976" t="s">
        <v>20</v>
      </c>
      <c r="B976">
        <v>80</v>
      </c>
    </row>
    <row r="977" spans="1:2" x14ac:dyDescent="0.3">
      <c r="A977" t="s">
        <v>20</v>
      </c>
      <c r="B977">
        <v>75</v>
      </c>
    </row>
    <row r="978" spans="1:2" x14ac:dyDescent="0.3">
      <c r="A978" t="s">
        <v>20</v>
      </c>
      <c r="B978">
        <v>53</v>
      </c>
    </row>
    <row r="979" spans="1:2" x14ac:dyDescent="0.3">
      <c r="A979" t="s">
        <v>17</v>
      </c>
      <c r="B979">
        <v>350</v>
      </c>
    </row>
    <row r="980" spans="1:2" x14ac:dyDescent="0.3">
      <c r="A980" t="s">
        <v>31</v>
      </c>
      <c r="B980">
        <v>65</v>
      </c>
    </row>
    <row r="981" spans="1:2" x14ac:dyDescent="0.3">
      <c r="A981" t="s">
        <v>20</v>
      </c>
      <c r="B981">
        <v>243</v>
      </c>
    </row>
    <row r="982" spans="1:2" x14ac:dyDescent="0.3">
      <c r="A982" t="s">
        <v>17</v>
      </c>
      <c r="B982">
        <v>55</v>
      </c>
    </row>
    <row r="983" spans="1:2" x14ac:dyDescent="0.3">
      <c r="A983" t="s">
        <v>20</v>
      </c>
      <c r="B983">
        <v>180</v>
      </c>
    </row>
    <row r="984" spans="1:2" x14ac:dyDescent="0.3">
      <c r="A984" t="s">
        <v>17</v>
      </c>
      <c r="B984">
        <v>292</v>
      </c>
    </row>
    <row r="985" spans="1:2" x14ac:dyDescent="0.3">
      <c r="A985" t="s">
        <v>20</v>
      </c>
      <c r="B985">
        <v>54</v>
      </c>
    </row>
    <row r="986" spans="1:2" x14ac:dyDescent="0.3">
      <c r="A986" t="s">
        <v>17</v>
      </c>
      <c r="B986">
        <v>116</v>
      </c>
    </row>
    <row r="987" spans="1:2" x14ac:dyDescent="0.3">
      <c r="A987" t="s">
        <v>17</v>
      </c>
      <c r="B987">
        <v>141</v>
      </c>
    </row>
    <row r="988" spans="1:2" x14ac:dyDescent="0.3">
      <c r="A988" t="s">
        <v>17</v>
      </c>
      <c r="B988">
        <v>130</v>
      </c>
    </row>
    <row r="989" spans="1:2" x14ac:dyDescent="0.3">
      <c r="A989" t="s">
        <v>17</v>
      </c>
      <c r="B989">
        <v>55</v>
      </c>
    </row>
    <row r="990" spans="1:2" x14ac:dyDescent="0.3">
      <c r="A990" t="s">
        <v>17</v>
      </c>
      <c r="B990">
        <v>96</v>
      </c>
    </row>
    <row r="991" spans="1:2" x14ac:dyDescent="0.3">
      <c r="A991" t="s">
        <v>20</v>
      </c>
      <c r="B991">
        <v>171</v>
      </c>
    </row>
    <row r="992" spans="1:2" x14ac:dyDescent="0.3">
      <c r="A992" t="s">
        <v>20</v>
      </c>
      <c r="B992">
        <v>170</v>
      </c>
    </row>
    <row r="993" spans="1:2" x14ac:dyDescent="0.3">
      <c r="A993" t="s">
        <v>20</v>
      </c>
      <c r="B993">
        <v>150</v>
      </c>
    </row>
    <row r="994" spans="1:2" x14ac:dyDescent="0.3">
      <c r="A994" t="s">
        <v>30</v>
      </c>
      <c r="B994">
        <v>110</v>
      </c>
    </row>
    <row r="995" spans="1:2" x14ac:dyDescent="0.3">
      <c r="A995" t="s">
        <v>17</v>
      </c>
      <c r="B995">
        <v>163</v>
      </c>
    </row>
    <row r="996" spans="1:2" x14ac:dyDescent="0.3">
      <c r="A996" t="s">
        <v>20</v>
      </c>
      <c r="B996">
        <v>140</v>
      </c>
    </row>
    <row r="997" spans="1:2" x14ac:dyDescent="0.3">
      <c r="A997" t="s">
        <v>17</v>
      </c>
      <c r="B997">
        <v>126</v>
      </c>
    </row>
    <row r="998" spans="1:2" x14ac:dyDescent="0.3">
      <c r="A998" t="s">
        <v>20</v>
      </c>
      <c r="B998">
        <v>433</v>
      </c>
    </row>
    <row r="999" spans="1:2" x14ac:dyDescent="0.3">
      <c r="A999" t="s">
        <v>20</v>
      </c>
      <c r="B999">
        <v>394</v>
      </c>
    </row>
    <row r="1000" spans="1:2" x14ac:dyDescent="0.3">
      <c r="A1000" t="s">
        <v>20</v>
      </c>
      <c r="B1000">
        <v>394</v>
      </c>
    </row>
    <row r="1001" spans="1:2" x14ac:dyDescent="0.3">
      <c r="A1001" t="s">
        <v>17</v>
      </c>
      <c r="B1001">
        <v>210</v>
      </c>
    </row>
    <row r="1002" spans="1:2" x14ac:dyDescent="0.3">
      <c r="A1002" t="s">
        <v>17</v>
      </c>
      <c r="B1002">
        <v>117</v>
      </c>
    </row>
    <row r="1003" spans="1:2" x14ac:dyDescent="0.3">
      <c r="A1003" t="s">
        <v>30</v>
      </c>
      <c r="B1003">
        <v>80</v>
      </c>
    </row>
    <row r="1004" spans="1:2" x14ac:dyDescent="0.3">
      <c r="A1004" t="s">
        <v>30</v>
      </c>
      <c r="B1004">
        <v>105</v>
      </c>
    </row>
    <row r="1005" spans="1:2" x14ac:dyDescent="0.3">
      <c r="A1005" t="s">
        <v>17</v>
      </c>
      <c r="B1005">
        <v>140</v>
      </c>
    </row>
    <row r="1006" spans="1:2" x14ac:dyDescent="0.3">
      <c r="A1006" t="s">
        <v>20</v>
      </c>
      <c r="B1006">
        <v>92</v>
      </c>
    </row>
    <row r="1007" spans="1:2" x14ac:dyDescent="0.3">
      <c r="A1007" t="s">
        <v>20</v>
      </c>
      <c r="B1007">
        <v>179</v>
      </c>
    </row>
    <row r="1008" spans="1:2" x14ac:dyDescent="0.3">
      <c r="A1008" t="s">
        <v>20</v>
      </c>
      <c r="B1008">
        <v>150</v>
      </c>
    </row>
    <row r="1009" spans="1:2" x14ac:dyDescent="0.3">
      <c r="A1009" t="s">
        <v>20</v>
      </c>
      <c r="B1009">
        <v>125</v>
      </c>
    </row>
    <row r="1010" spans="1:2" x14ac:dyDescent="0.3">
      <c r="A1010" t="s">
        <v>20</v>
      </c>
      <c r="B1010">
        <v>239</v>
      </c>
    </row>
    <row r="1011" spans="1:2" x14ac:dyDescent="0.3">
      <c r="A1011" t="s">
        <v>17</v>
      </c>
      <c r="B1011">
        <v>77</v>
      </c>
    </row>
    <row r="1012" spans="1:2" x14ac:dyDescent="0.3">
      <c r="A1012" t="s">
        <v>20</v>
      </c>
      <c r="B1012">
        <v>105</v>
      </c>
    </row>
    <row r="1013" spans="1:2" x14ac:dyDescent="0.3">
      <c r="A1013" t="s">
        <v>20</v>
      </c>
      <c r="B1013">
        <v>260</v>
      </c>
    </row>
    <row r="1014" spans="1:2" x14ac:dyDescent="0.3">
      <c r="A1014" t="s">
        <v>30</v>
      </c>
      <c r="B1014">
        <v>151</v>
      </c>
    </row>
    <row r="1015" spans="1:2" x14ac:dyDescent="0.3">
      <c r="A1015" t="s">
        <v>30</v>
      </c>
      <c r="B1015">
        <v>120</v>
      </c>
    </row>
    <row r="1016" spans="1:2" x14ac:dyDescent="0.3">
      <c r="A1016" t="s">
        <v>20</v>
      </c>
      <c r="B1016">
        <v>276</v>
      </c>
    </row>
    <row r="1017" spans="1:2" x14ac:dyDescent="0.3">
      <c r="A1017" t="s">
        <v>20</v>
      </c>
      <c r="B1017">
        <v>120</v>
      </c>
    </row>
    <row r="1018" spans="1:2" x14ac:dyDescent="0.3">
      <c r="A1018" t="s">
        <v>17</v>
      </c>
      <c r="B1018">
        <v>114</v>
      </c>
    </row>
    <row r="1019" spans="1:2" x14ac:dyDescent="0.3">
      <c r="A1019" t="s">
        <v>20</v>
      </c>
      <c r="B1019">
        <v>97</v>
      </c>
    </row>
    <row r="1020" spans="1:2" x14ac:dyDescent="0.3">
      <c r="A1020" t="s">
        <v>30</v>
      </c>
      <c r="B1020">
        <v>80</v>
      </c>
    </row>
    <row r="1021" spans="1:2" x14ac:dyDescent="0.3">
      <c r="A1021" t="s">
        <v>17</v>
      </c>
      <c r="B1021">
        <v>128</v>
      </c>
    </row>
    <row r="1022" spans="1:2" x14ac:dyDescent="0.3">
      <c r="A1022" t="s">
        <v>17</v>
      </c>
      <c r="B1022">
        <v>85</v>
      </c>
    </row>
    <row r="1023" spans="1:2" x14ac:dyDescent="0.3">
      <c r="A1023" t="s">
        <v>17</v>
      </c>
      <c r="B1023">
        <v>184</v>
      </c>
    </row>
    <row r="1024" spans="1:2" x14ac:dyDescent="0.3">
      <c r="A1024" t="s">
        <v>17</v>
      </c>
      <c r="B1024">
        <v>150</v>
      </c>
    </row>
    <row r="1025" spans="1:2" x14ac:dyDescent="0.3">
      <c r="A1025" t="s">
        <v>30</v>
      </c>
      <c r="B1025">
        <v>89</v>
      </c>
    </row>
    <row r="1026" spans="1:2" x14ac:dyDescent="0.3">
      <c r="A1026" t="s">
        <v>17</v>
      </c>
      <c r="B1026">
        <v>100</v>
      </c>
    </row>
    <row r="1027" spans="1:2" x14ac:dyDescent="0.3">
      <c r="A1027" t="s">
        <v>30</v>
      </c>
      <c r="B1027">
        <v>90</v>
      </c>
    </row>
    <row r="1028" spans="1:2" x14ac:dyDescent="0.3">
      <c r="A1028" t="s">
        <v>30</v>
      </c>
      <c r="B1028">
        <v>141</v>
      </c>
    </row>
    <row r="1029" spans="1:2" x14ac:dyDescent="0.3">
      <c r="A1029" t="s">
        <v>20</v>
      </c>
      <c r="B1029">
        <v>103</v>
      </c>
    </row>
    <row r="1030" spans="1:2" x14ac:dyDescent="0.3">
      <c r="A1030" t="s">
        <v>20</v>
      </c>
      <c r="B1030">
        <v>53</v>
      </c>
    </row>
    <row r="1031" spans="1:2" x14ac:dyDescent="0.3">
      <c r="A1031" t="s">
        <v>17</v>
      </c>
      <c r="B1031">
        <v>292</v>
      </c>
    </row>
    <row r="1032" spans="1:2" x14ac:dyDescent="0.3">
      <c r="A1032" t="s">
        <v>20</v>
      </c>
      <c r="B1032">
        <v>92</v>
      </c>
    </row>
    <row r="1033" spans="1:2" x14ac:dyDescent="0.3">
      <c r="A1033" t="s">
        <v>20</v>
      </c>
      <c r="B1033">
        <v>68</v>
      </c>
    </row>
    <row r="1034" spans="1:2" x14ac:dyDescent="0.3">
      <c r="A1034" t="s">
        <v>17</v>
      </c>
      <c r="B1034">
        <v>115</v>
      </c>
    </row>
    <row r="1035" spans="1:2" x14ac:dyDescent="0.3">
      <c r="A1035" t="s">
        <v>20</v>
      </c>
      <c r="B1035">
        <v>53</v>
      </c>
    </row>
    <row r="1036" spans="1:2" x14ac:dyDescent="0.3">
      <c r="A1036" t="s">
        <v>17</v>
      </c>
      <c r="B1036">
        <v>108</v>
      </c>
    </row>
    <row r="1037" spans="1:2" x14ac:dyDescent="0.3">
      <c r="A1037" t="s">
        <v>17</v>
      </c>
      <c r="B1037">
        <v>70</v>
      </c>
    </row>
    <row r="1038" spans="1:2" x14ac:dyDescent="0.3">
      <c r="A1038" t="s">
        <v>30</v>
      </c>
      <c r="B1038">
        <v>250</v>
      </c>
    </row>
    <row r="1039" spans="1:2" x14ac:dyDescent="0.3">
      <c r="A1039" t="s">
        <v>31</v>
      </c>
      <c r="B1039">
        <v>50</v>
      </c>
    </row>
    <row r="1040" spans="1:2" x14ac:dyDescent="0.3">
      <c r="A1040" t="s">
        <v>20</v>
      </c>
      <c r="B1040">
        <v>354</v>
      </c>
    </row>
    <row r="1041" spans="1:2" x14ac:dyDescent="0.3">
      <c r="A1041" t="s">
        <v>20</v>
      </c>
      <c r="B1041">
        <v>104</v>
      </c>
    </row>
    <row r="1042" spans="1:2" x14ac:dyDescent="0.3">
      <c r="A1042" t="s">
        <v>20</v>
      </c>
      <c r="B1042">
        <v>274</v>
      </c>
    </row>
    <row r="1043" spans="1:2" x14ac:dyDescent="0.3">
      <c r="A1043" t="s">
        <v>20</v>
      </c>
      <c r="B1043">
        <v>359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90927-2239-46F1-9AAC-FF47611E5A3C}">
  <dimension ref="A1:B1043"/>
  <sheetViews>
    <sheetView workbookViewId="0">
      <selection sqref="A1:B1043"/>
    </sheetView>
  </sheetViews>
  <sheetFormatPr defaultRowHeight="14.4" x14ac:dyDescent="0.3"/>
  <cols>
    <col min="1" max="1" width="13.88671875" bestFit="1" customWidth="1"/>
    <col min="2" max="2" width="7.5546875" bestFit="1" customWidth="1"/>
  </cols>
  <sheetData>
    <row r="1" spans="1:2" x14ac:dyDescent="0.3">
      <c r="A1" t="s">
        <v>5</v>
      </c>
      <c r="B1" t="s">
        <v>1407</v>
      </c>
    </row>
    <row r="2" spans="1:2" x14ac:dyDescent="0.3">
      <c r="A2" t="s">
        <v>18</v>
      </c>
      <c r="B2">
        <v>59</v>
      </c>
    </row>
    <row r="3" spans="1:2" x14ac:dyDescent="0.3">
      <c r="A3" t="s">
        <v>18</v>
      </c>
      <c r="B3">
        <v>85</v>
      </c>
    </row>
    <row r="4" spans="1:2" x14ac:dyDescent="0.3">
      <c r="A4" t="s">
        <v>18</v>
      </c>
      <c r="B4">
        <v>90</v>
      </c>
    </row>
    <row r="5" spans="1:2" x14ac:dyDescent="0.3">
      <c r="A5" t="s">
        <v>21</v>
      </c>
      <c r="B5">
        <v>116</v>
      </c>
    </row>
    <row r="6" spans="1:2" x14ac:dyDescent="0.3">
      <c r="A6" t="s">
        <v>18</v>
      </c>
      <c r="B6">
        <v>60</v>
      </c>
    </row>
    <row r="7" spans="1:2" x14ac:dyDescent="0.3">
      <c r="A7" t="s">
        <v>21</v>
      </c>
      <c r="B7">
        <v>195</v>
      </c>
    </row>
    <row r="8" spans="1:2" x14ac:dyDescent="0.3">
      <c r="A8" t="s">
        <v>18</v>
      </c>
      <c r="B8">
        <v>336</v>
      </c>
    </row>
    <row r="9" spans="1:2" x14ac:dyDescent="0.3">
      <c r="A9" t="s">
        <v>21</v>
      </c>
      <c r="B9">
        <v>246</v>
      </c>
    </row>
    <row r="10" spans="1:2" x14ac:dyDescent="0.3">
      <c r="A10" t="s">
        <v>21</v>
      </c>
      <c r="B10">
        <v>130</v>
      </c>
    </row>
    <row r="11" spans="1:2" x14ac:dyDescent="0.3">
      <c r="A11" t="s">
        <v>18</v>
      </c>
      <c r="B11">
        <v>78</v>
      </c>
    </row>
    <row r="12" spans="1:2" x14ac:dyDescent="0.3">
      <c r="A12" t="s">
        <v>21</v>
      </c>
      <c r="B12">
        <v>95</v>
      </c>
    </row>
    <row r="13" spans="1:2" x14ac:dyDescent="0.3">
      <c r="A13" t="s">
        <v>18</v>
      </c>
      <c r="B13">
        <v>50</v>
      </c>
    </row>
    <row r="14" spans="1:2" x14ac:dyDescent="0.3">
      <c r="A14" t="s">
        <v>21</v>
      </c>
      <c r="B14">
        <v>150</v>
      </c>
    </row>
    <row r="15" spans="1:2" x14ac:dyDescent="0.3">
      <c r="A15" t="s">
        <v>21</v>
      </c>
      <c r="B15">
        <v>117</v>
      </c>
    </row>
    <row r="16" spans="1:2" x14ac:dyDescent="0.3">
      <c r="A16" t="s">
        <v>21</v>
      </c>
      <c r="B16">
        <v>297</v>
      </c>
    </row>
    <row r="17" spans="1:2" x14ac:dyDescent="0.3">
      <c r="A17" t="s">
        <v>21</v>
      </c>
      <c r="B17">
        <v>109</v>
      </c>
    </row>
    <row r="18" spans="1:2" x14ac:dyDescent="0.3">
      <c r="A18" t="s">
        <v>21</v>
      </c>
      <c r="B18">
        <v>293</v>
      </c>
    </row>
    <row r="19" spans="1:2" x14ac:dyDescent="0.3">
      <c r="A19" t="s">
        <v>18</v>
      </c>
      <c r="B19">
        <v>165</v>
      </c>
    </row>
    <row r="20" spans="1:2" x14ac:dyDescent="0.3">
      <c r="A20" t="s">
        <v>21</v>
      </c>
      <c r="B20">
        <v>128</v>
      </c>
    </row>
    <row r="21" spans="1:2" x14ac:dyDescent="0.3">
      <c r="A21" t="s">
        <v>21</v>
      </c>
      <c r="B21">
        <v>110</v>
      </c>
    </row>
    <row r="22" spans="1:2" x14ac:dyDescent="0.3">
      <c r="A22" t="s">
        <v>21</v>
      </c>
      <c r="B22">
        <v>232</v>
      </c>
    </row>
    <row r="23" spans="1:2" x14ac:dyDescent="0.3">
      <c r="A23" t="s">
        <v>21</v>
      </c>
      <c r="B23">
        <v>143</v>
      </c>
    </row>
    <row r="24" spans="1:2" x14ac:dyDescent="0.3">
      <c r="A24" t="s">
        <v>21</v>
      </c>
      <c r="B24">
        <v>165</v>
      </c>
    </row>
    <row r="25" spans="1:2" x14ac:dyDescent="0.3">
      <c r="A25" t="s">
        <v>21</v>
      </c>
      <c r="B25">
        <v>98</v>
      </c>
    </row>
    <row r="26" spans="1:2" x14ac:dyDescent="0.3">
      <c r="A26" t="s">
        <v>18</v>
      </c>
      <c r="B26">
        <v>159</v>
      </c>
    </row>
    <row r="27" spans="1:2" x14ac:dyDescent="0.3">
      <c r="A27" t="s">
        <v>21</v>
      </c>
      <c r="B27">
        <v>153</v>
      </c>
    </row>
    <row r="28" spans="1:2" x14ac:dyDescent="0.3">
      <c r="A28" t="s">
        <v>18</v>
      </c>
      <c r="B28">
        <v>93</v>
      </c>
    </row>
    <row r="29" spans="1:2" x14ac:dyDescent="0.3">
      <c r="A29" t="s">
        <v>21</v>
      </c>
      <c r="B29">
        <v>223</v>
      </c>
    </row>
    <row r="30" spans="1:2" x14ac:dyDescent="0.3">
      <c r="A30" t="s">
        <v>21</v>
      </c>
      <c r="B30">
        <v>140</v>
      </c>
    </row>
    <row r="31" spans="1:2" x14ac:dyDescent="0.3">
      <c r="A31" t="s">
        <v>21</v>
      </c>
      <c r="B31">
        <v>140</v>
      </c>
    </row>
    <row r="32" spans="1:2" x14ac:dyDescent="0.3">
      <c r="A32" t="s">
        <v>21</v>
      </c>
      <c r="B32">
        <v>160</v>
      </c>
    </row>
    <row r="33" spans="1:2" x14ac:dyDescent="0.3">
      <c r="A33" t="s">
        <v>21</v>
      </c>
      <c r="B33">
        <v>86</v>
      </c>
    </row>
    <row r="34" spans="1:2" x14ac:dyDescent="0.3">
      <c r="A34" t="s">
        <v>21</v>
      </c>
      <c r="B34">
        <v>153</v>
      </c>
    </row>
    <row r="35" spans="1:2" x14ac:dyDescent="0.3">
      <c r="A35" t="s">
        <v>21</v>
      </c>
      <c r="B35">
        <v>168</v>
      </c>
    </row>
    <row r="36" spans="1:2" x14ac:dyDescent="0.3">
      <c r="A36" t="s">
        <v>21</v>
      </c>
      <c r="B36">
        <v>125</v>
      </c>
    </row>
    <row r="37" spans="1:2" x14ac:dyDescent="0.3">
      <c r="A37" t="s">
        <v>21</v>
      </c>
      <c r="B37">
        <v>100</v>
      </c>
    </row>
    <row r="38" spans="1:2" x14ac:dyDescent="0.3">
      <c r="A38" t="s">
        <v>21</v>
      </c>
      <c r="B38">
        <v>117</v>
      </c>
    </row>
    <row r="39" spans="1:2" x14ac:dyDescent="0.3">
      <c r="A39" t="s">
        <v>18</v>
      </c>
      <c r="B39">
        <v>110</v>
      </c>
    </row>
    <row r="40" spans="1:2" x14ac:dyDescent="0.3">
      <c r="A40" t="s">
        <v>21</v>
      </c>
      <c r="B40">
        <v>220</v>
      </c>
    </row>
    <row r="41" spans="1:2" x14ac:dyDescent="0.3">
      <c r="A41" t="s">
        <v>18</v>
      </c>
      <c r="B41">
        <v>83</v>
      </c>
    </row>
    <row r="42" spans="1:2" x14ac:dyDescent="0.3">
      <c r="A42" t="s">
        <v>21</v>
      </c>
      <c r="B42">
        <v>149</v>
      </c>
    </row>
    <row r="43" spans="1:2" x14ac:dyDescent="0.3">
      <c r="A43" t="s">
        <v>21</v>
      </c>
      <c r="B43">
        <v>241</v>
      </c>
    </row>
    <row r="44" spans="1:2" x14ac:dyDescent="0.3">
      <c r="A44" t="s">
        <v>21</v>
      </c>
      <c r="B44">
        <v>200</v>
      </c>
    </row>
    <row r="45" spans="1:2" x14ac:dyDescent="0.3">
      <c r="A45" t="s">
        <v>18</v>
      </c>
      <c r="B45">
        <v>75</v>
      </c>
    </row>
    <row r="46" spans="1:2" x14ac:dyDescent="0.3">
      <c r="A46" t="s">
        <v>21</v>
      </c>
      <c r="B46">
        <v>121</v>
      </c>
    </row>
    <row r="47" spans="1:2" x14ac:dyDescent="0.3">
      <c r="A47" t="s">
        <v>18</v>
      </c>
      <c r="B47">
        <v>154</v>
      </c>
    </row>
    <row r="48" spans="1:2" x14ac:dyDescent="0.3">
      <c r="A48" t="s">
        <v>21</v>
      </c>
      <c r="B48">
        <v>119</v>
      </c>
    </row>
    <row r="49" spans="1:2" x14ac:dyDescent="0.3">
      <c r="A49" t="s">
        <v>21</v>
      </c>
      <c r="B49">
        <v>150</v>
      </c>
    </row>
    <row r="50" spans="1:2" x14ac:dyDescent="0.3">
      <c r="A50" t="s">
        <v>21</v>
      </c>
      <c r="B50">
        <v>100</v>
      </c>
    </row>
    <row r="51" spans="1:2" x14ac:dyDescent="0.3">
      <c r="A51" t="s">
        <v>21</v>
      </c>
      <c r="B51">
        <v>166</v>
      </c>
    </row>
    <row r="52" spans="1:2" x14ac:dyDescent="0.3">
      <c r="A52" t="s">
        <v>18</v>
      </c>
      <c r="B52">
        <v>96</v>
      </c>
    </row>
    <row r="53" spans="1:2" x14ac:dyDescent="0.3">
      <c r="A53" t="s">
        <v>18</v>
      </c>
      <c r="B53">
        <v>90</v>
      </c>
    </row>
    <row r="54" spans="1:2" x14ac:dyDescent="0.3">
      <c r="A54" t="s">
        <v>18</v>
      </c>
      <c r="B54">
        <v>68</v>
      </c>
    </row>
    <row r="55" spans="1:2" x14ac:dyDescent="0.3">
      <c r="A55" t="s">
        <v>18</v>
      </c>
      <c r="B55">
        <v>52</v>
      </c>
    </row>
    <row r="56" spans="1:2" x14ac:dyDescent="0.3">
      <c r="A56" t="s">
        <v>21</v>
      </c>
      <c r="B56">
        <v>119</v>
      </c>
    </row>
    <row r="57" spans="1:2" x14ac:dyDescent="0.3">
      <c r="A57" t="s">
        <v>21</v>
      </c>
      <c r="B57">
        <v>140</v>
      </c>
    </row>
    <row r="58" spans="1:2" x14ac:dyDescent="0.3">
      <c r="A58" t="s">
        <v>21</v>
      </c>
      <c r="B58">
        <v>95</v>
      </c>
    </row>
    <row r="59" spans="1:2" x14ac:dyDescent="0.3">
      <c r="A59" t="s">
        <v>18</v>
      </c>
      <c r="B59">
        <v>126</v>
      </c>
    </row>
    <row r="60" spans="1:2" x14ac:dyDescent="0.3">
      <c r="A60" t="s">
        <v>21</v>
      </c>
      <c r="B60">
        <v>160</v>
      </c>
    </row>
    <row r="61" spans="1:2" x14ac:dyDescent="0.3">
      <c r="A61" t="s">
        <v>21</v>
      </c>
      <c r="B61">
        <v>114</v>
      </c>
    </row>
    <row r="62" spans="1:2" x14ac:dyDescent="0.3">
      <c r="A62" t="s">
        <v>21</v>
      </c>
      <c r="B62">
        <v>117</v>
      </c>
    </row>
    <row r="63" spans="1:2" x14ac:dyDescent="0.3">
      <c r="A63" t="s">
        <v>21</v>
      </c>
      <c r="B63">
        <v>219</v>
      </c>
    </row>
    <row r="64" spans="1:2" x14ac:dyDescent="0.3">
      <c r="A64" t="s">
        <v>18</v>
      </c>
      <c r="B64">
        <v>118</v>
      </c>
    </row>
    <row r="65" spans="1:2" x14ac:dyDescent="0.3">
      <c r="A65" t="s">
        <v>18</v>
      </c>
      <c r="B65">
        <v>89</v>
      </c>
    </row>
    <row r="66" spans="1:2" x14ac:dyDescent="0.3">
      <c r="A66" t="s">
        <v>18</v>
      </c>
      <c r="B66">
        <v>69</v>
      </c>
    </row>
    <row r="67" spans="1:2" x14ac:dyDescent="0.3">
      <c r="A67" t="s">
        <v>21</v>
      </c>
      <c r="B67">
        <v>163</v>
      </c>
    </row>
    <row r="68" spans="1:2" x14ac:dyDescent="0.3">
      <c r="A68" t="s">
        <v>18</v>
      </c>
      <c r="B68">
        <v>68</v>
      </c>
    </row>
    <row r="69" spans="1:2" x14ac:dyDescent="0.3">
      <c r="A69" t="s">
        <v>21</v>
      </c>
      <c r="B69">
        <v>252</v>
      </c>
    </row>
    <row r="70" spans="1:2" x14ac:dyDescent="0.3">
      <c r="A70" t="s">
        <v>18</v>
      </c>
      <c r="B70">
        <v>100</v>
      </c>
    </row>
    <row r="71" spans="1:2" x14ac:dyDescent="0.3">
      <c r="A71" t="s">
        <v>21</v>
      </c>
      <c r="B71">
        <v>76</v>
      </c>
    </row>
    <row r="72" spans="1:2" x14ac:dyDescent="0.3">
      <c r="A72" t="s">
        <v>18</v>
      </c>
      <c r="B72">
        <v>173</v>
      </c>
    </row>
    <row r="73" spans="1:2" x14ac:dyDescent="0.3">
      <c r="A73" t="s">
        <v>21</v>
      </c>
      <c r="B73">
        <v>191</v>
      </c>
    </row>
    <row r="74" spans="1:2" x14ac:dyDescent="0.3">
      <c r="A74" t="s">
        <v>21</v>
      </c>
      <c r="B74">
        <v>158</v>
      </c>
    </row>
    <row r="75" spans="1:2" x14ac:dyDescent="0.3">
      <c r="A75" t="s">
        <v>21</v>
      </c>
      <c r="B75">
        <v>197</v>
      </c>
    </row>
    <row r="76" spans="1:2" x14ac:dyDescent="0.3">
      <c r="A76" t="s">
        <v>21</v>
      </c>
      <c r="B76">
        <v>110</v>
      </c>
    </row>
    <row r="77" spans="1:2" x14ac:dyDescent="0.3">
      <c r="A77" t="s">
        <v>18</v>
      </c>
      <c r="B77">
        <v>62</v>
      </c>
    </row>
    <row r="78" spans="1:2" x14ac:dyDescent="0.3">
      <c r="A78" t="s">
        <v>18</v>
      </c>
      <c r="B78">
        <v>50</v>
      </c>
    </row>
    <row r="79" spans="1:2" x14ac:dyDescent="0.3">
      <c r="A79" t="s">
        <v>21</v>
      </c>
      <c r="B79">
        <v>106</v>
      </c>
    </row>
    <row r="80" spans="1:2" x14ac:dyDescent="0.3">
      <c r="A80" t="s">
        <v>18</v>
      </c>
      <c r="B80">
        <v>101</v>
      </c>
    </row>
    <row r="81" spans="1:2" x14ac:dyDescent="0.3">
      <c r="A81" t="s">
        <v>21</v>
      </c>
      <c r="B81">
        <v>112</v>
      </c>
    </row>
    <row r="82" spans="1:2" x14ac:dyDescent="0.3">
      <c r="A82" t="s">
        <v>21</v>
      </c>
      <c r="B82">
        <v>325</v>
      </c>
    </row>
    <row r="83" spans="1:2" x14ac:dyDescent="0.3">
      <c r="A83" t="s">
        <v>21</v>
      </c>
      <c r="B83">
        <v>125</v>
      </c>
    </row>
    <row r="84" spans="1:2" x14ac:dyDescent="0.3">
      <c r="A84" t="s">
        <v>21</v>
      </c>
      <c r="B84">
        <v>140</v>
      </c>
    </row>
    <row r="85" spans="1:2" x14ac:dyDescent="0.3">
      <c r="A85" t="s">
        <v>18</v>
      </c>
      <c r="B85">
        <v>59</v>
      </c>
    </row>
    <row r="86" spans="1:2" x14ac:dyDescent="0.3">
      <c r="A86" t="s">
        <v>21</v>
      </c>
      <c r="B86">
        <v>135</v>
      </c>
    </row>
    <row r="87" spans="1:2" x14ac:dyDescent="0.3">
      <c r="A87" t="s">
        <v>18</v>
      </c>
      <c r="B87">
        <v>170</v>
      </c>
    </row>
    <row r="88" spans="1:2" x14ac:dyDescent="0.3">
      <c r="A88" t="s">
        <v>18</v>
      </c>
      <c r="B88">
        <v>127</v>
      </c>
    </row>
    <row r="89" spans="1:2" x14ac:dyDescent="0.3">
      <c r="A89" t="s">
        <v>18</v>
      </c>
      <c r="B89">
        <v>90</v>
      </c>
    </row>
    <row r="90" spans="1:2" x14ac:dyDescent="0.3">
      <c r="A90" t="s">
        <v>18</v>
      </c>
      <c r="B90">
        <v>64</v>
      </c>
    </row>
    <row r="91" spans="1:2" x14ac:dyDescent="0.3">
      <c r="A91" t="s">
        <v>21</v>
      </c>
      <c r="B91">
        <v>81</v>
      </c>
    </row>
    <row r="92" spans="1:2" x14ac:dyDescent="0.3">
      <c r="A92" t="s">
        <v>18</v>
      </c>
      <c r="B92">
        <v>58</v>
      </c>
    </row>
    <row r="93" spans="1:2" x14ac:dyDescent="0.3">
      <c r="A93" t="s">
        <v>21</v>
      </c>
      <c r="B93">
        <v>145</v>
      </c>
    </row>
    <row r="94" spans="1:2" x14ac:dyDescent="0.3">
      <c r="A94" t="s">
        <v>21</v>
      </c>
      <c r="B94">
        <v>65</v>
      </c>
    </row>
    <row r="95" spans="1:2" x14ac:dyDescent="0.3">
      <c r="A95" t="s">
        <v>21</v>
      </c>
      <c r="B95">
        <v>115</v>
      </c>
    </row>
    <row r="96" spans="1:2" x14ac:dyDescent="0.3">
      <c r="A96" t="s">
        <v>18</v>
      </c>
      <c r="B96">
        <v>102</v>
      </c>
    </row>
    <row r="97" spans="1:2" x14ac:dyDescent="0.3">
      <c r="A97" t="s">
        <v>21</v>
      </c>
      <c r="B97">
        <v>109</v>
      </c>
    </row>
    <row r="98" spans="1:2" x14ac:dyDescent="0.3">
      <c r="A98" t="s">
        <v>21</v>
      </c>
      <c r="B98">
        <v>102</v>
      </c>
    </row>
    <row r="99" spans="1:2" x14ac:dyDescent="0.3">
      <c r="A99" t="s">
        <v>21</v>
      </c>
      <c r="B99">
        <v>175</v>
      </c>
    </row>
    <row r="100" spans="1:2" x14ac:dyDescent="0.3">
      <c r="A100" t="s">
        <v>21</v>
      </c>
      <c r="B100">
        <v>129</v>
      </c>
    </row>
    <row r="101" spans="1:2" x14ac:dyDescent="0.3">
      <c r="A101" t="s">
        <v>21</v>
      </c>
      <c r="B101">
        <v>130</v>
      </c>
    </row>
    <row r="102" spans="1:2" x14ac:dyDescent="0.3">
      <c r="A102" t="s">
        <v>18</v>
      </c>
      <c r="B102">
        <v>119</v>
      </c>
    </row>
    <row r="103" spans="1:2" x14ac:dyDescent="0.3">
      <c r="A103" t="s">
        <v>21</v>
      </c>
      <c r="B103">
        <v>120</v>
      </c>
    </row>
    <row r="104" spans="1:2" x14ac:dyDescent="0.3">
      <c r="A104" t="s">
        <v>18</v>
      </c>
      <c r="B104">
        <v>121</v>
      </c>
    </row>
    <row r="105" spans="1:2" x14ac:dyDescent="0.3">
      <c r="A105" t="s">
        <v>18</v>
      </c>
      <c r="B105">
        <v>148</v>
      </c>
    </row>
    <row r="106" spans="1:2" x14ac:dyDescent="0.3">
      <c r="A106" t="s">
        <v>21</v>
      </c>
      <c r="B106">
        <v>179</v>
      </c>
    </row>
    <row r="107" spans="1:2" x14ac:dyDescent="0.3">
      <c r="A107" t="s">
        <v>21</v>
      </c>
      <c r="B107">
        <v>137</v>
      </c>
    </row>
    <row r="108" spans="1:2" x14ac:dyDescent="0.3">
      <c r="A108" t="s">
        <v>18</v>
      </c>
      <c r="B108">
        <v>209</v>
      </c>
    </row>
    <row r="109" spans="1:2" x14ac:dyDescent="0.3">
      <c r="A109" t="s">
        <v>21</v>
      </c>
      <c r="B109">
        <v>120</v>
      </c>
    </row>
    <row r="110" spans="1:2" x14ac:dyDescent="0.3">
      <c r="A110" t="s">
        <v>21</v>
      </c>
      <c r="B110">
        <v>152</v>
      </c>
    </row>
    <row r="111" spans="1:2" x14ac:dyDescent="0.3">
      <c r="A111" t="s">
        <v>18</v>
      </c>
      <c r="B111">
        <v>60</v>
      </c>
    </row>
    <row r="112" spans="1:2" x14ac:dyDescent="0.3">
      <c r="A112" t="s">
        <v>21</v>
      </c>
      <c r="B112">
        <v>215</v>
      </c>
    </row>
    <row r="113" spans="1:2" x14ac:dyDescent="0.3">
      <c r="A113" t="s">
        <v>21</v>
      </c>
      <c r="B113">
        <v>158</v>
      </c>
    </row>
    <row r="114" spans="1:2" x14ac:dyDescent="0.3">
      <c r="A114" t="s">
        <v>21</v>
      </c>
      <c r="B114">
        <v>175</v>
      </c>
    </row>
    <row r="115" spans="1:2" x14ac:dyDescent="0.3">
      <c r="A115" t="s">
        <v>21</v>
      </c>
      <c r="B115">
        <v>175</v>
      </c>
    </row>
    <row r="116" spans="1:2" x14ac:dyDescent="0.3">
      <c r="A116" t="s">
        <v>21</v>
      </c>
      <c r="B116">
        <v>140</v>
      </c>
    </row>
    <row r="117" spans="1:2" x14ac:dyDescent="0.3">
      <c r="A117" t="s">
        <v>21</v>
      </c>
      <c r="B117">
        <v>99</v>
      </c>
    </row>
    <row r="118" spans="1:2" x14ac:dyDescent="0.3">
      <c r="A118" t="s">
        <v>21</v>
      </c>
      <c r="B118">
        <v>224</v>
      </c>
    </row>
    <row r="119" spans="1:2" x14ac:dyDescent="0.3">
      <c r="A119" t="s">
        <v>21</v>
      </c>
      <c r="B119">
        <v>122</v>
      </c>
    </row>
    <row r="120" spans="1:2" x14ac:dyDescent="0.3">
      <c r="A120" t="s">
        <v>21</v>
      </c>
      <c r="B120">
        <v>160</v>
      </c>
    </row>
    <row r="121" spans="1:2" x14ac:dyDescent="0.3">
      <c r="A121" t="s">
        <v>21</v>
      </c>
      <c r="B121">
        <v>136</v>
      </c>
    </row>
    <row r="122" spans="1:2" x14ac:dyDescent="0.3">
      <c r="A122" t="s">
        <v>18</v>
      </c>
      <c r="B122">
        <v>74</v>
      </c>
    </row>
    <row r="123" spans="1:2" x14ac:dyDescent="0.3">
      <c r="A123" t="s">
        <v>21</v>
      </c>
      <c r="B123">
        <v>175</v>
      </c>
    </row>
    <row r="124" spans="1:2" x14ac:dyDescent="0.3">
      <c r="A124" t="s">
        <v>18</v>
      </c>
      <c r="B124">
        <v>68</v>
      </c>
    </row>
    <row r="125" spans="1:2" x14ac:dyDescent="0.3">
      <c r="A125" t="s">
        <v>21</v>
      </c>
      <c r="B125">
        <v>136</v>
      </c>
    </row>
    <row r="126" spans="1:2" x14ac:dyDescent="0.3">
      <c r="A126" t="s">
        <v>21</v>
      </c>
      <c r="B126">
        <v>132</v>
      </c>
    </row>
    <row r="127" spans="1:2" x14ac:dyDescent="0.3">
      <c r="A127" t="s">
        <v>21</v>
      </c>
      <c r="B127">
        <v>188</v>
      </c>
    </row>
    <row r="128" spans="1:2" x14ac:dyDescent="0.3">
      <c r="A128" t="s">
        <v>21</v>
      </c>
      <c r="B128">
        <v>110</v>
      </c>
    </row>
    <row r="129" spans="1:2" x14ac:dyDescent="0.3">
      <c r="A129" t="s">
        <v>21</v>
      </c>
      <c r="B129">
        <v>194</v>
      </c>
    </row>
    <row r="130" spans="1:2" x14ac:dyDescent="0.3">
      <c r="A130" t="s">
        <v>18</v>
      </c>
      <c r="B130">
        <v>56</v>
      </c>
    </row>
    <row r="131" spans="1:2" x14ac:dyDescent="0.3">
      <c r="A131" t="s">
        <v>18</v>
      </c>
      <c r="B131">
        <v>59</v>
      </c>
    </row>
    <row r="132" spans="1:2" x14ac:dyDescent="0.3">
      <c r="A132" t="s">
        <v>18</v>
      </c>
      <c r="B132">
        <v>55</v>
      </c>
    </row>
    <row r="133" spans="1:2" x14ac:dyDescent="0.3">
      <c r="A133" t="s">
        <v>21</v>
      </c>
      <c r="B133">
        <v>170</v>
      </c>
    </row>
    <row r="134" spans="1:2" x14ac:dyDescent="0.3">
      <c r="A134" t="s">
        <v>21</v>
      </c>
      <c r="B134">
        <v>72</v>
      </c>
    </row>
    <row r="135" spans="1:2" x14ac:dyDescent="0.3">
      <c r="A135" t="s">
        <v>21</v>
      </c>
      <c r="B135">
        <v>122</v>
      </c>
    </row>
    <row r="136" spans="1:2" x14ac:dyDescent="0.3">
      <c r="A136" t="s">
        <v>21</v>
      </c>
      <c r="B136">
        <v>120</v>
      </c>
    </row>
    <row r="137" spans="1:2" x14ac:dyDescent="0.3">
      <c r="A137" t="s">
        <v>21</v>
      </c>
      <c r="B137">
        <v>108</v>
      </c>
    </row>
    <row r="138" spans="1:2" x14ac:dyDescent="0.3">
      <c r="A138" t="s">
        <v>21</v>
      </c>
      <c r="B138">
        <v>240</v>
      </c>
    </row>
    <row r="139" spans="1:2" x14ac:dyDescent="0.3">
      <c r="A139" t="s">
        <v>18</v>
      </c>
      <c r="B139">
        <v>50</v>
      </c>
    </row>
    <row r="140" spans="1:2" x14ac:dyDescent="0.3">
      <c r="A140" t="s">
        <v>18</v>
      </c>
      <c r="B140">
        <v>90</v>
      </c>
    </row>
    <row r="141" spans="1:2" x14ac:dyDescent="0.3">
      <c r="A141" t="s">
        <v>18</v>
      </c>
      <c r="B141">
        <v>155</v>
      </c>
    </row>
    <row r="142" spans="1:2" x14ac:dyDescent="0.3">
      <c r="A142" t="s">
        <v>21</v>
      </c>
      <c r="B142">
        <v>95</v>
      </c>
    </row>
    <row r="143" spans="1:2" x14ac:dyDescent="0.3">
      <c r="A143" t="s">
        <v>21</v>
      </c>
      <c r="B143">
        <v>110</v>
      </c>
    </row>
    <row r="144" spans="1:2" x14ac:dyDescent="0.3">
      <c r="A144" t="s">
        <v>21</v>
      </c>
      <c r="B144">
        <v>220</v>
      </c>
    </row>
    <row r="145" spans="1:2" x14ac:dyDescent="0.3">
      <c r="A145" t="s">
        <v>21</v>
      </c>
      <c r="B145">
        <v>139</v>
      </c>
    </row>
    <row r="146" spans="1:2" x14ac:dyDescent="0.3">
      <c r="A146" t="s">
        <v>21</v>
      </c>
      <c r="B146">
        <v>113</v>
      </c>
    </row>
    <row r="147" spans="1:2" x14ac:dyDescent="0.3">
      <c r="A147" t="s">
        <v>21</v>
      </c>
      <c r="B147">
        <v>120</v>
      </c>
    </row>
    <row r="148" spans="1:2" x14ac:dyDescent="0.3">
      <c r="A148" t="s">
        <v>21</v>
      </c>
      <c r="B148">
        <v>135</v>
      </c>
    </row>
    <row r="149" spans="1:2" x14ac:dyDescent="0.3">
      <c r="A149" t="s">
        <v>18</v>
      </c>
      <c r="B149">
        <v>50</v>
      </c>
    </row>
    <row r="150" spans="1:2" x14ac:dyDescent="0.3">
      <c r="A150" t="s">
        <v>21</v>
      </c>
      <c r="B150">
        <v>115</v>
      </c>
    </row>
    <row r="151" spans="1:2" x14ac:dyDescent="0.3">
      <c r="A151" t="s">
        <v>21</v>
      </c>
      <c r="B151">
        <v>180</v>
      </c>
    </row>
    <row r="152" spans="1:2" x14ac:dyDescent="0.3">
      <c r="A152" t="s">
        <v>18</v>
      </c>
      <c r="B152">
        <v>69</v>
      </c>
    </row>
    <row r="153" spans="1:2" x14ac:dyDescent="0.3">
      <c r="A153" t="s">
        <v>18</v>
      </c>
      <c r="B153">
        <v>180</v>
      </c>
    </row>
    <row r="154" spans="1:2" x14ac:dyDescent="0.3">
      <c r="A154" t="s">
        <v>18</v>
      </c>
      <c r="B154">
        <v>87</v>
      </c>
    </row>
    <row r="155" spans="1:2" x14ac:dyDescent="0.3">
      <c r="A155" t="s">
        <v>21</v>
      </c>
      <c r="B155">
        <v>120</v>
      </c>
    </row>
    <row r="156" spans="1:2" x14ac:dyDescent="0.3">
      <c r="A156" t="s">
        <v>18</v>
      </c>
      <c r="B156">
        <v>72</v>
      </c>
    </row>
    <row r="157" spans="1:2" x14ac:dyDescent="0.3">
      <c r="A157" t="s">
        <v>21</v>
      </c>
      <c r="B157">
        <v>177</v>
      </c>
    </row>
    <row r="158" spans="1:2" x14ac:dyDescent="0.3">
      <c r="A158" t="s">
        <v>18</v>
      </c>
      <c r="B158">
        <v>65</v>
      </c>
    </row>
    <row r="159" spans="1:2" x14ac:dyDescent="0.3">
      <c r="A159" t="s">
        <v>21</v>
      </c>
      <c r="B159">
        <v>131</v>
      </c>
    </row>
    <row r="160" spans="1:2" x14ac:dyDescent="0.3">
      <c r="A160" t="s">
        <v>18</v>
      </c>
      <c r="B160">
        <v>52</v>
      </c>
    </row>
    <row r="161" spans="1:2" x14ac:dyDescent="0.3">
      <c r="A161" t="s">
        <v>21</v>
      </c>
      <c r="B161">
        <v>178</v>
      </c>
    </row>
    <row r="162" spans="1:2" x14ac:dyDescent="0.3">
      <c r="A162" t="s">
        <v>18</v>
      </c>
      <c r="B162">
        <v>85</v>
      </c>
    </row>
    <row r="163" spans="1:2" x14ac:dyDescent="0.3">
      <c r="A163" t="s">
        <v>21</v>
      </c>
      <c r="B163">
        <v>200</v>
      </c>
    </row>
    <row r="164" spans="1:2" x14ac:dyDescent="0.3">
      <c r="A164" t="s">
        <v>18</v>
      </c>
      <c r="B164">
        <v>58</v>
      </c>
    </row>
    <row r="165" spans="1:2" x14ac:dyDescent="0.3">
      <c r="A165" t="s">
        <v>18</v>
      </c>
      <c r="B165">
        <v>143</v>
      </c>
    </row>
    <row r="166" spans="1:2" x14ac:dyDescent="0.3">
      <c r="A166" t="s">
        <v>21</v>
      </c>
      <c r="B166">
        <v>105</v>
      </c>
    </row>
    <row r="167" spans="1:2" x14ac:dyDescent="0.3">
      <c r="A167" t="s">
        <v>21</v>
      </c>
      <c r="B167">
        <v>190</v>
      </c>
    </row>
    <row r="168" spans="1:2" x14ac:dyDescent="0.3">
      <c r="A168" t="s">
        <v>18</v>
      </c>
      <c r="B168">
        <v>154</v>
      </c>
    </row>
    <row r="169" spans="1:2" x14ac:dyDescent="0.3">
      <c r="A169" t="s">
        <v>18</v>
      </c>
      <c r="B169">
        <v>80</v>
      </c>
    </row>
    <row r="170" spans="1:2" x14ac:dyDescent="0.3">
      <c r="A170" t="s">
        <v>21</v>
      </c>
      <c r="B170">
        <v>140</v>
      </c>
    </row>
    <row r="171" spans="1:2" x14ac:dyDescent="0.3">
      <c r="A171" t="s">
        <v>18</v>
      </c>
      <c r="B171">
        <v>51</v>
      </c>
    </row>
    <row r="172" spans="1:2" x14ac:dyDescent="0.3">
      <c r="A172" t="s">
        <v>18</v>
      </c>
      <c r="B172">
        <v>84</v>
      </c>
    </row>
    <row r="173" spans="1:2" x14ac:dyDescent="0.3">
      <c r="A173" t="s">
        <v>21</v>
      </c>
      <c r="B173">
        <v>75</v>
      </c>
    </row>
    <row r="174" spans="1:2" x14ac:dyDescent="0.3">
      <c r="A174" t="s">
        <v>21</v>
      </c>
      <c r="B174">
        <v>129</v>
      </c>
    </row>
    <row r="175" spans="1:2" x14ac:dyDescent="0.3">
      <c r="A175" t="s">
        <v>21</v>
      </c>
      <c r="B175">
        <v>127</v>
      </c>
    </row>
    <row r="176" spans="1:2" x14ac:dyDescent="0.3">
      <c r="A176" t="s">
        <v>21</v>
      </c>
      <c r="B176">
        <v>104</v>
      </c>
    </row>
    <row r="177" spans="1:2" x14ac:dyDescent="0.3">
      <c r="A177" t="s">
        <v>21</v>
      </c>
      <c r="B177">
        <v>56</v>
      </c>
    </row>
    <row r="178" spans="1:2" x14ac:dyDescent="0.3">
      <c r="A178" t="s">
        <v>18</v>
      </c>
      <c r="B178">
        <v>74</v>
      </c>
    </row>
    <row r="179" spans="1:2" x14ac:dyDescent="0.3">
      <c r="A179" t="s">
        <v>21</v>
      </c>
      <c r="B179">
        <v>192</v>
      </c>
    </row>
    <row r="180" spans="1:2" x14ac:dyDescent="0.3">
      <c r="A180" t="s">
        <v>21</v>
      </c>
      <c r="B180">
        <v>103</v>
      </c>
    </row>
    <row r="181" spans="1:2" x14ac:dyDescent="0.3">
      <c r="A181" t="s">
        <v>18</v>
      </c>
      <c r="B181">
        <v>55</v>
      </c>
    </row>
    <row r="182" spans="1:2" x14ac:dyDescent="0.3">
      <c r="A182" t="s">
        <v>21</v>
      </c>
      <c r="B182">
        <v>130</v>
      </c>
    </row>
    <row r="183" spans="1:2" x14ac:dyDescent="0.3">
      <c r="A183" t="s">
        <v>21</v>
      </c>
      <c r="B183">
        <v>110</v>
      </c>
    </row>
    <row r="184" spans="1:2" x14ac:dyDescent="0.3">
      <c r="A184" t="s">
        <v>21</v>
      </c>
      <c r="B184">
        <v>100</v>
      </c>
    </row>
    <row r="185" spans="1:2" x14ac:dyDescent="0.3">
      <c r="A185" t="s">
        <v>21</v>
      </c>
      <c r="B185">
        <v>145</v>
      </c>
    </row>
    <row r="186" spans="1:2" x14ac:dyDescent="0.3">
      <c r="A186" t="s">
        <v>21</v>
      </c>
      <c r="B186">
        <v>250</v>
      </c>
    </row>
    <row r="187" spans="1:2" x14ac:dyDescent="0.3">
      <c r="A187" t="s">
        <v>21</v>
      </c>
      <c r="B187">
        <v>173</v>
      </c>
    </row>
    <row r="188" spans="1:2" x14ac:dyDescent="0.3">
      <c r="A188" t="s">
        <v>21</v>
      </c>
      <c r="B188">
        <v>80</v>
      </c>
    </row>
    <row r="189" spans="1:2" x14ac:dyDescent="0.3">
      <c r="A189" t="s">
        <v>21</v>
      </c>
      <c r="B189">
        <v>150</v>
      </c>
    </row>
    <row r="190" spans="1:2" x14ac:dyDescent="0.3">
      <c r="A190" t="s">
        <v>18</v>
      </c>
      <c r="B190">
        <v>76</v>
      </c>
    </row>
    <row r="191" spans="1:2" x14ac:dyDescent="0.3">
      <c r="A191" t="s">
        <v>18</v>
      </c>
      <c r="B191">
        <v>112</v>
      </c>
    </row>
    <row r="192" spans="1:2" x14ac:dyDescent="0.3">
      <c r="A192" t="s">
        <v>21</v>
      </c>
      <c r="B192">
        <v>119</v>
      </c>
    </row>
    <row r="193" spans="1:2" x14ac:dyDescent="0.3">
      <c r="A193" t="s">
        <v>21</v>
      </c>
      <c r="B193">
        <v>75</v>
      </c>
    </row>
    <row r="194" spans="1:2" x14ac:dyDescent="0.3">
      <c r="A194" t="s">
        <v>21</v>
      </c>
      <c r="B194">
        <v>280</v>
      </c>
    </row>
    <row r="195" spans="1:2" x14ac:dyDescent="0.3">
      <c r="A195" t="s">
        <v>21</v>
      </c>
      <c r="B195">
        <v>142</v>
      </c>
    </row>
    <row r="196" spans="1:2" x14ac:dyDescent="0.3">
      <c r="A196" t="s">
        <v>21</v>
      </c>
      <c r="B196">
        <v>147</v>
      </c>
    </row>
    <row r="197" spans="1:2" x14ac:dyDescent="0.3">
      <c r="A197" t="s">
        <v>21</v>
      </c>
      <c r="B197">
        <v>98</v>
      </c>
    </row>
    <row r="198" spans="1:2" x14ac:dyDescent="0.3">
      <c r="A198" t="s">
        <v>21</v>
      </c>
      <c r="B198">
        <v>252</v>
      </c>
    </row>
    <row r="199" spans="1:2" x14ac:dyDescent="0.3">
      <c r="A199" t="s">
        <v>21</v>
      </c>
      <c r="B199">
        <v>77</v>
      </c>
    </row>
    <row r="200" spans="1:2" x14ac:dyDescent="0.3">
      <c r="A200" t="s">
        <v>18</v>
      </c>
      <c r="B200">
        <v>50</v>
      </c>
    </row>
    <row r="201" spans="1:2" x14ac:dyDescent="0.3">
      <c r="A201" t="s">
        <v>21</v>
      </c>
      <c r="B201">
        <v>139</v>
      </c>
    </row>
    <row r="202" spans="1:2" x14ac:dyDescent="0.3">
      <c r="A202" t="s">
        <v>21</v>
      </c>
      <c r="B202">
        <v>120</v>
      </c>
    </row>
    <row r="203" spans="1:2" x14ac:dyDescent="0.3">
      <c r="A203" t="s">
        <v>21</v>
      </c>
      <c r="B203">
        <v>139</v>
      </c>
    </row>
    <row r="204" spans="1:2" x14ac:dyDescent="0.3">
      <c r="A204" t="s">
        <v>18</v>
      </c>
      <c r="B204">
        <v>186</v>
      </c>
    </row>
    <row r="205" spans="1:2" x14ac:dyDescent="0.3">
      <c r="A205" t="s">
        <v>18</v>
      </c>
      <c r="B205">
        <v>191</v>
      </c>
    </row>
    <row r="206" spans="1:2" x14ac:dyDescent="0.3">
      <c r="A206" t="s">
        <v>18</v>
      </c>
      <c r="B206">
        <v>50</v>
      </c>
    </row>
    <row r="207" spans="1:2" x14ac:dyDescent="0.3">
      <c r="A207" t="s">
        <v>21</v>
      </c>
      <c r="B207">
        <v>146</v>
      </c>
    </row>
    <row r="208" spans="1:2" x14ac:dyDescent="0.3">
      <c r="A208" t="s">
        <v>21</v>
      </c>
      <c r="B208">
        <v>125</v>
      </c>
    </row>
    <row r="209" spans="1:2" x14ac:dyDescent="0.3">
      <c r="A209" t="s">
        <v>18</v>
      </c>
      <c r="B209">
        <v>74</v>
      </c>
    </row>
    <row r="210" spans="1:2" x14ac:dyDescent="0.3">
      <c r="A210" t="s">
        <v>18</v>
      </c>
      <c r="B210">
        <v>50</v>
      </c>
    </row>
    <row r="211" spans="1:2" x14ac:dyDescent="0.3">
      <c r="A211" t="s">
        <v>18</v>
      </c>
      <c r="B211">
        <v>128</v>
      </c>
    </row>
    <row r="212" spans="1:2" x14ac:dyDescent="0.3">
      <c r="A212" t="s">
        <v>21</v>
      </c>
      <c r="B212">
        <v>305</v>
      </c>
    </row>
    <row r="213" spans="1:2" x14ac:dyDescent="0.3">
      <c r="A213" t="s">
        <v>18</v>
      </c>
      <c r="B213">
        <v>62</v>
      </c>
    </row>
    <row r="214" spans="1:2" x14ac:dyDescent="0.3">
      <c r="A214" t="s">
        <v>21</v>
      </c>
      <c r="B214">
        <v>124</v>
      </c>
    </row>
    <row r="215" spans="1:2" x14ac:dyDescent="0.3">
      <c r="A215" t="s">
        <v>18</v>
      </c>
      <c r="B215">
        <v>74</v>
      </c>
    </row>
    <row r="216" spans="1:2" x14ac:dyDescent="0.3">
      <c r="A216" t="s">
        <v>18</v>
      </c>
      <c r="B216">
        <v>100</v>
      </c>
    </row>
    <row r="217" spans="1:2" x14ac:dyDescent="0.3">
      <c r="A217" t="s">
        <v>18</v>
      </c>
      <c r="B217">
        <v>70</v>
      </c>
    </row>
    <row r="218" spans="1:2" x14ac:dyDescent="0.3">
      <c r="A218" t="s">
        <v>21</v>
      </c>
      <c r="B218">
        <v>131</v>
      </c>
    </row>
    <row r="219" spans="1:2" x14ac:dyDescent="0.3">
      <c r="A219" t="s">
        <v>21</v>
      </c>
      <c r="B219">
        <v>105</v>
      </c>
    </row>
    <row r="220" spans="1:2" x14ac:dyDescent="0.3">
      <c r="A220" t="s">
        <v>21</v>
      </c>
      <c r="B220">
        <v>450</v>
      </c>
    </row>
    <row r="221" spans="1:2" x14ac:dyDescent="0.3">
      <c r="A221" t="s">
        <v>21</v>
      </c>
      <c r="B221">
        <v>293</v>
      </c>
    </row>
    <row r="222" spans="1:2" x14ac:dyDescent="0.3">
      <c r="A222" t="s">
        <v>21</v>
      </c>
      <c r="B222">
        <v>85</v>
      </c>
    </row>
    <row r="223" spans="1:2" x14ac:dyDescent="0.3">
      <c r="A223" t="s">
        <v>21</v>
      </c>
      <c r="B223">
        <v>247</v>
      </c>
    </row>
    <row r="224" spans="1:2" x14ac:dyDescent="0.3">
      <c r="A224" t="s">
        <v>18</v>
      </c>
      <c r="B224">
        <v>70</v>
      </c>
    </row>
    <row r="225" spans="1:2" x14ac:dyDescent="0.3">
      <c r="A225" t="s">
        <v>18</v>
      </c>
      <c r="B225">
        <v>86</v>
      </c>
    </row>
    <row r="226" spans="1:2" x14ac:dyDescent="0.3">
      <c r="A226" t="s">
        <v>21</v>
      </c>
      <c r="B226">
        <v>200</v>
      </c>
    </row>
    <row r="227" spans="1:2" x14ac:dyDescent="0.3">
      <c r="A227" t="s">
        <v>18</v>
      </c>
      <c r="B227">
        <v>100</v>
      </c>
    </row>
    <row r="228" spans="1:2" x14ac:dyDescent="0.3">
      <c r="A228" t="s">
        <v>18</v>
      </c>
      <c r="B228">
        <v>54</v>
      </c>
    </row>
    <row r="229" spans="1:2" x14ac:dyDescent="0.3">
      <c r="A229" t="s">
        <v>21</v>
      </c>
      <c r="B229">
        <v>266</v>
      </c>
    </row>
    <row r="230" spans="1:2" x14ac:dyDescent="0.3">
      <c r="A230" t="s">
        <v>21</v>
      </c>
      <c r="B230">
        <v>283</v>
      </c>
    </row>
    <row r="231" spans="1:2" x14ac:dyDescent="0.3">
      <c r="A231" t="s">
        <v>21</v>
      </c>
      <c r="B231">
        <v>416</v>
      </c>
    </row>
    <row r="232" spans="1:2" x14ac:dyDescent="0.3">
      <c r="A232" t="s">
        <v>21</v>
      </c>
      <c r="B232">
        <v>232</v>
      </c>
    </row>
    <row r="233" spans="1:2" x14ac:dyDescent="0.3">
      <c r="A233" t="s">
        <v>18</v>
      </c>
      <c r="B233">
        <v>70</v>
      </c>
    </row>
    <row r="234" spans="1:2" x14ac:dyDescent="0.3">
      <c r="A234" t="s">
        <v>21</v>
      </c>
      <c r="B234">
        <v>270</v>
      </c>
    </row>
    <row r="235" spans="1:2" x14ac:dyDescent="0.3">
      <c r="A235" t="s">
        <v>21</v>
      </c>
      <c r="B235">
        <v>110</v>
      </c>
    </row>
    <row r="236" spans="1:2" x14ac:dyDescent="0.3">
      <c r="A236" t="s">
        <v>18</v>
      </c>
      <c r="B236">
        <v>62</v>
      </c>
    </row>
    <row r="237" spans="1:2" x14ac:dyDescent="0.3">
      <c r="A237" t="s">
        <v>21</v>
      </c>
      <c r="B237">
        <v>82</v>
      </c>
    </row>
    <row r="238" spans="1:2" x14ac:dyDescent="0.3">
      <c r="A238" t="s">
        <v>21</v>
      </c>
      <c r="B238">
        <v>84</v>
      </c>
    </row>
    <row r="239" spans="1:2" x14ac:dyDescent="0.3">
      <c r="A239" t="s">
        <v>18</v>
      </c>
      <c r="B239">
        <v>69</v>
      </c>
    </row>
    <row r="240" spans="1:2" x14ac:dyDescent="0.3">
      <c r="A240" t="s">
        <v>21</v>
      </c>
      <c r="B240">
        <v>133</v>
      </c>
    </row>
    <row r="241" spans="1:2" x14ac:dyDescent="0.3">
      <c r="A241" t="s">
        <v>21</v>
      </c>
      <c r="B241">
        <v>100</v>
      </c>
    </row>
    <row r="242" spans="1:2" x14ac:dyDescent="0.3">
      <c r="A242" t="s">
        <v>21</v>
      </c>
      <c r="B242">
        <v>389</v>
      </c>
    </row>
    <row r="243" spans="1:2" x14ac:dyDescent="0.3">
      <c r="A243" t="s">
        <v>21</v>
      </c>
      <c r="B243">
        <v>117</v>
      </c>
    </row>
    <row r="244" spans="1:2" x14ac:dyDescent="0.3">
      <c r="A244" t="s">
        <v>18</v>
      </c>
      <c r="B244">
        <v>301</v>
      </c>
    </row>
    <row r="245" spans="1:2" x14ac:dyDescent="0.3">
      <c r="A245" t="s">
        <v>18</v>
      </c>
      <c r="B245">
        <v>75</v>
      </c>
    </row>
    <row r="246" spans="1:2" x14ac:dyDescent="0.3">
      <c r="A246" t="s">
        <v>21</v>
      </c>
      <c r="B246">
        <v>220</v>
      </c>
    </row>
    <row r="247" spans="1:2" x14ac:dyDescent="0.3">
      <c r="A247" t="s">
        <v>21</v>
      </c>
      <c r="B247">
        <v>143</v>
      </c>
    </row>
    <row r="248" spans="1:2" x14ac:dyDescent="0.3">
      <c r="A248" t="s">
        <v>21</v>
      </c>
      <c r="B248">
        <v>98</v>
      </c>
    </row>
    <row r="249" spans="1:2" x14ac:dyDescent="0.3">
      <c r="A249" t="s">
        <v>21</v>
      </c>
      <c r="B249">
        <v>234</v>
      </c>
    </row>
    <row r="250" spans="1:2" x14ac:dyDescent="0.3">
      <c r="A250" t="s">
        <v>21</v>
      </c>
      <c r="B250">
        <v>139</v>
      </c>
    </row>
    <row r="251" spans="1:2" x14ac:dyDescent="0.3">
      <c r="A251" t="s">
        <v>21</v>
      </c>
      <c r="B251">
        <v>113</v>
      </c>
    </row>
    <row r="252" spans="1:2" x14ac:dyDescent="0.3">
      <c r="A252" t="s">
        <v>21</v>
      </c>
      <c r="B252">
        <v>67</v>
      </c>
    </row>
    <row r="253" spans="1:2" x14ac:dyDescent="0.3">
      <c r="A253" t="s">
        <v>18</v>
      </c>
      <c r="B253">
        <v>264</v>
      </c>
    </row>
    <row r="254" spans="1:2" x14ac:dyDescent="0.3">
      <c r="A254" t="s">
        <v>18</v>
      </c>
      <c r="B254">
        <v>68</v>
      </c>
    </row>
    <row r="255" spans="1:2" x14ac:dyDescent="0.3">
      <c r="A255" t="s">
        <v>18</v>
      </c>
      <c r="B255">
        <v>70</v>
      </c>
    </row>
    <row r="256" spans="1:2" x14ac:dyDescent="0.3">
      <c r="A256" t="s">
        <v>21</v>
      </c>
      <c r="B256">
        <v>183</v>
      </c>
    </row>
    <row r="257" spans="1:2" x14ac:dyDescent="0.3">
      <c r="A257" t="s">
        <v>21</v>
      </c>
      <c r="B257">
        <v>100</v>
      </c>
    </row>
    <row r="258" spans="1:2" x14ac:dyDescent="0.3">
      <c r="A258" t="s">
        <v>21</v>
      </c>
      <c r="B258">
        <v>159</v>
      </c>
    </row>
    <row r="259" spans="1:2" x14ac:dyDescent="0.3">
      <c r="A259" t="s">
        <v>18</v>
      </c>
      <c r="B259">
        <v>324</v>
      </c>
    </row>
    <row r="260" spans="1:2" x14ac:dyDescent="0.3">
      <c r="A260" t="s">
        <v>18</v>
      </c>
      <c r="B260">
        <v>310</v>
      </c>
    </row>
    <row r="261" spans="1:2" x14ac:dyDescent="0.3">
      <c r="A261" t="s">
        <v>21</v>
      </c>
      <c r="B261">
        <v>230</v>
      </c>
    </row>
    <row r="262" spans="1:2" x14ac:dyDescent="0.3">
      <c r="A262" t="s">
        <v>18</v>
      </c>
      <c r="B262">
        <v>79</v>
      </c>
    </row>
    <row r="263" spans="1:2" x14ac:dyDescent="0.3">
      <c r="A263" t="s">
        <v>21</v>
      </c>
      <c r="B263">
        <v>203</v>
      </c>
    </row>
    <row r="264" spans="1:2" x14ac:dyDescent="0.3">
      <c r="A264" t="s">
        <v>18</v>
      </c>
      <c r="B264">
        <v>80</v>
      </c>
    </row>
    <row r="265" spans="1:2" x14ac:dyDescent="0.3">
      <c r="A265" t="s">
        <v>18</v>
      </c>
      <c r="B265">
        <v>92</v>
      </c>
    </row>
    <row r="266" spans="1:2" x14ac:dyDescent="0.3">
      <c r="A266" t="s">
        <v>18</v>
      </c>
      <c r="B266">
        <v>59</v>
      </c>
    </row>
    <row r="267" spans="1:2" x14ac:dyDescent="0.3">
      <c r="A267" t="s">
        <v>21</v>
      </c>
      <c r="B267">
        <v>145</v>
      </c>
    </row>
    <row r="268" spans="1:2" x14ac:dyDescent="0.3">
      <c r="A268" t="s">
        <v>21</v>
      </c>
      <c r="B268">
        <v>146</v>
      </c>
    </row>
    <row r="269" spans="1:2" x14ac:dyDescent="0.3">
      <c r="A269" t="s">
        <v>21</v>
      </c>
      <c r="B269">
        <v>157</v>
      </c>
    </row>
    <row r="270" spans="1:2" x14ac:dyDescent="0.3">
      <c r="A270" t="s">
        <v>21</v>
      </c>
      <c r="B270">
        <v>182</v>
      </c>
    </row>
    <row r="271" spans="1:2" x14ac:dyDescent="0.3">
      <c r="A271" t="s">
        <v>18</v>
      </c>
      <c r="B271">
        <v>284</v>
      </c>
    </row>
    <row r="272" spans="1:2" x14ac:dyDescent="0.3">
      <c r="A272" t="s">
        <v>18</v>
      </c>
      <c r="B272">
        <v>143</v>
      </c>
    </row>
    <row r="273" spans="1:2" x14ac:dyDescent="0.3">
      <c r="A273" t="s">
        <v>21</v>
      </c>
      <c r="B273">
        <v>245</v>
      </c>
    </row>
    <row r="274" spans="1:2" x14ac:dyDescent="0.3">
      <c r="A274" t="s">
        <v>21</v>
      </c>
      <c r="B274">
        <v>193</v>
      </c>
    </row>
    <row r="275" spans="1:2" x14ac:dyDescent="0.3">
      <c r="A275" t="s">
        <v>18</v>
      </c>
      <c r="B275">
        <v>298</v>
      </c>
    </row>
    <row r="276" spans="1:2" x14ac:dyDescent="0.3">
      <c r="A276" t="s">
        <v>21</v>
      </c>
      <c r="B276">
        <v>115</v>
      </c>
    </row>
    <row r="277" spans="1:2" x14ac:dyDescent="0.3">
      <c r="A277" t="s">
        <v>21</v>
      </c>
      <c r="B277">
        <v>120</v>
      </c>
    </row>
    <row r="278" spans="1:2" x14ac:dyDescent="0.3">
      <c r="A278" t="s">
        <v>21</v>
      </c>
      <c r="B278">
        <v>428</v>
      </c>
    </row>
    <row r="279" spans="1:2" x14ac:dyDescent="0.3">
      <c r="A279" t="s">
        <v>18</v>
      </c>
      <c r="B279">
        <v>74</v>
      </c>
    </row>
    <row r="280" spans="1:2" x14ac:dyDescent="0.3">
      <c r="A280" t="s">
        <v>21</v>
      </c>
      <c r="B280">
        <v>204</v>
      </c>
    </row>
    <row r="281" spans="1:2" x14ac:dyDescent="0.3">
      <c r="A281" t="s">
        <v>21</v>
      </c>
      <c r="B281">
        <v>213</v>
      </c>
    </row>
    <row r="282" spans="1:2" x14ac:dyDescent="0.3">
      <c r="A282" t="s">
        <v>21</v>
      </c>
      <c r="B282">
        <v>319</v>
      </c>
    </row>
    <row r="283" spans="1:2" x14ac:dyDescent="0.3">
      <c r="A283" t="s">
        <v>21</v>
      </c>
      <c r="B283">
        <v>158</v>
      </c>
    </row>
    <row r="284" spans="1:2" x14ac:dyDescent="0.3">
      <c r="A284" t="s">
        <v>21</v>
      </c>
      <c r="B284">
        <v>255</v>
      </c>
    </row>
    <row r="285" spans="1:2" x14ac:dyDescent="0.3">
      <c r="A285" t="s">
        <v>18</v>
      </c>
      <c r="B285">
        <v>53</v>
      </c>
    </row>
    <row r="286" spans="1:2" x14ac:dyDescent="0.3">
      <c r="A286" t="s">
        <v>18</v>
      </c>
      <c r="B286">
        <v>59</v>
      </c>
    </row>
    <row r="287" spans="1:2" x14ac:dyDescent="0.3">
      <c r="A287" t="s">
        <v>21</v>
      </c>
      <c r="B287">
        <v>211</v>
      </c>
    </row>
    <row r="288" spans="1:2" x14ac:dyDescent="0.3">
      <c r="A288" t="s">
        <v>21</v>
      </c>
      <c r="B288">
        <v>186</v>
      </c>
    </row>
    <row r="289" spans="1:2" x14ac:dyDescent="0.3">
      <c r="A289" t="s">
        <v>18</v>
      </c>
      <c r="B289">
        <v>67</v>
      </c>
    </row>
    <row r="290" spans="1:2" x14ac:dyDescent="0.3">
      <c r="A290" t="s">
        <v>18</v>
      </c>
      <c r="B290">
        <v>75</v>
      </c>
    </row>
    <row r="291" spans="1:2" x14ac:dyDescent="0.3">
      <c r="A291" t="s">
        <v>18</v>
      </c>
      <c r="B291">
        <v>294</v>
      </c>
    </row>
    <row r="292" spans="1:2" x14ac:dyDescent="0.3">
      <c r="A292" t="s">
        <v>18</v>
      </c>
      <c r="B292">
        <v>305</v>
      </c>
    </row>
    <row r="293" spans="1:2" x14ac:dyDescent="0.3">
      <c r="A293" t="s">
        <v>18</v>
      </c>
      <c r="B293">
        <v>97</v>
      </c>
    </row>
    <row r="294" spans="1:2" x14ac:dyDescent="0.3">
      <c r="A294" t="s">
        <v>18</v>
      </c>
      <c r="B294">
        <v>58</v>
      </c>
    </row>
    <row r="295" spans="1:2" x14ac:dyDescent="0.3">
      <c r="A295" t="s">
        <v>18</v>
      </c>
      <c r="B295">
        <v>88</v>
      </c>
    </row>
    <row r="296" spans="1:2" x14ac:dyDescent="0.3">
      <c r="A296" t="s">
        <v>21</v>
      </c>
      <c r="B296">
        <v>162</v>
      </c>
    </row>
    <row r="297" spans="1:2" x14ac:dyDescent="0.3">
      <c r="A297" t="s">
        <v>18</v>
      </c>
      <c r="B297">
        <v>165</v>
      </c>
    </row>
    <row r="298" spans="1:2" x14ac:dyDescent="0.3">
      <c r="A298" t="s">
        <v>21</v>
      </c>
      <c r="B298">
        <v>177</v>
      </c>
    </row>
    <row r="299" spans="1:2" x14ac:dyDescent="0.3">
      <c r="A299" t="s">
        <v>21</v>
      </c>
      <c r="B299">
        <v>94</v>
      </c>
    </row>
    <row r="300" spans="1:2" x14ac:dyDescent="0.3">
      <c r="A300" t="s">
        <v>21</v>
      </c>
      <c r="B300">
        <v>402</v>
      </c>
    </row>
    <row r="301" spans="1:2" x14ac:dyDescent="0.3">
      <c r="A301" t="s">
        <v>21</v>
      </c>
      <c r="B301">
        <v>210</v>
      </c>
    </row>
    <row r="302" spans="1:2" x14ac:dyDescent="0.3">
      <c r="A302" t="s">
        <v>21</v>
      </c>
      <c r="B302">
        <v>114</v>
      </c>
    </row>
    <row r="303" spans="1:2" x14ac:dyDescent="0.3">
      <c r="A303" t="s">
        <v>21</v>
      </c>
      <c r="B303">
        <v>245</v>
      </c>
    </row>
    <row r="304" spans="1:2" x14ac:dyDescent="0.3">
      <c r="A304" t="s">
        <v>18</v>
      </c>
      <c r="B304">
        <v>120</v>
      </c>
    </row>
    <row r="305" spans="1:2" x14ac:dyDescent="0.3">
      <c r="A305" t="s">
        <v>21</v>
      </c>
      <c r="B305">
        <v>161</v>
      </c>
    </row>
    <row r="306" spans="1:2" x14ac:dyDescent="0.3">
      <c r="A306" t="s">
        <v>21</v>
      </c>
      <c r="B306">
        <v>117</v>
      </c>
    </row>
    <row r="307" spans="1:2" x14ac:dyDescent="0.3">
      <c r="A307" t="s">
        <v>18</v>
      </c>
      <c r="B307">
        <v>67</v>
      </c>
    </row>
    <row r="308" spans="1:2" x14ac:dyDescent="0.3">
      <c r="A308" t="s">
        <v>21</v>
      </c>
      <c r="B308">
        <v>100</v>
      </c>
    </row>
    <row r="309" spans="1:2" x14ac:dyDescent="0.3">
      <c r="A309" t="s">
        <v>21</v>
      </c>
      <c r="B309">
        <v>90</v>
      </c>
    </row>
    <row r="310" spans="1:2" x14ac:dyDescent="0.3">
      <c r="A310" t="s">
        <v>21</v>
      </c>
      <c r="B310">
        <v>100</v>
      </c>
    </row>
    <row r="311" spans="1:2" x14ac:dyDescent="0.3">
      <c r="A311" t="s">
        <v>21</v>
      </c>
      <c r="B311">
        <v>150</v>
      </c>
    </row>
    <row r="312" spans="1:2" x14ac:dyDescent="0.3">
      <c r="A312" t="s">
        <v>21</v>
      </c>
      <c r="B312">
        <v>169</v>
      </c>
    </row>
    <row r="313" spans="1:2" x14ac:dyDescent="0.3">
      <c r="A313" t="s">
        <v>18</v>
      </c>
      <c r="B313">
        <v>82</v>
      </c>
    </row>
    <row r="314" spans="1:2" x14ac:dyDescent="0.3">
      <c r="A314" t="s">
        <v>21</v>
      </c>
      <c r="B314">
        <v>125</v>
      </c>
    </row>
    <row r="315" spans="1:2" x14ac:dyDescent="0.3">
      <c r="A315" t="s">
        <v>18</v>
      </c>
      <c r="B315">
        <v>90</v>
      </c>
    </row>
    <row r="316" spans="1:2" x14ac:dyDescent="0.3">
      <c r="A316" t="s">
        <v>21</v>
      </c>
      <c r="B316">
        <v>143</v>
      </c>
    </row>
    <row r="317" spans="1:2" x14ac:dyDescent="0.3">
      <c r="A317" t="s">
        <v>21</v>
      </c>
      <c r="B317">
        <v>330</v>
      </c>
    </row>
    <row r="318" spans="1:2" x14ac:dyDescent="0.3">
      <c r="A318" t="s">
        <v>18</v>
      </c>
      <c r="B318">
        <v>118</v>
      </c>
    </row>
    <row r="319" spans="1:2" x14ac:dyDescent="0.3">
      <c r="A319" t="s">
        <v>21</v>
      </c>
      <c r="B319">
        <v>170</v>
      </c>
    </row>
    <row r="320" spans="1:2" x14ac:dyDescent="0.3">
      <c r="A320" t="s">
        <v>21</v>
      </c>
      <c r="B320">
        <v>200</v>
      </c>
    </row>
    <row r="321" spans="1:2" x14ac:dyDescent="0.3">
      <c r="A321" t="s">
        <v>21</v>
      </c>
      <c r="B321">
        <v>227</v>
      </c>
    </row>
    <row r="322" spans="1:2" x14ac:dyDescent="0.3">
      <c r="A322" t="s">
        <v>21</v>
      </c>
      <c r="B322">
        <v>204</v>
      </c>
    </row>
    <row r="323" spans="1:2" x14ac:dyDescent="0.3">
      <c r="A323" t="s">
        <v>21</v>
      </c>
      <c r="B323">
        <v>200</v>
      </c>
    </row>
    <row r="324" spans="1:2" x14ac:dyDescent="0.3">
      <c r="A324" t="s">
        <v>18</v>
      </c>
      <c r="B324">
        <v>200</v>
      </c>
    </row>
    <row r="325" spans="1:2" x14ac:dyDescent="0.3">
      <c r="A325" t="s">
        <v>21</v>
      </c>
      <c r="B325">
        <v>200</v>
      </c>
    </row>
    <row r="326" spans="1:2" x14ac:dyDescent="0.3">
      <c r="A326" t="s">
        <v>21</v>
      </c>
      <c r="B326">
        <v>200</v>
      </c>
    </row>
    <row r="327" spans="1:2" x14ac:dyDescent="0.3">
      <c r="A327" t="s">
        <v>21</v>
      </c>
      <c r="B327">
        <v>180</v>
      </c>
    </row>
    <row r="328" spans="1:2" x14ac:dyDescent="0.3">
      <c r="A328" t="s">
        <v>21</v>
      </c>
      <c r="B328">
        <v>200</v>
      </c>
    </row>
    <row r="329" spans="1:2" x14ac:dyDescent="0.3">
      <c r="A329" t="s">
        <v>21</v>
      </c>
      <c r="B329">
        <v>228</v>
      </c>
    </row>
    <row r="330" spans="1:2" x14ac:dyDescent="0.3">
      <c r="A330" t="s">
        <v>18</v>
      </c>
      <c r="B330">
        <v>100</v>
      </c>
    </row>
    <row r="331" spans="1:2" x14ac:dyDescent="0.3">
      <c r="A331" t="s">
        <v>21</v>
      </c>
      <c r="B331">
        <v>105</v>
      </c>
    </row>
    <row r="332" spans="1:2" x14ac:dyDescent="0.3">
      <c r="A332" t="s">
        <v>21</v>
      </c>
      <c r="B332">
        <v>248</v>
      </c>
    </row>
    <row r="333" spans="1:2" x14ac:dyDescent="0.3">
      <c r="A333" t="s">
        <v>21</v>
      </c>
      <c r="B333">
        <v>114</v>
      </c>
    </row>
    <row r="334" spans="1:2" x14ac:dyDescent="0.3">
      <c r="A334" t="s">
        <v>18</v>
      </c>
      <c r="B334">
        <v>132</v>
      </c>
    </row>
    <row r="335" spans="1:2" x14ac:dyDescent="0.3">
      <c r="A335" t="s">
        <v>21</v>
      </c>
      <c r="B335">
        <v>199</v>
      </c>
    </row>
    <row r="336" spans="1:2" x14ac:dyDescent="0.3">
      <c r="A336" t="s">
        <v>21</v>
      </c>
      <c r="B336">
        <v>80</v>
      </c>
    </row>
    <row r="337" spans="1:2" x14ac:dyDescent="0.3">
      <c r="A337" t="s">
        <v>21</v>
      </c>
      <c r="B337">
        <v>168</v>
      </c>
    </row>
    <row r="338" spans="1:2" x14ac:dyDescent="0.3">
      <c r="A338" t="s">
        <v>21</v>
      </c>
      <c r="B338">
        <v>205</v>
      </c>
    </row>
    <row r="339" spans="1:2" x14ac:dyDescent="0.3">
      <c r="A339" t="s">
        <v>21</v>
      </c>
      <c r="B339">
        <v>298</v>
      </c>
    </row>
    <row r="340" spans="1:2" x14ac:dyDescent="0.3">
      <c r="A340" t="s">
        <v>21</v>
      </c>
      <c r="B340">
        <v>110</v>
      </c>
    </row>
    <row r="341" spans="1:2" x14ac:dyDescent="0.3">
      <c r="A341" t="s">
        <v>21</v>
      </c>
      <c r="B341">
        <v>250</v>
      </c>
    </row>
    <row r="342" spans="1:2" x14ac:dyDescent="0.3">
      <c r="A342" t="s">
        <v>21</v>
      </c>
      <c r="B342">
        <v>131</v>
      </c>
    </row>
    <row r="343" spans="1:2" x14ac:dyDescent="0.3">
      <c r="A343" t="s">
        <v>21</v>
      </c>
      <c r="B343">
        <v>213</v>
      </c>
    </row>
    <row r="344" spans="1:2" x14ac:dyDescent="0.3">
      <c r="A344" t="s">
        <v>21</v>
      </c>
      <c r="B344">
        <v>200</v>
      </c>
    </row>
    <row r="345" spans="1:2" x14ac:dyDescent="0.3">
      <c r="A345" t="s">
        <v>18</v>
      </c>
      <c r="B345">
        <v>175</v>
      </c>
    </row>
    <row r="346" spans="1:2" x14ac:dyDescent="0.3">
      <c r="A346" t="s">
        <v>21</v>
      </c>
      <c r="B346">
        <v>206</v>
      </c>
    </row>
    <row r="347" spans="1:2" x14ac:dyDescent="0.3">
      <c r="A347" t="s">
        <v>21</v>
      </c>
      <c r="B347">
        <v>159</v>
      </c>
    </row>
    <row r="348" spans="1:2" x14ac:dyDescent="0.3">
      <c r="A348" t="s">
        <v>21</v>
      </c>
      <c r="B348">
        <v>218</v>
      </c>
    </row>
    <row r="349" spans="1:2" x14ac:dyDescent="0.3">
      <c r="A349" t="s">
        <v>18</v>
      </c>
      <c r="B349">
        <v>120</v>
      </c>
    </row>
    <row r="350" spans="1:2" x14ac:dyDescent="0.3">
      <c r="A350" t="s">
        <v>21</v>
      </c>
      <c r="B350">
        <v>125</v>
      </c>
    </row>
    <row r="351" spans="1:2" x14ac:dyDescent="0.3">
      <c r="A351" t="s">
        <v>18</v>
      </c>
      <c r="B351">
        <v>332</v>
      </c>
    </row>
    <row r="352" spans="1:2" x14ac:dyDescent="0.3">
      <c r="A352" t="s">
        <v>21</v>
      </c>
      <c r="B352">
        <v>205</v>
      </c>
    </row>
    <row r="353" spans="1:2" x14ac:dyDescent="0.3">
      <c r="A353" t="s">
        <v>21</v>
      </c>
      <c r="B353">
        <v>220</v>
      </c>
    </row>
    <row r="354" spans="1:2" x14ac:dyDescent="0.3">
      <c r="A354" t="s">
        <v>21</v>
      </c>
      <c r="B354">
        <v>132</v>
      </c>
    </row>
    <row r="355" spans="1:2" x14ac:dyDescent="0.3">
      <c r="A355" t="s">
        <v>21</v>
      </c>
      <c r="B355">
        <v>200</v>
      </c>
    </row>
    <row r="356" spans="1:2" x14ac:dyDescent="0.3">
      <c r="A356" t="s">
        <v>21</v>
      </c>
      <c r="B356">
        <v>120</v>
      </c>
    </row>
    <row r="357" spans="1:2" x14ac:dyDescent="0.3">
      <c r="A357" t="s">
        <v>21</v>
      </c>
      <c r="B357">
        <v>77</v>
      </c>
    </row>
    <row r="358" spans="1:2" x14ac:dyDescent="0.3">
      <c r="A358" t="s">
        <v>21</v>
      </c>
      <c r="B358">
        <v>200</v>
      </c>
    </row>
    <row r="359" spans="1:2" x14ac:dyDescent="0.3">
      <c r="A359" t="s">
        <v>21</v>
      </c>
      <c r="B359">
        <v>120</v>
      </c>
    </row>
    <row r="360" spans="1:2" x14ac:dyDescent="0.3">
      <c r="A360" t="s">
        <v>21</v>
      </c>
      <c r="B360">
        <v>212</v>
      </c>
    </row>
    <row r="361" spans="1:2" x14ac:dyDescent="0.3">
      <c r="A361" t="s">
        <v>21</v>
      </c>
      <c r="B361">
        <v>177</v>
      </c>
    </row>
    <row r="362" spans="1:2" x14ac:dyDescent="0.3">
      <c r="A362" t="s">
        <v>18</v>
      </c>
      <c r="B362">
        <v>122</v>
      </c>
    </row>
    <row r="363" spans="1:2" x14ac:dyDescent="0.3">
      <c r="A363" t="s">
        <v>21</v>
      </c>
      <c r="B363">
        <v>137</v>
      </c>
    </row>
    <row r="364" spans="1:2" x14ac:dyDescent="0.3">
      <c r="A364" t="s">
        <v>21</v>
      </c>
      <c r="B364">
        <v>90</v>
      </c>
    </row>
    <row r="365" spans="1:2" x14ac:dyDescent="0.3">
      <c r="A365" t="s">
        <v>18</v>
      </c>
      <c r="B365">
        <v>99</v>
      </c>
    </row>
    <row r="366" spans="1:2" x14ac:dyDescent="0.3">
      <c r="A366" t="s">
        <v>21</v>
      </c>
      <c r="B366">
        <v>107</v>
      </c>
    </row>
    <row r="367" spans="1:2" x14ac:dyDescent="0.3">
      <c r="A367" t="s">
        <v>21</v>
      </c>
      <c r="B367">
        <v>129</v>
      </c>
    </row>
    <row r="368" spans="1:2" x14ac:dyDescent="0.3">
      <c r="A368" t="s">
        <v>21</v>
      </c>
      <c r="B368">
        <v>209</v>
      </c>
    </row>
    <row r="369" spans="1:2" x14ac:dyDescent="0.3">
      <c r="A369" t="s">
        <v>21</v>
      </c>
      <c r="B369">
        <v>227</v>
      </c>
    </row>
    <row r="370" spans="1:2" x14ac:dyDescent="0.3">
      <c r="A370" t="s">
        <v>21</v>
      </c>
      <c r="B370">
        <v>100</v>
      </c>
    </row>
    <row r="371" spans="1:2" x14ac:dyDescent="0.3">
      <c r="A371" t="s">
        <v>21</v>
      </c>
      <c r="B371">
        <v>140</v>
      </c>
    </row>
    <row r="372" spans="1:2" x14ac:dyDescent="0.3">
      <c r="A372" t="s">
        <v>21</v>
      </c>
      <c r="B372">
        <v>169</v>
      </c>
    </row>
    <row r="373" spans="1:2" x14ac:dyDescent="0.3">
      <c r="A373" t="s">
        <v>21</v>
      </c>
      <c r="B373">
        <v>209</v>
      </c>
    </row>
    <row r="374" spans="1:2" x14ac:dyDescent="0.3">
      <c r="A374" t="s">
        <v>21</v>
      </c>
      <c r="B374">
        <v>170</v>
      </c>
    </row>
    <row r="375" spans="1:2" x14ac:dyDescent="0.3">
      <c r="A375" t="s">
        <v>21</v>
      </c>
      <c r="B375">
        <v>267</v>
      </c>
    </row>
    <row r="376" spans="1:2" x14ac:dyDescent="0.3">
      <c r="A376" t="s">
        <v>18</v>
      </c>
      <c r="B376">
        <v>62</v>
      </c>
    </row>
    <row r="377" spans="1:2" x14ac:dyDescent="0.3">
      <c r="A377" t="s">
        <v>21</v>
      </c>
      <c r="B377">
        <v>209</v>
      </c>
    </row>
    <row r="378" spans="1:2" x14ac:dyDescent="0.3">
      <c r="A378" t="s">
        <v>21</v>
      </c>
      <c r="B378">
        <v>248</v>
      </c>
    </row>
    <row r="379" spans="1:2" x14ac:dyDescent="0.3">
      <c r="A379" t="s">
        <v>18</v>
      </c>
      <c r="B379">
        <v>80</v>
      </c>
    </row>
    <row r="380" spans="1:2" x14ac:dyDescent="0.3">
      <c r="A380" t="s">
        <v>21</v>
      </c>
      <c r="B380">
        <v>120</v>
      </c>
    </row>
    <row r="381" spans="1:2" x14ac:dyDescent="0.3">
      <c r="A381" t="s">
        <v>21</v>
      </c>
      <c r="B381">
        <v>120</v>
      </c>
    </row>
    <row r="382" spans="1:2" x14ac:dyDescent="0.3">
      <c r="A382" t="s">
        <v>21</v>
      </c>
      <c r="B382">
        <v>96</v>
      </c>
    </row>
    <row r="383" spans="1:2" x14ac:dyDescent="0.3">
      <c r="A383" t="s">
        <v>21</v>
      </c>
      <c r="B383">
        <v>120</v>
      </c>
    </row>
    <row r="384" spans="1:2" x14ac:dyDescent="0.3">
      <c r="A384" t="s">
        <v>21</v>
      </c>
      <c r="B384">
        <v>65</v>
      </c>
    </row>
    <row r="385" spans="1:2" x14ac:dyDescent="0.3">
      <c r="A385" t="s">
        <v>18</v>
      </c>
      <c r="B385">
        <v>356</v>
      </c>
    </row>
    <row r="386" spans="1:2" x14ac:dyDescent="0.3">
      <c r="A386" t="s">
        <v>18</v>
      </c>
      <c r="B386">
        <v>381</v>
      </c>
    </row>
    <row r="387" spans="1:2" x14ac:dyDescent="0.3">
      <c r="A387" t="s">
        <v>18</v>
      </c>
      <c r="B387">
        <v>56</v>
      </c>
    </row>
    <row r="388" spans="1:2" x14ac:dyDescent="0.3">
      <c r="A388" t="s">
        <v>18</v>
      </c>
      <c r="B388">
        <v>421</v>
      </c>
    </row>
    <row r="389" spans="1:2" x14ac:dyDescent="0.3">
      <c r="A389" t="s">
        <v>21</v>
      </c>
      <c r="B389">
        <v>230</v>
      </c>
    </row>
    <row r="390" spans="1:2" x14ac:dyDescent="0.3">
      <c r="A390" t="s">
        <v>21</v>
      </c>
      <c r="B390">
        <v>236</v>
      </c>
    </row>
    <row r="391" spans="1:2" x14ac:dyDescent="0.3">
      <c r="A391" t="s">
        <v>21</v>
      </c>
      <c r="B391">
        <v>140</v>
      </c>
    </row>
    <row r="392" spans="1:2" x14ac:dyDescent="0.3">
      <c r="A392" t="s">
        <v>21</v>
      </c>
      <c r="B392">
        <v>119</v>
      </c>
    </row>
    <row r="393" spans="1:2" x14ac:dyDescent="0.3">
      <c r="A393" t="s">
        <v>21</v>
      </c>
      <c r="B393">
        <v>210</v>
      </c>
    </row>
    <row r="394" spans="1:2" x14ac:dyDescent="0.3">
      <c r="A394" t="s">
        <v>18</v>
      </c>
      <c r="B394">
        <v>78</v>
      </c>
    </row>
    <row r="395" spans="1:2" x14ac:dyDescent="0.3">
      <c r="A395" t="s">
        <v>18</v>
      </c>
      <c r="B395">
        <v>289</v>
      </c>
    </row>
    <row r="396" spans="1:2" x14ac:dyDescent="0.3">
      <c r="A396" t="s">
        <v>18</v>
      </c>
      <c r="B396">
        <v>207</v>
      </c>
    </row>
    <row r="397" spans="1:2" x14ac:dyDescent="0.3">
      <c r="A397" t="s">
        <v>21</v>
      </c>
      <c r="B397">
        <v>178</v>
      </c>
    </row>
    <row r="398" spans="1:2" x14ac:dyDescent="0.3">
      <c r="A398" t="s">
        <v>21</v>
      </c>
      <c r="B398">
        <v>135</v>
      </c>
    </row>
    <row r="399" spans="1:2" x14ac:dyDescent="0.3">
      <c r="A399" t="s">
        <v>21</v>
      </c>
      <c r="B399">
        <v>365</v>
      </c>
    </row>
    <row r="400" spans="1:2" x14ac:dyDescent="0.3">
      <c r="A400" t="s">
        <v>21</v>
      </c>
      <c r="B400">
        <v>249</v>
      </c>
    </row>
    <row r="401" spans="1:2" x14ac:dyDescent="0.3">
      <c r="A401" t="s">
        <v>21</v>
      </c>
      <c r="B401">
        <v>90</v>
      </c>
    </row>
    <row r="402" spans="1:2" x14ac:dyDescent="0.3">
      <c r="A402" t="s">
        <v>21</v>
      </c>
      <c r="B402">
        <v>194</v>
      </c>
    </row>
    <row r="403" spans="1:2" x14ac:dyDescent="0.3">
      <c r="A403" t="s">
        <v>21</v>
      </c>
      <c r="B403">
        <v>179</v>
      </c>
    </row>
    <row r="404" spans="1:2" x14ac:dyDescent="0.3">
      <c r="A404" t="s">
        <v>21</v>
      </c>
      <c r="B404">
        <v>105</v>
      </c>
    </row>
    <row r="405" spans="1:2" x14ac:dyDescent="0.3">
      <c r="A405" t="s">
        <v>18</v>
      </c>
      <c r="B405">
        <v>57</v>
      </c>
    </row>
    <row r="406" spans="1:2" x14ac:dyDescent="0.3">
      <c r="A406" t="s">
        <v>18</v>
      </c>
      <c r="B406">
        <v>51</v>
      </c>
    </row>
    <row r="407" spans="1:2" x14ac:dyDescent="0.3">
      <c r="A407" t="s">
        <v>21</v>
      </c>
      <c r="B407">
        <v>245</v>
      </c>
    </row>
    <row r="408" spans="1:2" x14ac:dyDescent="0.3">
      <c r="A408" t="s">
        <v>18</v>
      </c>
      <c r="B408">
        <v>80</v>
      </c>
    </row>
    <row r="409" spans="1:2" x14ac:dyDescent="0.3">
      <c r="A409" t="s">
        <v>21</v>
      </c>
      <c r="B409">
        <v>132</v>
      </c>
    </row>
    <row r="410" spans="1:2" x14ac:dyDescent="0.3">
      <c r="A410" t="s">
        <v>21</v>
      </c>
      <c r="B410">
        <v>132</v>
      </c>
    </row>
    <row r="411" spans="1:2" x14ac:dyDescent="0.3">
      <c r="A411" t="s">
        <v>18</v>
      </c>
      <c r="B411">
        <v>79</v>
      </c>
    </row>
    <row r="412" spans="1:2" x14ac:dyDescent="0.3">
      <c r="A412" t="s">
        <v>18</v>
      </c>
      <c r="B412">
        <v>143</v>
      </c>
    </row>
    <row r="413" spans="1:2" x14ac:dyDescent="0.3">
      <c r="A413" t="s">
        <v>18</v>
      </c>
      <c r="B413">
        <v>76</v>
      </c>
    </row>
    <row r="414" spans="1:2" x14ac:dyDescent="0.3">
      <c r="A414" t="s">
        <v>21</v>
      </c>
      <c r="B414">
        <v>185</v>
      </c>
    </row>
    <row r="415" spans="1:2" x14ac:dyDescent="0.3">
      <c r="A415" t="s">
        <v>18</v>
      </c>
      <c r="B415">
        <v>332</v>
      </c>
    </row>
    <row r="416" spans="1:2" x14ac:dyDescent="0.3">
      <c r="A416" t="s">
        <v>21</v>
      </c>
      <c r="B416">
        <v>106</v>
      </c>
    </row>
    <row r="417" spans="1:2" x14ac:dyDescent="0.3">
      <c r="A417" t="s">
        <v>21</v>
      </c>
      <c r="B417">
        <v>198</v>
      </c>
    </row>
    <row r="418" spans="1:2" x14ac:dyDescent="0.3">
      <c r="A418" t="s">
        <v>18</v>
      </c>
      <c r="B418">
        <v>81</v>
      </c>
    </row>
    <row r="419" spans="1:2" x14ac:dyDescent="0.3">
      <c r="A419" t="s">
        <v>18</v>
      </c>
      <c r="B419">
        <v>87</v>
      </c>
    </row>
    <row r="420" spans="1:2" x14ac:dyDescent="0.3">
      <c r="A420" t="s">
        <v>18</v>
      </c>
      <c r="B420">
        <v>146</v>
      </c>
    </row>
    <row r="421" spans="1:2" x14ac:dyDescent="0.3">
      <c r="A421" t="s">
        <v>21</v>
      </c>
      <c r="B421">
        <v>417</v>
      </c>
    </row>
    <row r="422" spans="1:2" x14ac:dyDescent="0.3">
      <c r="A422" t="s">
        <v>18</v>
      </c>
      <c r="B422">
        <v>97</v>
      </c>
    </row>
    <row r="423" spans="1:2" x14ac:dyDescent="0.3">
      <c r="A423" t="s">
        <v>21</v>
      </c>
      <c r="B423">
        <v>133</v>
      </c>
    </row>
    <row r="424" spans="1:2" x14ac:dyDescent="0.3">
      <c r="A424" t="s">
        <v>21</v>
      </c>
      <c r="B424">
        <v>125</v>
      </c>
    </row>
    <row r="425" spans="1:2" x14ac:dyDescent="0.3">
      <c r="A425" t="s">
        <v>21</v>
      </c>
      <c r="B425">
        <v>179</v>
      </c>
    </row>
    <row r="426" spans="1:2" x14ac:dyDescent="0.3">
      <c r="A426" t="s">
        <v>18</v>
      </c>
      <c r="B426">
        <v>118</v>
      </c>
    </row>
    <row r="427" spans="1:2" x14ac:dyDescent="0.3">
      <c r="A427" t="s">
        <v>21</v>
      </c>
      <c r="B427">
        <v>81</v>
      </c>
    </row>
    <row r="428" spans="1:2" x14ac:dyDescent="0.3">
      <c r="A428" t="s">
        <v>21</v>
      </c>
      <c r="B428">
        <v>161</v>
      </c>
    </row>
    <row r="429" spans="1:2" x14ac:dyDescent="0.3">
      <c r="A429" t="s">
        <v>21</v>
      </c>
      <c r="B429">
        <v>118</v>
      </c>
    </row>
    <row r="430" spans="1:2" x14ac:dyDescent="0.3">
      <c r="A430" t="s">
        <v>21</v>
      </c>
      <c r="B430">
        <v>183</v>
      </c>
    </row>
    <row r="431" spans="1:2" x14ac:dyDescent="0.3">
      <c r="A431" t="s">
        <v>18</v>
      </c>
      <c r="B431">
        <v>65</v>
      </c>
    </row>
    <row r="432" spans="1:2" x14ac:dyDescent="0.3">
      <c r="A432" t="s">
        <v>21</v>
      </c>
      <c r="B432">
        <v>200</v>
      </c>
    </row>
    <row r="433" spans="1:2" x14ac:dyDescent="0.3">
      <c r="A433" t="s">
        <v>21</v>
      </c>
      <c r="B433">
        <v>90</v>
      </c>
    </row>
    <row r="434" spans="1:2" x14ac:dyDescent="0.3">
      <c r="A434" t="s">
        <v>21</v>
      </c>
      <c r="B434">
        <v>120</v>
      </c>
    </row>
    <row r="435" spans="1:2" x14ac:dyDescent="0.3">
      <c r="A435" t="s">
        <v>21</v>
      </c>
      <c r="B435">
        <v>149</v>
      </c>
    </row>
    <row r="436" spans="1:2" x14ac:dyDescent="0.3">
      <c r="A436" t="s">
        <v>21</v>
      </c>
      <c r="B436">
        <v>108</v>
      </c>
    </row>
    <row r="437" spans="1:2" x14ac:dyDescent="0.3">
      <c r="A437" t="s">
        <v>21</v>
      </c>
      <c r="B437">
        <v>118</v>
      </c>
    </row>
    <row r="438" spans="1:2" x14ac:dyDescent="0.3">
      <c r="A438" t="s">
        <v>21</v>
      </c>
      <c r="B438">
        <v>124</v>
      </c>
    </row>
    <row r="439" spans="1:2" x14ac:dyDescent="0.3">
      <c r="A439" t="s">
        <v>21</v>
      </c>
      <c r="B439">
        <v>310</v>
      </c>
    </row>
    <row r="440" spans="1:2" x14ac:dyDescent="0.3">
      <c r="A440" t="s">
        <v>18</v>
      </c>
      <c r="B440">
        <v>231</v>
      </c>
    </row>
    <row r="441" spans="1:2" x14ac:dyDescent="0.3">
      <c r="A441" t="s">
        <v>18</v>
      </c>
      <c r="B441">
        <v>405</v>
      </c>
    </row>
    <row r="442" spans="1:2" x14ac:dyDescent="0.3">
      <c r="A442" t="s">
        <v>18</v>
      </c>
      <c r="B442">
        <v>334</v>
      </c>
    </row>
    <row r="443" spans="1:2" x14ac:dyDescent="0.3">
      <c r="A443" t="s">
        <v>21</v>
      </c>
      <c r="B443">
        <v>170</v>
      </c>
    </row>
    <row r="444" spans="1:2" x14ac:dyDescent="0.3">
      <c r="A444" t="s">
        <v>21</v>
      </c>
      <c r="B444">
        <v>350</v>
      </c>
    </row>
    <row r="445" spans="1:2" x14ac:dyDescent="0.3">
      <c r="A445" t="s">
        <v>21</v>
      </c>
      <c r="B445">
        <v>149</v>
      </c>
    </row>
    <row r="446" spans="1:2" x14ac:dyDescent="0.3">
      <c r="A446" t="s">
        <v>21</v>
      </c>
      <c r="B446">
        <v>261</v>
      </c>
    </row>
    <row r="447" spans="1:2" x14ac:dyDescent="0.3">
      <c r="A447" t="s">
        <v>21</v>
      </c>
      <c r="B447">
        <v>145</v>
      </c>
    </row>
    <row r="448" spans="1:2" x14ac:dyDescent="0.3">
      <c r="A448" t="s">
        <v>21</v>
      </c>
      <c r="B448">
        <v>179</v>
      </c>
    </row>
    <row r="449" spans="1:2" x14ac:dyDescent="0.3">
      <c r="A449" t="s">
        <v>21</v>
      </c>
      <c r="B449">
        <v>224</v>
      </c>
    </row>
    <row r="450" spans="1:2" x14ac:dyDescent="0.3">
      <c r="A450" t="s">
        <v>18</v>
      </c>
      <c r="B450">
        <v>70</v>
      </c>
    </row>
    <row r="451" spans="1:2" x14ac:dyDescent="0.3">
      <c r="A451" t="s">
        <v>21</v>
      </c>
      <c r="B451">
        <v>137</v>
      </c>
    </row>
    <row r="452" spans="1:2" x14ac:dyDescent="0.3">
      <c r="A452" t="s">
        <v>21</v>
      </c>
      <c r="B452">
        <v>151</v>
      </c>
    </row>
    <row r="453" spans="1:2" x14ac:dyDescent="0.3">
      <c r="A453" t="s">
        <v>18</v>
      </c>
      <c r="B453">
        <v>57</v>
      </c>
    </row>
    <row r="454" spans="1:2" x14ac:dyDescent="0.3">
      <c r="A454" t="s">
        <v>21</v>
      </c>
      <c r="B454">
        <v>106</v>
      </c>
    </row>
    <row r="455" spans="1:2" x14ac:dyDescent="0.3">
      <c r="A455" t="s">
        <v>21</v>
      </c>
      <c r="B455">
        <v>193</v>
      </c>
    </row>
    <row r="456" spans="1:2" x14ac:dyDescent="0.3">
      <c r="A456" t="s">
        <v>21</v>
      </c>
      <c r="B456">
        <v>120</v>
      </c>
    </row>
    <row r="457" spans="1:2" x14ac:dyDescent="0.3">
      <c r="A457" t="s">
        <v>21</v>
      </c>
      <c r="B457">
        <v>101</v>
      </c>
    </row>
    <row r="458" spans="1:2" x14ac:dyDescent="0.3">
      <c r="A458" t="s">
        <v>21</v>
      </c>
      <c r="B458">
        <v>116</v>
      </c>
    </row>
    <row r="459" spans="1:2" x14ac:dyDescent="0.3">
      <c r="A459" t="s">
        <v>21</v>
      </c>
      <c r="B459">
        <v>208</v>
      </c>
    </row>
    <row r="460" spans="1:2" x14ac:dyDescent="0.3">
      <c r="A460" t="s">
        <v>21</v>
      </c>
      <c r="B460">
        <v>115</v>
      </c>
    </row>
    <row r="461" spans="1:2" x14ac:dyDescent="0.3">
      <c r="A461" t="s">
        <v>21</v>
      </c>
      <c r="B461">
        <v>331</v>
      </c>
    </row>
    <row r="462" spans="1:2" x14ac:dyDescent="0.3">
      <c r="A462" t="s">
        <v>18</v>
      </c>
      <c r="B462">
        <v>82</v>
      </c>
    </row>
    <row r="463" spans="1:2" x14ac:dyDescent="0.3">
      <c r="A463" t="s">
        <v>21</v>
      </c>
      <c r="B463">
        <v>85</v>
      </c>
    </row>
    <row r="464" spans="1:2" x14ac:dyDescent="0.3">
      <c r="A464" t="s">
        <v>21</v>
      </c>
      <c r="B464">
        <v>137</v>
      </c>
    </row>
    <row r="465" spans="1:2" x14ac:dyDescent="0.3">
      <c r="A465" t="s">
        <v>21</v>
      </c>
      <c r="B465">
        <v>185</v>
      </c>
    </row>
    <row r="466" spans="1:2" x14ac:dyDescent="0.3">
      <c r="A466" t="s">
        <v>21</v>
      </c>
      <c r="B466">
        <v>330</v>
      </c>
    </row>
    <row r="467" spans="1:2" x14ac:dyDescent="0.3">
      <c r="A467" t="s">
        <v>21</v>
      </c>
      <c r="B467">
        <v>175</v>
      </c>
    </row>
    <row r="468" spans="1:2" x14ac:dyDescent="0.3">
      <c r="A468" t="s">
        <v>18</v>
      </c>
      <c r="B468">
        <v>165</v>
      </c>
    </row>
    <row r="469" spans="1:2" x14ac:dyDescent="0.3">
      <c r="A469" t="s">
        <v>21</v>
      </c>
      <c r="B469">
        <v>86</v>
      </c>
    </row>
    <row r="470" spans="1:2" x14ac:dyDescent="0.3">
      <c r="A470" t="s">
        <v>21</v>
      </c>
      <c r="B470">
        <v>214</v>
      </c>
    </row>
    <row r="471" spans="1:2" x14ac:dyDescent="0.3">
      <c r="A471" t="s">
        <v>21</v>
      </c>
      <c r="B471">
        <v>90</v>
      </c>
    </row>
    <row r="472" spans="1:2" x14ac:dyDescent="0.3">
      <c r="A472" t="s">
        <v>18</v>
      </c>
      <c r="B472">
        <v>134</v>
      </c>
    </row>
    <row r="473" spans="1:2" x14ac:dyDescent="0.3">
      <c r="A473" t="s">
        <v>18</v>
      </c>
      <c r="B473">
        <v>134</v>
      </c>
    </row>
    <row r="474" spans="1:2" x14ac:dyDescent="0.3">
      <c r="A474" t="s">
        <v>21</v>
      </c>
      <c r="B474">
        <v>145</v>
      </c>
    </row>
    <row r="475" spans="1:2" x14ac:dyDescent="0.3">
      <c r="A475" t="s">
        <v>21</v>
      </c>
      <c r="B475">
        <v>205</v>
      </c>
    </row>
    <row r="476" spans="1:2" x14ac:dyDescent="0.3">
      <c r="A476" t="s">
        <v>21</v>
      </c>
      <c r="B476">
        <v>220</v>
      </c>
    </row>
    <row r="477" spans="1:2" x14ac:dyDescent="0.3">
      <c r="A477" t="s">
        <v>21</v>
      </c>
      <c r="B477">
        <v>203</v>
      </c>
    </row>
    <row r="478" spans="1:2" x14ac:dyDescent="0.3">
      <c r="A478" t="s">
        <v>21</v>
      </c>
      <c r="B478">
        <v>65</v>
      </c>
    </row>
    <row r="479" spans="1:2" x14ac:dyDescent="0.3">
      <c r="A479" t="s">
        <v>21</v>
      </c>
      <c r="B479">
        <v>170</v>
      </c>
    </row>
    <row r="480" spans="1:2" x14ac:dyDescent="0.3">
      <c r="A480" t="s">
        <v>21</v>
      </c>
      <c r="B480">
        <v>120</v>
      </c>
    </row>
    <row r="481" spans="1:2" x14ac:dyDescent="0.3">
      <c r="A481" t="s">
        <v>18</v>
      </c>
      <c r="B481">
        <v>185</v>
      </c>
    </row>
    <row r="482" spans="1:2" x14ac:dyDescent="0.3">
      <c r="A482" t="s">
        <v>21</v>
      </c>
      <c r="B482">
        <v>179</v>
      </c>
    </row>
    <row r="483" spans="1:2" x14ac:dyDescent="0.3">
      <c r="A483" t="s">
        <v>21</v>
      </c>
      <c r="B483">
        <v>126</v>
      </c>
    </row>
    <row r="484" spans="1:2" x14ac:dyDescent="0.3">
      <c r="A484" t="s">
        <v>18</v>
      </c>
      <c r="B484">
        <v>120</v>
      </c>
    </row>
    <row r="485" spans="1:2" x14ac:dyDescent="0.3">
      <c r="A485" t="s">
        <v>18</v>
      </c>
      <c r="B485">
        <v>75</v>
      </c>
    </row>
    <row r="486" spans="1:2" x14ac:dyDescent="0.3">
      <c r="A486" t="s">
        <v>18</v>
      </c>
      <c r="B486">
        <v>77</v>
      </c>
    </row>
    <row r="487" spans="1:2" x14ac:dyDescent="0.3">
      <c r="A487" t="s">
        <v>21</v>
      </c>
      <c r="B487">
        <v>242</v>
      </c>
    </row>
    <row r="488" spans="1:2" x14ac:dyDescent="0.3">
      <c r="A488" t="s">
        <v>21</v>
      </c>
      <c r="B488">
        <v>115</v>
      </c>
    </row>
    <row r="489" spans="1:2" x14ac:dyDescent="0.3">
      <c r="A489" t="s">
        <v>21</v>
      </c>
      <c r="B489">
        <v>100</v>
      </c>
    </row>
    <row r="490" spans="1:2" x14ac:dyDescent="0.3">
      <c r="A490" t="s">
        <v>21</v>
      </c>
      <c r="B490">
        <v>150</v>
      </c>
    </row>
    <row r="491" spans="1:2" x14ac:dyDescent="0.3">
      <c r="A491" t="s">
        <v>21</v>
      </c>
      <c r="B491">
        <v>98</v>
      </c>
    </row>
    <row r="492" spans="1:2" x14ac:dyDescent="0.3">
      <c r="A492" t="s">
        <v>21</v>
      </c>
      <c r="B492">
        <v>155</v>
      </c>
    </row>
    <row r="493" spans="1:2" x14ac:dyDescent="0.3">
      <c r="A493" t="s">
        <v>21</v>
      </c>
      <c r="B493">
        <v>135</v>
      </c>
    </row>
    <row r="494" spans="1:2" x14ac:dyDescent="0.3">
      <c r="A494" t="s">
        <v>18</v>
      </c>
      <c r="B494">
        <v>160</v>
      </c>
    </row>
    <row r="495" spans="1:2" x14ac:dyDescent="0.3">
      <c r="A495" t="s">
        <v>18</v>
      </c>
      <c r="B495">
        <v>67</v>
      </c>
    </row>
    <row r="496" spans="1:2" x14ac:dyDescent="0.3">
      <c r="A496" t="s">
        <v>18</v>
      </c>
      <c r="B496">
        <v>169</v>
      </c>
    </row>
    <row r="497" spans="1:2" x14ac:dyDescent="0.3">
      <c r="A497" t="s">
        <v>18</v>
      </c>
      <c r="B497">
        <v>68</v>
      </c>
    </row>
    <row r="498" spans="1:2" x14ac:dyDescent="0.3">
      <c r="A498" t="s">
        <v>21</v>
      </c>
      <c r="B498">
        <v>155</v>
      </c>
    </row>
    <row r="499" spans="1:2" x14ac:dyDescent="0.3">
      <c r="A499" t="s">
        <v>21</v>
      </c>
      <c r="B499">
        <v>175</v>
      </c>
    </row>
    <row r="500" spans="1:2" x14ac:dyDescent="0.3">
      <c r="A500" t="s">
        <v>18</v>
      </c>
      <c r="B500">
        <v>114</v>
      </c>
    </row>
    <row r="501" spans="1:2" x14ac:dyDescent="0.3">
      <c r="A501" t="s">
        <v>21</v>
      </c>
      <c r="B501">
        <v>183</v>
      </c>
    </row>
    <row r="502" spans="1:2" x14ac:dyDescent="0.3">
      <c r="A502" t="s">
        <v>21</v>
      </c>
      <c r="B502">
        <v>125</v>
      </c>
    </row>
    <row r="503" spans="1:2" x14ac:dyDescent="0.3">
      <c r="A503" t="s">
        <v>21</v>
      </c>
      <c r="B503">
        <v>65</v>
      </c>
    </row>
    <row r="504" spans="1:2" x14ac:dyDescent="0.3">
      <c r="A504" t="s">
        <v>18</v>
      </c>
      <c r="B504">
        <v>161</v>
      </c>
    </row>
    <row r="505" spans="1:2" x14ac:dyDescent="0.3">
      <c r="A505" t="s">
        <v>21</v>
      </c>
      <c r="B505">
        <v>76</v>
      </c>
    </row>
    <row r="506" spans="1:2" x14ac:dyDescent="0.3">
      <c r="A506" t="s">
        <v>18</v>
      </c>
      <c r="B506">
        <v>175</v>
      </c>
    </row>
    <row r="507" spans="1:2" x14ac:dyDescent="0.3">
      <c r="A507" t="s">
        <v>18</v>
      </c>
      <c r="B507">
        <v>67</v>
      </c>
    </row>
    <row r="508" spans="1:2" x14ac:dyDescent="0.3">
      <c r="A508" t="s">
        <v>18</v>
      </c>
      <c r="B508">
        <v>70</v>
      </c>
    </row>
    <row r="509" spans="1:2" x14ac:dyDescent="0.3">
      <c r="A509" t="s">
        <v>18</v>
      </c>
      <c r="B509">
        <v>104</v>
      </c>
    </row>
    <row r="510" spans="1:2" x14ac:dyDescent="0.3">
      <c r="A510" t="s">
        <v>18</v>
      </c>
      <c r="B510">
        <v>59</v>
      </c>
    </row>
    <row r="511" spans="1:2" x14ac:dyDescent="0.3">
      <c r="A511" t="s">
        <v>18</v>
      </c>
      <c r="B511">
        <v>93</v>
      </c>
    </row>
    <row r="512" spans="1:2" x14ac:dyDescent="0.3">
      <c r="A512" t="s">
        <v>21</v>
      </c>
      <c r="B512">
        <v>160</v>
      </c>
    </row>
    <row r="513" spans="1:2" x14ac:dyDescent="0.3">
      <c r="A513" t="s">
        <v>21</v>
      </c>
      <c r="B513">
        <v>104</v>
      </c>
    </row>
    <row r="514" spans="1:2" x14ac:dyDescent="0.3">
      <c r="A514" t="s">
        <v>21</v>
      </c>
      <c r="B514">
        <v>116</v>
      </c>
    </row>
    <row r="515" spans="1:2" x14ac:dyDescent="0.3">
      <c r="A515" t="s">
        <v>18</v>
      </c>
      <c r="B515">
        <v>400</v>
      </c>
    </row>
    <row r="516" spans="1:2" x14ac:dyDescent="0.3">
      <c r="A516" t="s">
        <v>21</v>
      </c>
      <c r="B516">
        <v>197</v>
      </c>
    </row>
    <row r="517" spans="1:2" x14ac:dyDescent="0.3">
      <c r="A517" t="s">
        <v>18</v>
      </c>
      <c r="B517">
        <v>245</v>
      </c>
    </row>
    <row r="518" spans="1:2" x14ac:dyDescent="0.3">
      <c r="A518" t="s">
        <v>18</v>
      </c>
      <c r="B518">
        <v>168</v>
      </c>
    </row>
    <row r="519" spans="1:2" x14ac:dyDescent="0.3">
      <c r="A519" t="s">
        <v>18</v>
      </c>
      <c r="B519">
        <v>90</v>
      </c>
    </row>
    <row r="520" spans="1:2" x14ac:dyDescent="0.3">
      <c r="A520" t="s">
        <v>18</v>
      </c>
      <c r="B520">
        <v>64</v>
      </c>
    </row>
    <row r="521" spans="1:2" x14ac:dyDescent="0.3">
      <c r="A521" t="s">
        <v>21</v>
      </c>
      <c r="B521">
        <v>119</v>
      </c>
    </row>
    <row r="522" spans="1:2" x14ac:dyDescent="0.3">
      <c r="A522" t="s">
        <v>21</v>
      </c>
      <c r="B522">
        <v>90</v>
      </c>
    </row>
    <row r="523" spans="1:2" x14ac:dyDescent="0.3">
      <c r="A523" t="s">
        <v>21</v>
      </c>
      <c r="B523">
        <v>160</v>
      </c>
    </row>
    <row r="524" spans="1:2" x14ac:dyDescent="0.3">
      <c r="A524" t="s">
        <v>21</v>
      </c>
      <c r="B524">
        <v>136</v>
      </c>
    </row>
    <row r="525" spans="1:2" x14ac:dyDescent="0.3">
      <c r="A525" t="s">
        <v>18</v>
      </c>
      <c r="B525">
        <v>60</v>
      </c>
    </row>
    <row r="526" spans="1:2" x14ac:dyDescent="0.3">
      <c r="A526" t="s">
        <v>21</v>
      </c>
      <c r="B526">
        <v>300</v>
      </c>
    </row>
    <row r="527" spans="1:2" x14ac:dyDescent="0.3">
      <c r="A527" t="s">
        <v>21</v>
      </c>
      <c r="B527">
        <v>100</v>
      </c>
    </row>
    <row r="528" spans="1:2" x14ac:dyDescent="0.3">
      <c r="A528" t="s">
        <v>21</v>
      </c>
      <c r="B528">
        <v>274</v>
      </c>
    </row>
    <row r="529" spans="1:2" x14ac:dyDescent="0.3">
      <c r="A529" t="s">
        <v>21</v>
      </c>
      <c r="B529">
        <v>378</v>
      </c>
    </row>
    <row r="530" spans="1:2" x14ac:dyDescent="0.3">
      <c r="A530" t="s">
        <v>21</v>
      </c>
      <c r="B530">
        <v>199</v>
      </c>
    </row>
    <row r="531" spans="1:2" x14ac:dyDescent="0.3">
      <c r="A531" t="s">
        <v>18</v>
      </c>
      <c r="B531">
        <v>372</v>
      </c>
    </row>
    <row r="532" spans="1:2" x14ac:dyDescent="0.3">
      <c r="A532" t="s">
        <v>21</v>
      </c>
      <c r="B532">
        <v>100</v>
      </c>
    </row>
    <row r="533" spans="1:2" x14ac:dyDescent="0.3">
      <c r="A533" t="s">
        <v>21</v>
      </c>
      <c r="B533">
        <v>98</v>
      </c>
    </row>
    <row r="534" spans="1:2" x14ac:dyDescent="0.3">
      <c r="A534" t="s">
        <v>21</v>
      </c>
      <c r="B534">
        <v>188</v>
      </c>
    </row>
    <row r="535" spans="1:2" x14ac:dyDescent="0.3">
      <c r="A535" t="s">
        <v>21</v>
      </c>
      <c r="B535">
        <v>340</v>
      </c>
    </row>
    <row r="536" spans="1:2" x14ac:dyDescent="0.3">
      <c r="A536" t="s">
        <v>18</v>
      </c>
      <c r="B536">
        <v>50</v>
      </c>
    </row>
    <row r="537" spans="1:2" x14ac:dyDescent="0.3">
      <c r="A537" t="s">
        <v>18</v>
      </c>
      <c r="B537">
        <v>311</v>
      </c>
    </row>
    <row r="538" spans="1:2" x14ac:dyDescent="0.3">
      <c r="A538" t="s">
        <v>18</v>
      </c>
      <c r="B538">
        <v>126</v>
      </c>
    </row>
    <row r="539" spans="1:2" x14ac:dyDescent="0.3">
      <c r="A539" t="s">
        <v>21</v>
      </c>
      <c r="B539">
        <v>126</v>
      </c>
    </row>
    <row r="540" spans="1:2" x14ac:dyDescent="0.3">
      <c r="A540" t="s">
        <v>18</v>
      </c>
      <c r="B540">
        <v>129</v>
      </c>
    </row>
    <row r="541" spans="1:2" x14ac:dyDescent="0.3">
      <c r="A541" t="s">
        <v>21</v>
      </c>
      <c r="B541">
        <v>90</v>
      </c>
    </row>
    <row r="542" spans="1:2" x14ac:dyDescent="0.3">
      <c r="A542" t="s">
        <v>18</v>
      </c>
      <c r="B542">
        <v>79</v>
      </c>
    </row>
    <row r="543" spans="1:2" x14ac:dyDescent="0.3">
      <c r="A543" t="s">
        <v>21</v>
      </c>
      <c r="B543">
        <v>240</v>
      </c>
    </row>
    <row r="544" spans="1:2" x14ac:dyDescent="0.3">
      <c r="A544" t="s">
        <v>21</v>
      </c>
      <c r="B544">
        <v>366</v>
      </c>
    </row>
    <row r="545" spans="1:2" x14ac:dyDescent="0.3">
      <c r="A545" t="s">
        <v>18</v>
      </c>
      <c r="B545">
        <v>332</v>
      </c>
    </row>
    <row r="546" spans="1:2" x14ac:dyDescent="0.3">
      <c r="A546" t="s">
        <v>18</v>
      </c>
      <c r="B546">
        <v>262</v>
      </c>
    </row>
    <row r="547" spans="1:2" x14ac:dyDescent="0.3">
      <c r="A547" t="s">
        <v>21</v>
      </c>
      <c r="B547">
        <v>145</v>
      </c>
    </row>
    <row r="548" spans="1:2" x14ac:dyDescent="0.3">
      <c r="A548" t="s">
        <v>21</v>
      </c>
      <c r="B548">
        <v>149</v>
      </c>
    </row>
    <row r="549" spans="1:2" x14ac:dyDescent="0.3">
      <c r="A549" t="s">
        <v>21</v>
      </c>
      <c r="B549">
        <v>133</v>
      </c>
    </row>
    <row r="550" spans="1:2" x14ac:dyDescent="0.3">
      <c r="A550" t="s">
        <v>18</v>
      </c>
      <c r="B550">
        <v>50</v>
      </c>
    </row>
    <row r="551" spans="1:2" x14ac:dyDescent="0.3">
      <c r="A551" t="s">
        <v>18</v>
      </c>
      <c r="B551">
        <v>225</v>
      </c>
    </row>
    <row r="552" spans="1:2" x14ac:dyDescent="0.3">
      <c r="A552" t="s">
        <v>18</v>
      </c>
      <c r="B552">
        <v>141</v>
      </c>
    </row>
    <row r="553" spans="1:2" x14ac:dyDescent="0.3">
      <c r="A553" t="s">
        <v>18</v>
      </c>
      <c r="B553">
        <v>86</v>
      </c>
    </row>
    <row r="554" spans="1:2" x14ac:dyDescent="0.3">
      <c r="A554" t="s">
        <v>18</v>
      </c>
      <c r="B554">
        <v>92</v>
      </c>
    </row>
    <row r="555" spans="1:2" x14ac:dyDescent="0.3">
      <c r="A555" t="s">
        <v>21</v>
      </c>
      <c r="B555">
        <v>90</v>
      </c>
    </row>
    <row r="556" spans="1:2" x14ac:dyDescent="0.3">
      <c r="A556" t="s">
        <v>18</v>
      </c>
      <c r="B556">
        <v>207</v>
      </c>
    </row>
    <row r="557" spans="1:2" x14ac:dyDescent="0.3">
      <c r="A557" t="s">
        <v>18</v>
      </c>
      <c r="B557">
        <v>263</v>
      </c>
    </row>
    <row r="558" spans="1:2" x14ac:dyDescent="0.3">
      <c r="A558" t="s">
        <v>21</v>
      </c>
      <c r="B558">
        <v>170</v>
      </c>
    </row>
    <row r="559" spans="1:2" x14ac:dyDescent="0.3">
      <c r="A559" t="s">
        <v>21</v>
      </c>
      <c r="B559">
        <v>215</v>
      </c>
    </row>
    <row r="560" spans="1:2" x14ac:dyDescent="0.3">
      <c r="A560" t="s">
        <v>21</v>
      </c>
      <c r="B560">
        <v>100</v>
      </c>
    </row>
    <row r="561" spans="1:2" x14ac:dyDescent="0.3">
      <c r="A561" t="s">
        <v>18</v>
      </c>
      <c r="B561">
        <v>134</v>
      </c>
    </row>
    <row r="562" spans="1:2" x14ac:dyDescent="0.3">
      <c r="A562" t="s">
        <v>18</v>
      </c>
      <c r="B562">
        <v>60</v>
      </c>
    </row>
    <row r="563" spans="1:2" x14ac:dyDescent="0.3">
      <c r="A563" t="s">
        <v>21</v>
      </c>
      <c r="B563">
        <v>110</v>
      </c>
    </row>
    <row r="564" spans="1:2" x14ac:dyDescent="0.3">
      <c r="A564" t="s">
        <v>21</v>
      </c>
      <c r="B564">
        <v>159</v>
      </c>
    </row>
    <row r="565" spans="1:2" x14ac:dyDescent="0.3">
      <c r="A565" t="s">
        <v>21</v>
      </c>
      <c r="B565">
        <v>114</v>
      </c>
    </row>
    <row r="566" spans="1:2" x14ac:dyDescent="0.3">
      <c r="A566" t="s">
        <v>21</v>
      </c>
      <c r="B566">
        <v>159</v>
      </c>
    </row>
    <row r="567" spans="1:2" x14ac:dyDescent="0.3">
      <c r="A567" t="s">
        <v>18</v>
      </c>
      <c r="B567">
        <v>90</v>
      </c>
    </row>
    <row r="568" spans="1:2" x14ac:dyDescent="0.3">
      <c r="A568" t="s">
        <v>21</v>
      </c>
      <c r="B568">
        <v>71</v>
      </c>
    </row>
    <row r="569" spans="1:2" x14ac:dyDescent="0.3">
      <c r="A569" t="s">
        <v>18</v>
      </c>
      <c r="B569">
        <v>68</v>
      </c>
    </row>
    <row r="570" spans="1:2" x14ac:dyDescent="0.3">
      <c r="A570" t="s">
        <v>21</v>
      </c>
      <c r="B570">
        <v>102</v>
      </c>
    </row>
    <row r="571" spans="1:2" x14ac:dyDescent="0.3">
      <c r="A571" t="s">
        <v>18</v>
      </c>
      <c r="B571">
        <v>59</v>
      </c>
    </row>
    <row r="572" spans="1:2" x14ac:dyDescent="0.3">
      <c r="A572" t="s">
        <v>18</v>
      </c>
      <c r="B572">
        <v>207</v>
      </c>
    </row>
    <row r="573" spans="1:2" x14ac:dyDescent="0.3">
      <c r="A573" t="s">
        <v>18</v>
      </c>
      <c r="B573">
        <v>83</v>
      </c>
    </row>
    <row r="574" spans="1:2" x14ac:dyDescent="0.3">
      <c r="A574" t="s">
        <v>18</v>
      </c>
      <c r="B574">
        <v>184</v>
      </c>
    </row>
    <row r="575" spans="1:2" x14ac:dyDescent="0.3">
      <c r="A575" t="s">
        <v>21</v>
      </c>
      <c r="B575">
        <v>112</v>
      </c>
    </row>
    <row r="576" spans="1:2" x14ac:dyDescent="0.3">
      <c r="A576" t="s">
        <v>18</v>
      </c>
      <c r="B576">
        <v>98</v>
      </c>
    </row>
    <row r="577" spans="1:2" x14ac:dyDescent="0.3">
      <c r="A577" t="s">
        <v>18</v>
      </c>
      <c r="B577">
        <v>207</v>
      </c>
    </row>
    <row r="578" spans="1:2" x14ac:dyDescent="0.3">
      <c r="A578" t="s">
        <v>21</v>
      </c>
      <c r="B578">
        <v>155</v>
      </c>
    </row>
    <row r="579" spans="1:2" x14ac:dyDescent="0.3">
      <c r="A579" t="s">
        <v>18</v>
      </c>
      <c r="B579">
        <v>170</v>
      </c>
    </row>
    <row r="580" spans="1:2" x14ac:dyDescent="0.3">
      <c r="A580" t="s">
        <v>21</v>
      </c>
      <c r="B580">
        <v>240</v>
      </c>
    </row>
    <row r="581" spans="1:2" x14ac:dyDescent="0.3">
      <c r="A581" t="s">
        <v>21</v>
      </c>
      <c r="B581">
        <v>75</v>
      </c>
    </row>
    <row r="582" spans="1:2" x14ac:dyDescent="0.3">
      <c r="A582" t="s">
        <v>21</v>
      </c>
      <c r="B582">
        <v>420</v>
      </c>
    </row>
    <row r="583" spans="1:2" x14ac:dyDescent="0.3">
      <c r="A583" t="s">
        <v>21</v>
      </c>
      <c r="B583">
        <v>173</v>
      </c>
    </row>
    <row r="584" spans="1:2" x14ac:dyDescent="0.3">
      <c r="A584" t="s">
        <v>21</v>
      </c>
      <c r="B584">
        <v>85</v>
      </c>
    </row>
    <row r="585" spans="1:2" x14ac:dyDescent="0.3">
      <c r="A585" t="s">
        <v>21</v>
      </c>
      <c r="B585">
        <v>403</v>
      </c>
    </row>
    <row r="586" spans="1:2" x14ac:dyDescent="0.3">
      <c r="A586" t="s">
        <v>18</v>
      </c>
      <c r="B586">
        <v>87</v>
      </c>
    </row>
    <row r="587" spans="1:2" x14ac:dyDescent="0.3">
      <c r="A587" t="s">
        <v>21</v>
      </c>
      <c r="B587">
        <v>210</v>
      </c>
    </row>
    <row r="588" spans="1:2" x14ac:dyDescent="0.3">
      <c r="A588" t="s">
        <v>18</v>
      </c>
      <c r="B588">
        <v>149</v>
      </c>
    </row>
    <row r="589" spans="1:2" x14ac:dyDescent="0.3">
      <c r="A589" t="s">
        <v>18</v>
      </c>
      <c r="B589">
        <v>78</v>
      </c>
    </row>
    <row r="590" spans="1:2" x14ac:dyDescent="0.3">
      <c r="A590" t="s">
        <v>21</v>
      </c>
      <c r="B590">
        <v>305</v>
      </c>
    </row>
    <row r="591" spans="1:2" x14ac:dyDescent="0.3">
      <c r="A591" t="s">
        <v>18</v>
      </c>
      <c r="B591">
        <v>55</v>
      </c>
    </row>
    <row r="592" spans="1:2" x14ac:dyDescent="0.3">
      <c r="A592" t="s">
        <v>18</v>
      </c>
      <c r="B592">
        <v>60</v>
      </c>
    </row>
    <row r="593" spans="1:2" x14ac:dyDescent="0.3">
      <c r="A593" t="s">
        <v>18</v>
      </c>
      <c r="B593">
        <v>57</v>
      </c>
    </row>
    <row r="594" spans="1:2" x14ac:dyDescent="0.3">
      <c r="A594" t="s">
        <v>18</v>
      </c>
      <c r="B594">
        <v>58</v>
      </c>
    </row>
    <row r="595" spans="1:2" x14ac:dyDescent="0.3">
      <c r="A595" t="s">
        <v>21</v>
      </c>
      <c r="B595">
        <v>105</v>
      </c>
    </row>
    <row r="596" spans="1:2" x14ac:dyDescent="0.3">
      <c r="A596" t="s">
        <v>18</v>
      </c>
      <c r="B596">
        <v>288</v>
      </c>
    </row>
    <row r="597" spans="1:2" x14ac:dyDescent="0.3">
      <c r="A597" t="s">
        <v>21</v>
      </c>
      <c r="B597">
        <v>269</v>
      </c>
    </row>
    <row r="598" spans="1:2" x14ac:dyDescent="0.3">
      <c r="A598" t="s">
        <v>21</v>
      </c>
      <c r="B598">
        <v>120</v>
      </c>
    </row>
    <row r="599" spans="1:2" x14ac:dyDescent="0.3">
      <c r="A599" t="s">
        <v>18</v>
      </c>
      <c r="B599">
        <v>243</v>
      </c>
    </row>
    <row r="600" spans="1:2" x14ac:dyDescent="0.3">
      <c r="A600" t="s">
        <v>21</v>
      </c>
      <c r="B600">
        <v>132</v>
      </c>
    </row>
    <row r="601" spans="1:2" x14ac:dyDescent="0.3">
      <c r="A601" t="s">
        <v>21</v>
      </c>
      <c r="B601">
        <v>188</v>
      </c>
    </row>
    <row r="602" spans="1:2" x14ac:dyDescent="0.3">
      <c r="A602" t="s">
        <v>21</v>
      </c>
      <c r="B602">
        <v>99</v>
      </c>
    </row>
    <row r="603" spans="1:2" x14ac:dyDescent="0.3">
      <c r="A603" t="s">
        <v>18</v>
      </c>
      <c r="B603">
        <v>55</v>
      </c>
    </row>
    <row r="604" spans="1:2" x14ac:dyDescent="0.3">
      <c r="A604" t="s">
        <v>18</v>
      </c>
      <c r="B604">
        <v>55</v>
      </c>
    </row>
    <row r="605" spans="1:2" x14ac:dyDescent="0.3">
      <c r="A605" t="s">
        <v>21</v>
      </c>
      <c r="B605">
        <v>115</v>
      </c>
    </row>
    <row r="606" spans="1:2" x14ac:dyDescent="0.3">
      <c r="A606" t="s">
        <v>21</v>
      </c>
      <c r="B606">
        <v>150</v>
      </c>
    </row>
    <row r="607" spans="1:2" x14ac:dyDescent="0.3">
      <c r="A607" t="s">
        <v>21</v>
      </c>
      <c r="B607">
        <v>194</v>
      </c>
    </row>
    <row r="608" spans="1:2" x14ac:dyDescent="0.3">
      <c r="A608" t="s">
        <v>21</v>
      </c>
      <c r="B608">
        <v>101</v>
      </c>
    </row>
    <row r="609" spans="1:2" x14ac:dyDescent="0.3">
      <c r="A609" t="s">
        <v>21</v>
      </c>
      <c r="B609">
        <v>260</v>
      </c>
    </row>
    <row r="610" spans="1:2" x14ac:dyDescent="0.3">
      <c r="A610" t="s">
        <v>21</v>
      </c>
      <c r="B610">
        <v>233</v>
      </c>
    </row>
    <row r="611" spans="1:2" x14ac:dyDescent="0.3">
      <c r="A611" t="s">
        <v>21</v>
      </c>
      <c r="B611">
        <v>88</v>
      </c>
    </row>
    <row r="612" spans="1:2" x14ac:dyDescent="0.3">
      <c r="A612" t="s">
        <v>21</v>
      </c>
      <c r="B612">
        <v>140</v>
      </c>
    </row>
    <row r="613" spans="1:2" x14ac:dyDescent="0.3">
      <c r="A613" t="s">
        <v>21</v>
      </c>
      <c r="B613">
        <v>116</v>
      </c>
    </row>
    <row r="614" spans="1:2" x14ac:dyDescent="0.3">
      <c r="A614" t="s">
        <v>18</v>
      </c>
      <c r="B614">
        <v>69</v>
      </c>
    </row>
    <row r="615" spans="1:2" x14ac:dyDescent="0.3">
      <c r="A615" t="s">
        <v>18</v>
      </c>
      <c r="B615">
        <v>99</v>
      </c>
    </row>
    <row r="616" spans="1:2" x14ac:dyDescent="0.3">
      <c r="A616" t="s">
        <v>18</v>
      </c>
      <c r="B616">
        <v>71</v>
      </c>
    </row>
    <row r="617" spans="1:2" x14ac:dyDescent="0.3">
      <c r="A617" t="s">
        <v>18</v>
      </c>
      <c r="B617">
        <v>143</v>
      </c>
    </row>
    <row r="618" spans="1:2" x14ac:dyDescent="0.3">
      <c r="A618" t="s">
        <v>21</v>
      </c>
      <c r="B618">
        <v>84</v>
      </c>
    </row>
    <row r="619" spans="1:2" x14ac:dyDescent="0.3">
      <c r="A619" t="s">
        <v>21</v>
      </c>
      <c r="B619">
        <v>141</v>
      </c>
    </row>
    <row r="620" spans="1:2" x14ac:dyDescent="0.3">
      <c r="A620" t="s">
        <v>21</v>
      </c>
      <c r="B620">
        <v>106</v>
      </c>
    </row>
    <row r="621" spans="1:2" x14ac:dyDescent="0.3">
      <c r="A621" t="s">
        <v>21</v>
      </c>
      <c r="B621">
        <v>323</v>
      </c>
    </row>
    <row r="622" spans="1:2" x14ac:dyDescent="0.3">
      <c r="A622" t="s">
        <v>21</v>
      </c>
      <c r="B622">
        <v>100</v>
      </c>
    </row>
    <row r="623" spans="1:2" x14ac:dyDescent="0.3">
      <c r="A623" t="s">
        <v>21</v>
      </c>
      <c r="B623">
        <v>342</v>
      </c>
    </row>
    <row r="624" spans="1:2" x14ac:dyDescent="0.3">
      <c r="A624" t="s">
        <v>21</v>
      </c>
      <c r="B624">
        <v>262</v>
      </c>
    </row>
    <row r="625" spans="1:2" x14ac:dyDescent="0.3">
      <c r="A625" t="s">
        <v>21</v>
      </c>
      <c r="B625">
        <v>268</v>
      </c>
    </row>
    <row r="626" spans="1:2" x14ac:dyDescent="0.3">
      <c r="A626" t="s">
        <v>18</v>
      </c>
      <c r="B626">
        <v>61</v>
      </c>
    </row>
    <row r="627" spans="1:2" x14ac:dyDescent="0.3">
      <c r="A627" t="s">
        <v>21</v>
      </c>
      <c r="B627">
        <v>275</v>
      </c>
    </row>
    <row r="628" spans="1:2" x14ac:dyDescent="0.3">
      <c r="A628" t="s">
        <v>21</v>
      </c>
      <c r="B628">
        <v>120</v>
      </c>
    </row>
    <row r="629" spans="1:2" x14ac:dyDescent="0.3">
      <c r="A629" t="s">
        <v>18</v>
      </c>
      <c r="B629">
        <v>58</v>
      </c>
    </row>
    <row r="630" spans="1:2" x14ac:dyDescent="0.3">
      <c r="A630" t="s">
        <v>21</v>
      </c>
      <c r="B630">
        <v>286</v>
      </c>
    </row>
    <row r="631" spans="1:2" x14ac:dyDescent="0.3">
      <c r="A631" t="s">
        <v>21</v>
      </c>
      <c r="B631">
        <v>120</v>
      </c>
    </row>
    <row r="632" spans="1:2" x14ac:dyDescent="0.3">
      <c r="A632" t="s">
        <v>21</v>
      </c>
      <c r="B632">
        <v>222</v>
      </c>
    </row>
    <row r="633" spans="1:2" x14ac:dyDescent="0.3">
      <c r="A633" t="s">
        <v>21</v>
      </c>
      <c r="B633">
        <v>171</v>
      </c>
    </row>
    <row r="634" spans="1:2" x14ac:dyDescent="0.3">
      <c r="A634" t="s">
        <v>18</v>
      </c>
      <c r="B634">
        <v>97</v>
      </c>
    </row>
    <row r="635" spans="1:2" x14ac:dyDescent="0.3">
      <c r="A635" t="s">
        <v>21</v>
      </c>
      <c r="B635">
        <v>159</v>
      </c>
    </row>
    <row r="636" spans="1:2" x14ac:dyDescent="0.3">
      <c r="A636" t="s">
        <v>21</v>
      </c>
      <c r="B636">
        <v>79</v>
      </c>
    </row>
    <row r="637" spans="1:2" x14ac:dyDescent="0.3">
      <c r="A637" t="s">
        <v>18</v>
      </c>
      <c r="B637">
        <v>50</v>
      </c>
    </row>
    <row r="638" spans="1:2" x14ac:dyDescent="0.3">
      <c r="A638" t="s">
        <v>18</v>
      </c>
      <c r="B638">
        <v>78</v>
      </c>
    </row>
    <row r="639" spans="1:2" x14ac:dyDescent="0.3">
      <c r="A639" t="s">
        <v>18</v>
      </c>
      <c r="B639">
        <v>94</v>
      </c>
    </row>
    <row r="640" spans="1:2" x14ac:dyDescent="0.3">
      <c r="A640" t="s">
        <v>21</v>
      </c>
      <c r="B640">
        <v>300</v>
      </c>
    </row>
    <row r="641" spans="1:2" x14ac:dyDescent="0.3">
      <c r="A641" t="s">
        <v>18</v>
      </c>
      <c r="B641">
        <v>90</v>
      </c>
    </row>
    <row r="642" spans="1:2" x14ac:dyDescent="0.3">
      <c r="A642" t="s">
        <v>18</v>
      </c>
      <c r="B642">
        <v>55</v>
      </c>
    </row>
    <row r="643" spans="1:2" x14ac:dyDescent="0.3">
      <c r="A643" t="s">
        <v>18</v>
      </c>
      <c r="B643">
        <v>89</v>
      </c>
    </row>
    <row r="644" spans="1:2" x14ac:dyDescent="0.3">
      <c r="A644" t="s">
        <v>18</v>
      </c>
      <c r="B644">
        <v>65</v>
      </c>
    </row>
    <row r="645" spans="1:2" x14ac:dyDescent="0.3">
      <c r="A645" t="s">
        <v>18</v>
      </c>
      <c r="B645">
        <v>58</v>
      </c>
    </row>
    <row r="646" spans="1:2" x14ac:dyDescent="0.3">
      <c r="A646" t="s">
        <v>21</v>
      </c>
      <c r="B646">
        <v>98</v>
      </c>
    </row>
    <row r="647" spans="1:2" x14ac:dyDescent="0.3">
      <c r="A647" t="s">
        <v>18</v>
      </c>
      <c r="B647">
        <v>90</v>
      </c>
    </row>
    <row r="648" spans="1:2" x14ac:dyDescent="0.3">
      <c r="A648" t="s">
        <v>21</v>
      </c>
      <c r="B648">
        <v>180</v>
      </c>
    </row>
    <row r="649" spans="1:2" x14ac:dyDescent="0.3">
      <c r="A649" t="s">
        <v>21</v>
      </c>
      <c r="B649">
        <v>276</v>
      </c>
    </row>
    <row r="650" spans="1:2" x14ac:dyDescent="0.3">
      <c r="A650" t="s">
        <v>18</v>
      </c>
      <c r="B650">
        <v>52</v>
      </c>
    </row>
    <row r="651" spans="1:2" x14ac:dyDescent="0.3">
      <c r="A651" t="s">
        <v>18</v>
      </c>
      <c r="B651">
        <v>84</v>
      </c>
    </row>
    <row r="652" spans="1:2" x14ac:dyDescent="0.3">
      <c r="A652" t="s">
        <v>21</v>
      </c>
      <c r="B652">
        <v>132</v>
      </c>
    </row>
    <row r="653" spans="1:2" x14ac:dyDescent="0.3">
      <c r="A653" t="s">
        <v>21</v>
      </c>
      <c r="B653">
        <v>215</v>
      </c>
    </row>
    <row r="654" spans="1:2" x14ac:dyDescent="0.3">
      <c r="A654" t="s">
        <v>21</v>
      </c>
      <c r="B654">
        <v>96</v>
      </c>
    </row>
    <row r="655" spans="1:2" x14ac:dyDescent="0.3">
      <c r="A655" t="s">
        <v>21</v>
      </c>
      <c r="B655">
        <v>405</v>
      </c>
    </row>
    <row r="656" spans="1:2" x14ac:dyDescent="0.3">
      <c r="A656" t="s">
        <v>21</v>
      </c>
      <c r="B656">
        <v>143</v>
      </c>
    </row>
    <row r="657" spans="1:2" x14ac:dyDescent="0.3">
      <c r="A657" t="s">
        <v>21</v>
      </c>
      <c r="B657">
        <v>120</v>
      </c>
    </row>
    <row r="658" spans="1:2" x14ac:dyDescent="0.3">
      <c r="A658" t="s">
        <v>18</v>
      </c>
      <c r="B658">
        <v>89</v>
      </c>
    </row>
    <row r="659" spans="1:2" x14ac:dyDescent="0.3">
      <c r="A659" t="s">
        <v>18</v>
      </c>
      <c r="B659">
        <v>280</v>
      </c>
    </row>
    <row r="660" spans="1:2" x14ac:dyDescent="0.3">
      <c r="A660" t="s">
        <v>18</v>
      </c>
      <c r="B660">
        <v>50</v>
      </c>
    </row>
    <row r="661" spans="1:2" x14ac:dyDescent="0.3">
      <c r="A661" t="s">
        <v>21</v>
      </c>
      <c r="B661">
        <v>130</v>
      </c>
    </row>
    <row r="662" spans="1:2" x14ac:dyDescent="0.3">
      <c r="A662" t="s">
        <v>21</v>
      </c>
      <c r="B662">
        <v>204</v>
      </c>
    </row>
    <row r="663" spans="1:2" x14ac:dyDescent="0.3">
      <c r="A663" t="s">
        <v>18</v>
      </c>
      <c r="B663">
        <v>291</v>
      </c>
    </row>
    <row r="664" spans="1:2" x14ac:dyDescent="0.3">
      <c r="A664" t="s">
        <v>21</v>
      </c>
      <c r="B664">
        <v>110</v>
      </c>
    </row>
    <row r="665" spans="1:2" x14ac:dyDescent="0.3">
      <c r="A665" t="s">
        <v>21</v>
      </c>
      <c r="B665">
        <v>221</v>
      </c>
    </row>
    <row r="666" spans="1:2" x14ac:dyDescent="0.3">
      <c r="A666" t="s">
        <v>18</v>
      </c>
      <c r="B666">
        <v>169</v>
      </c>
    </row>
    <row r="667" spans="1:2" x14ac:dyDescent="0.3">
      <c r="A667" t="s">
        <v>21</v>
      </c>
      <c r="B667">
        <v>132</v>
      </c>
    </row>
    <row r="668" spans="1:2" x14ac:dyDescent="0.3">
      <c r="A668" t="s">
        <v>21</v>
      </c>
      <c r="B668">
        <v>100</v>
      </c>
    </row>
    <row r="669" spans="1:2" x14ac:dyDescent="0.3">
      <c r="A669" t="s">
        <v>18</v>
      </c>
      <c r="B669">
        <v>55</v>
      </c>
    </row>
    <row r="670" spans="1:2" x14ac:dyDescent="0.3">
      <c r="A670" t="s">
        <v>21</v>
      </c>
      <c r="B670">
        <v>149</v>
      </c>
    </row>
    <row r="671" spans="1:2" x14ac:dyDescent="0.3">
      <c r="A671" t="s">
        <v>21</v>
      </c>
      <c r="B671">
        <v>126</v>
      </c>
    </row>
    <row r="672" spans="1:2" x14ac:dyDescent="0.3">
      <c r="A672" t="s">
        <v>18</v>
      </c>
      <c r="B672">
        <v>80</v>
      </c>
    </row>
    <row r="673" spans="1:2" x14ac:dyDescent="0.3">
      <c r="A673" t="s">
        <v>18</v>
      </c>
      <c r="B673">
        <v>70</v>
      </c>
    </row>
    <row r="674" spans="1:2" x14ac:dyDescent="0.3">
      <c r="A674" t="s">
        <v>21</v>
      </c>
      <c r="B674">
        <v>158</v>
      </c>
    </row>
    <row r="675" spans="1:2" x14ac:dyDescent="0.3">
      <c r="A675" t="s">
        <v>21</v>
      </c>
      <c r="B675">
        <v>71</v>
      </c>
    </row>
    <row r="676" spans="1:2" x14ac:dyDescent="0.3">
      <c r="A676" t="s">
        <v>21</v>
      </c>
      <c r="B676">
        <v>120</v>
      </c>
    </row>
    <row r="677" spans="1:2" x14ac:dyDescent="0.3">
      <c r="A677" t="s">
        <v>18</v>
      </c>
      <c r="B677">
        <v>86</v>
      </c>
    </row>
    <row r="678" spans="1:2" x14ac:dyDescent="0.3">
      <c r="A678" t="s">
        <v>18</v>
      </c>
      <c r="B678">
        <v>130</v>
      </c>
    </row>
    <row r="679" spans="1:2" x14ac:dyDescent="0.3">
      <c r="A679" t="s">
        <v>18</v>
      </c>
      <c r="B679">
        <v>57</v>
      </c>
    </row>
    <row r="680" spans="1:2" x14ac:dyDescent="0.3">
      <c r="A680" t="s">
        <v>21</v>
      </c>
      <c r="B680">
        <v>155</v>
      </c>
    </row>
    <row r="681" spans="1:2" x14ac:dyDescent="0.3">
      <c r="A681" t="s">
        <v>21</v>
      </c>
      <c r="B681">
        <v>342</v>
      </c>
    </row>
    <row r="682" spans="1:2" x14ac:dyDescent="0.3">
      <c r="A682" t="s">
        <v>18</v>
      </c>
      <c r="B682">
        <v>60</v>
      </c>
    </row>
    <row r="683" spans="1:2" x14ac:dyDescent="0.3">
      <c r="A683" t="s">
        <v>18</v>
      </c>
      <c r="B683">
        <v>137</v>
      </c>
    </row>
    <row r="684" spans="1:2" x14ac:dyDescent="0.3">
      <c r="A684" t="s">
        <v>18</v>
      </c>
      <c r="B684">
        <v>229</v>
      </c>
    </row>
    <row r="685" spans="1:2" x14ac:dyDescent="0.3">
      <c r="A685" t="s">
        <v>21</v>
      </c>
      <c r="B685">
        <v>403</v>
      </c>
    </row>
    <row r="686" spans="1:2" x14ac:dyDescent="0.3">
      <c r="A686" t="s">
        <v>18</v>
      </c>
      <c r="B686">
        <v>68</v>
      </c>
    </row>
    <row r="687" spans="1:2" x14ac:dyDescent="0.3">
      <c r="A687" t="s">
        <v>21</v>
      </c>
      <c r="B687">
        <v>115</v>
      </c>
    </row>
    <row r="688" spans="1:2" x14ac:dyDescent="0.3">
      <c r="A688" t="s">
        <v>21</v>
      </c>
      <c r="B688">
        <v>130</v>
      </c>
    </row>
    <row r="689" spans="1:2" x14ac:dyDescent="0.3">
      <c r="A689" t="s">
        <v>21</v>
      </c>
      <c r="B689">
        <v>272</v>
      </c>
    </row>
    <row r="690" spans="1:2" x14ac:dyDescent="0.3">
      <c r="A690" t="s">
        <v>18</v>
      </c>
      <c r="B690">
        <v>286</v>
      </c>
    </row>
    <row r="691" spans="1:2" x14ac:dyDescent="0.3">
      <c r="A691" t="s">
        <v>18</v>
      </c>
      <c r="B691">
        <v>238</v>
      </c>
    </row>
    <row r="692" spans="1:2" x14ac:dyDescent="0.3">
      <c r="A692" t="s">
        <v>21</v>
      </c>
      <c r="B692">
        <v>272</v>
      </c>
    </row>
    <row r="693" spans="1:2" x14ac:dyDescent="0.3">
      <c r="A693" t="s">
        <v>21</v>
      </c>
      <c r="B693">
        <v>100</v>
      </c>
    </row>
    <row r="694" spans="1:2" x14ac:dyDescent="0.3">
      <c r="A694" t="s">
        <v>21</v>
      </c>
      <c r="B694">
        <v>380</v>
      </c>
    </row>
    <row r="695" spans="1:2" x14ac:dyDescent="0.3">
      <c r="A695" t="s">
        <v>21</v>
      </c>
      <c r="B695">
        <v>92</v>
      </c>
    </row>
    <row r="696" spans="1:2" x14ac:dyDescent="0.3">
      <c r="A696" t="s">
        <v>21</v>
      </c>
      <c r="B696">
        <v>155</v>
      </c>
    </row>
    <row r="697" spans="1:2" x14ac:dyDescent="0.3">
      <c r="A697" t="s">
        <v>18</v>
      </c>
      <c r="B697">
        <v>84</v>
      </c>
    </row>
    <row r="698" spans="1:2" x14ac:dyDescent="0.3">
      <c r="A698" t="s">
        <v>21</v>
      </c>
      <c r="B698">
        <v>245</v>
      </c>
    </row>
    <row r="699" spans="1:2" x14ac:dyDescent="0.3">
      <c r="A699" t="s">
        <v>21</v>
      </c>
      <c r="B699">
        <v>150</v>
      </c>
    </row>
    <row r="700" spans="1:2" x14ac:dyDescent="0.3">
      <c r="A700" t="s">
        <v>18</v>
      </c>
      <c r="B700">
        <v>60</v>
      </c>
    </row>
    <row r="701" spans="1:2" x14ac:dyDescent="0.3">
      <c r="A701" t="s">
        <v>21</v>
      </c>
      <c r="B701">
        <v>148</v>
      </c>
    </row>
    <row r="702" spans="1:2" x14ac:dyDescent="0.3">
      <c r="A702" t="s">
        <v>18</v>
      </c>
      <c r="B702">
        <v>363</v>
      </c>
    </row>
    <row r="703" spans="1:2" x14ac:dyDescent="0.3">
      <c r="A703" t="s">
        <v>21</v>
      </c>
      <c r="B703">
        <v>160</v>
      </c>
    </row>
    <row r="704" spans="1:2" x14ac:dyDescent="0.3">
      <c r="A704" t="s">
        <v>18</v>
      </c>
      <c r="B704">
        <v>57</v>
      </c>
    </row>
    <row r="705" spans="1:2" x14ac:dyDescent="0.3">
      <c r="A705" t="s">
        <v>18</v>
      </c>
      <c r="B705">
        <v>80</v>
      </c>
    </row>
    <row r="706" spans="1:2" x14ac:dyDescent="0.3">
      <c r="A706" t="s">
        <v>21</v>
      </c>
      <c r="B706">
        <v>125</v>
      </c>
    </row>
    <row r="707" spans="1:2" x14ac:dyDescent="0.3">
      <c r="A707" t="s">
        <v>21</v>
      </c>
      <c r="B707">
        <v>79</v>
      </c>
    </row>
    <row r="708" spans="1:2" x14ac:dyDescent="0.3">
      <c r="A708" t="s">
        <v>18</v>
      </c>
      <c r="B708">
        <v>67</v>
      </c>
    </row>
    <row r="709" spans="1:2" x14ac:dyDescent="0.3">
      <c r="A709" t="s">
        <v>21</v>
      </c>
      <c r="B709">
        <v>135</v>
      </c>
    </row>
    <row r="710" spans="1:2" x14ac:dyDescent="0.3">
      <c r="A710" t="s">
        <v>21</v>
      </c>
      <c r="B710">
        <v>119</v>
      </c>
    </row>
    <row r="711" spans="1:2" x14ac:dyDescent="0.3">
      <c r="A711" t="s">
        <v>21</v>
      </c>
      <c r="B711">
        <v>378</v>
      </c>
    </row>
    <row r="712" spans="1:2" x14ac:dyDescent="0.3">
      <c r="A712" t="s">
        <v>21</v>
      </c>
      <c r="B712">
        <v>322</v>
      </c>
    </row>
    <row r="713" spans="1:2" x14ac:dyDescent="0.3">
      <c r="A713" t="s">
        <v>21</v>
      </c>
      <c r="B713">
        <v>268</v>
      </c>
    </row>
    <row r="714" spans="1:2" x14ac:dyDescent="0.3">
      <c r="A714" t="s">
        <v>18</v>
      </c>
      <c r="B714">
        <v>85</v>
      </c>
    </row>
    <row r="715" spans="1:2" x14ac:dyDescent="0.3">
      <c r="A715" t="s">
        <v>21</v>
      </c>
      <c r="B715">
        <v>115</v>
      </c>
    </row>
    <row r="716" spans="1:2" x14ac:dyDescent="0.3">
      <c r="A716" t="s">
        <v>18</v>
      </c>
      <c r="B716">
        <v>51</v>
      </c>
    </row>
    <row r="717" spans="1:2" x14ac:dyDescent="0.3">
      <c r="A717" t="s">
        <v>18</v>
      </c>
      <c r="B717">
        <v>127</v>
      </c>
    </row>
    <row r="718" spans="1:2" x14ac:dyDescent="0.3">
      <c r="A718" t="s">
        <v>21</v>
      </c>
      <c r="B718">
        <v>175</v>
      </c>
    </row>
    <row r="719" spans="1:2" x14ac:dyDescent="0.3">
      <c r="A719" t="s">
        <v>21</v>
      </c>
      <c r="B719">
        <v>227</v>
      </c>
    </row>
    <row r="720" spans="1:2" x14ac:dyDescent="0.3">
      <c r="A720" t="s">
        <v>21</v>
      </c>
      <c r="B720">
        <v>222</v>
      </c>
    </row>
    <row r="721" spans="1:2" x14ac:dyDescent="0.3">
      <c r="A721" t="s">
        <v>18</v>
      </c>
      <c r="B721">
        <v>54</v>
      </c>
    </row>
    <row r="722" spans="1:2" x14ac:dyDescent="0.3">
      <c r="A722" t="s">
        <v>18</v>
      </c>
      <c r="B722">
        <v>85</v>
      </c>
    </row>
    <row r="723" spans="1:2" x14ac:dyDescent="0.3">
      <c r="A723" t="s">
        <v>21</v>
      </c>
      <c r="B723">
        <v>110</v>
      </c>
    </row>
    <row r="724" spans="1:2" x14ac:dyDescent="0.3">
      <c r="A724" t="s">
        <v>21</v>
      </c>
      <c r="B724">
        <v>192</v>
      </c>
    </row>
    <row r="725" spans="1:2" x14ac:dyDescent="0.3">
      <c r="A725" t="s">
        <v>21</v>
      </c>
      <c r="B725">
        <v>118</v>
      </c>
    </row>
    <row r="726" spans="1:2" x14ac:dyDescent="0.3">
      <c r="A726" t="s">
        <v>21</v>
      </c>
      <c r="B726">
        <v>264</v>
      </c>
    </row>
    <row r="727" spans="1:2" x14ac:dyDescent="0.3">
      <c r="A727" t="s">
        <v>21</v>
      </c>
      <c r="B727">
        <v>53</v>
      </c>
    </row>
    <row r="728" spans="1:2" x14ac:dyDescent="0.3">
      <c r="A728" t="s">
        <v>18</v>
      </c>
      <c r="B728">
        <v>412</v>
      </c>
    </row>
    <row r="729" spans="1:2" x14ac:dyDescent="0.3">
      <c r="A729" t="s">
        <v>21</v>
      </c>
      <c r="B729">
        <v>150</v>
      </c>
    </row>
    <row r="730" spans="1:2" x14ac:dyDescent="0.3">
      <c r="A730" t="s">
        <v>21</v>
      </c>
      <c r="B730">
        <v>99</v>
      </c>
    </row>
    <row r="731" spans="1:2" x14ac:dyDescent="0.3">
      <c r="A731" t="s">
        <v>21</v>
      </c>
      <c r="B731">
        <v>131</v>
      </c>
    </row>
    <row r="732" spans="1:2" x14ac:dyDescent="0.3">
      <c r="A732" t="s">
        <v>21</v>
      </c>
      <c r="B732">
        <v>296</v>
      </c>
    </row>
    <row r="733" spans="1:2" x14ac:dyDescent="0.3">
      <c r="A733" t="s">
        <v>21</v>
      </c>
      <c r="B733">
        <v>109</v>
      </c>
    </row>
    <row r="734" spans="1:2" x14ac:dyDescent="0.3">
      <c r="A734" t="s">
        <v>21</v>
      </c>
      <c r="B734">
        <v>175</v>
      </c>
    </row>
    <row r="735" spans="1:2" x14ac:dyDescent="0.3">
      <c r="A735" t="s">
        <v>21</v>
      </c>
      <c r="B735">
        <v>240</v>
      </c>
    </row>
    <row r="736" spans="1:2" x14ac:dyDescent="0.3">
      <c r="A736" t="s">
        <v>18</v>
      </c>
      <c r="B736">
        <v>77</v>
      </c>
    </row>
    <row r="737" spans="1:2" x14ac:dyDescent="0.3">
      <c r="A737" t="s">
        <v>18</v>
      </c>
      <c r="B737">
        <v>81</v>
      </c>
    </row>
    <row r="738" spans="1:2" x14ac:dyDescent="0.3">
      <c r="A738" t="s">
        <v>21</v>
      </c>
      <c r="B738">
        <v>90</v>
      </c>
    </row>
    <row r="739" spans="1:2" x14ac:dyDescent="0.3">
      <c r="A739" t="s">
        <v>21</v>
      </c>
      <c r="B739">
        <v>146</v>
      </c>
    </row>
    <row r="740" spans="1:2" x14ac:dyDescent="0.3">
      <c r="A740" t="s">
        <v>21</v>
      </c>
      <c r="B740">
        <v>150</v>
      </c>
    </row>
    <row r="741" spans="1:2" x14ac:dyDescent="0.3">
      <c r="A741" t="s">
        <v>21</v>
      </c>
      <c r="B741">
        <v>200</v>
      </c>
    </row>
    <row r="742" spans="1:2" x14ac:dyDescent="0.3">
      <c r="A742" t="s">
        <v>21</v>
      </c>
      <c r="B742">
        <v>88</v>
      </c>
    </row>
    <row r="743" spans="1:2" x14ac:dyDescent="0.3">
      <c r="A743" t="s">
        <v>21</v>
      </c>
      <c r="B743">
        <v>140</v>
      </c>
    </row>
    <row r="744" spans="1:2" x14ac:dyDescent="0.3">
      <c r="A744" t="s">
        <v>21</v>
      </c>
      <c r="B744">
        <v>112</v>
      </c>
    </row>
    <row r="745" spans="1:2" x14ac:dyDescent="0.3">
      <c r="A745" t="s">
        <v>18</v>
      </c>
      <c r="B745">
        <v>147</v>
      </c>
    </row>
    <row r="746" spans="1:2" x14ac:dyDescent="0.3">
      <c r="A746" t="s">
        <v>18</v>
      </c>
      <c r="B746">
        <v>442</v>
      </c>
    </row>
    <row r="747" spans="1:2" x14ac:dyDescent="0.3">
      <c r="A747" t="s">
        <v>21</v>
      </c>
      <c r="B747">
        <v>288</v>
      </c>
    </row>
    <row r="748" spans="1:2" x14ac:dyDescent="0.3">
      <c r="A748" t="s">
        <v>21</v>
      </c>
      <c r="B748">
        <v>201</v>
      </c>
    </row>
    <row r="749" spans="1:2" x14ac:dyDescent="0.3">
      <c r="A749" t="s">
        <v>18</v>
      </c>
      <c r="B749">
        <v>52</v>
      </c>
    </row>
    <row r="750" spans="1:2" x14ac:dyDescent="0.3">
      <c r="A750" t="s">
        <v>18</v>
      </c>
      <c r="B750">
        <v>90</v>
      </c>
    </row>
    <row r="751" spans="1:2" x14ac:dyDescent="0.3">
      <c r="A751" t="s">
        <v>18</v>
      </c>
      <c r="B751">
        <v>192</v>
      </c>
    </row>
    <row r="752" spans="1:2" x14ac:dyDescent="0.3">
      <c r="A752" t="s">
        <v>18</v>
      </c>
      <c r="B752">
        <v>116</v>
      </c>
    </row>
    <row r="753" spans="1:2" x14ac:dyDescent="0.3">
      <c r="A753" t="s">
        <v>21</v>
      </c>
      <c r="B753">
        <v>127</v>
      </c>
    </row>
    <row r="754" spans="1:2" x14ac:dyDescent="0.3">
      <c r="A754" t="s">
        <v>18</v>
      </c>
      <c r="B754">
        <v>85</v>
      </c>
    </row>
    <row r="755" spans="1:2" x14ac:dyDescent="0.3">
      <c r="A755" t="s">
        <v>18</v>
      </c>
      <c r="B755">
        <v>115</v>
      </c>
    </row>
    <row r="756" spans="1:2" x14ac:dyDescent="0.3">
      <c r="A756" t="s">
        <v>21</v>
      </c>
      <c r="B756">
        <v>350</v>
      </c>
    </row>
    <row r="757" spans="1:2" x14ac:dyDescent="0.3">
      <c r="A757" t="s">
        <v>18</v>
      </c>
      <c r="B757">
        <v>121</v>
      </c>
    </row>
    <row r="758" spans="1:2" x14ac:dyDescent="0.3">
      <c r="A758" t="s">
        <v>21</v>
      </c>
      <c r="B758">
        <v>99</v>
      </c>
    </row>
    <row r="759" spans="1:2" x14ac:dyDescent="0.3">
      <c r="A759" t="s">
        <v>21</v>
      </c>
      <c r="B759">
        <v>280</v>
      </c>
    </row>
    <row r="760" spans="1:2" x14ac:dyDescent="0.3">
      <c r="A760" t="s">
        <v>18</v>
      </c>
      <c r="B760">
        <v>449</v>
      </c>
    </row>
    <row r="761" spans="1:2" x14ac:dyDescent="0.3">
      <c r="A761" t="s">
        <v>21</v>
      </c>
      <c r="B761">
        <v>178</v>
      </c>
    </row>
    <row r="762" spans="1:2" x14ac:dyDescent="0.3">
      <c r="A762" t="s">
        <v>21</v>
      </c>
      <c r="B762">
        <v>150</v>
      </c>
    </row>
    <row r="763" spans="1:2" x14ac:dyDescent="0.3">
      <c r="A763" t="s">
        <v>21</v>
      </c>
      <c r="B763">
        <v>378</v>
      </c>
    </row>
    <row r="764" spans="1:2" x14ac:dyDescent="0.3">
      <c r="A764" t="s">
        <v>21</v>
      </c>
      <c r="B764">
        <v>160</v>
      </c>
    </row>
    <row r="765" spans="1:2" x14ac:dyDescent="0.3">
      <c r="A765" t="s">
        <v>21</v>
      </c>
      <c r="B765">
        <v>247</v>
      </c>
    </row>
    <row r="766" spans="1:2" x14ac:dyDescent="0.3">
      <c r="A766" t="s">
        <v>21</v>
      </c>
      <c r="B766">
        <v>410</v>
      </c>
    </row>
    <row r="767" spans="1:2" x14ac:dyDescent="0.3">
      <c r="A767" t="s">
        <v>21</v>
      </c>
      <c r="B767">
        <v>220</v>
      </c>
    </row>
    <row r="768" spans="1:2" x14ac:dyDescent="0.3">
      <c r="A768" t="s">
        <v>18</v>
      </c>
      <c r="B768">
        <v>295</v>
      </c>
    </row>
    <row r="769" spans="1:2" x14ac:dyDescent="0.3">
      <c r="A769" t="s">
        <v>21</v>
      </c>
      <c r="B769">
        <v>386</v>
      </c>
    </row>
    <row r="770" spans="1:2" x14ac:dyDescent="0.3">
      <c r="A770" t="s">
        <v>21</v>
      </c>
      <c r="B770">
        <v>294</v>
      </c>
    </row>
    <row r="771" spans="1:2" x14ac:dyDescent="0.3">
      <c r="A771" t="s">
        <v>18</v>
      </c>
      <c r="B771">
        <v>110</v>
      </c>
    </row>
    <row r="772" spans="1:2" x14ac:dyDescent="0.3">
      <c r="A772" t="s">
        <v>21</v>
      </c>
      <c r="B772">
        <v>406</v>
      </c>
    </row>
    <row r="773" spans="1:2" x14ac:dyDescent="0.3">
      <c r="A773" t="s">
        <v>21</v>
      </c>
      <c r="B773">
        <v>151</v>
      </c>
    </row>
    <row r="774" spans="1:2" x14ac:dyDescent="0.3">
      <c r="A774" t="s">
        <v>21</v>
      </c>
      <c r="B774">
        <v>127</v>
      </c>
    </row>
    <row r="775" spans="1:2" x14ac:dyDescent="0.3">
      <c r="A775" t="s">
        <v>18</v>
      </c>
      <c r="B775">
        <v>55</v>
      </c>
    </row>
    <row r="776" spans="1:2" x14ac:dyDescent="0.3">
      <c r="A776" t="s">
        <v>21</v>
      </c>
      <c r="B776">
        <v>329</v>
      </c>
    </row>
    <row r="777" spans="1:2" x14ac:dyDescent="0.3">
      <c r="A777" t="s">
        <v>18</v>
      </c>
      <c r="B777">
        <v>62</v>
      </c>
    </row>
    <row r="778" spans="1:2" x14ac:dyDescent="0.3">
      <c r="A778" t="s">
        <v>18</v>
      </c>
      <c r="B778">
        <v>52</v>
      </c>
    </row>
    <row r="779" spans="1:2" x14ac:dyDescent="0.3">
      <c r="A779" t="s">
        <v>18</v>
      </c>
      <c r="B779">
        <v>74</v>
      </c>
    </row>
    <row r="780" spans="1:2" x14ac:dyDescent="0.3">
      <c r="A780" t="s">
        <v>18</v>
      </c>
      <c r="B780">
        <v>134</v>
      </c>
    </row>
    <row r="781" spans="1:2" x14ac:dyDescent="0.3">
      <c r="A781" t="s">
        <v>21</v>
      </c>
      <c r="B781">
        <v>261</v>
      </c>
    </row>
    <row r="782" spans="1:2" x14ac:dyDescent="0.3">
      <c r="A782" t="s">
        <v>21</v>
      </c>
      <c r="B782">
        <v>218</v>
      </c>
    </row>
    <row r="783" spans="1:2" x14ac:dyDescent="0.3">
      <c r="A783" t="s">
        <v>21</v>
      </c>
      <c r="B783">
        <v>199</v>
      </c>
    </row>
    <row r="784" spans="1:2" x14ac:dyDescent="0.3">
      <c r="A784" t="s">
        <v>21</v>
      </c>
      <c r="B784">
        <v>150</v>
      </c>
    </row>
    <row r="785" spans="1:2" x14ac:dyDescent="0.3">
      <c r="A785" t="s">
        <v>21</v>
      </c>
      <c r="B785">
        <v>228</v>
      </c>
    </row>
    <row r="786" spans="1:2" x14ac:dyDescent="0.3">
      <c r="A786" t="s">
        <v>21</v>
      </c>
      <c r="B786">
        <v>118</v>
      </c>
    </row>
    <row r="787" spans="1:2" x14ac:dyDescent="0.3">
      <c r="A787" t="s">
        <v>21</v>
      </c>
      <c r="B787">
        <v>150</v>
      </c>
    </row>
    <row r="788" spans="1:2" x14ac:dyDescent="0.3">
      <c r="A788" t="s">
        <v>21</v>
      </c>
      <c r="B788">
        <v>433</v>
      </c>
    </row>
    <row r="789" spans="1:2" x14ac:dyDescent="0.3">
      <c r="A789" t="s">
        <v>21</v>
      </c>
      <c r="B789">
        <v>140</v>
      </c>
    </row>
    <row r="790" spans="1:2" x14ac:dyDescent="0.3">
      <c r="A790" t="s">
        <v>21</v>
      </c>
      <c r="B790">
        <v>366</v>
      </c>
    </row>
    <row r="791" spans="1:2" x14ac:dyDescent="0.3">
      <c r="A791" t="s">
        <v>18</v>
      </c>
      <c r="B791">
        <v>179</v>
      </c>
    </row>
    <row r="792" spans="1:2" x14ac:dyDescent="0.3">
      <c r="A792" t="s">
        <v>18</v>
      </c>
      <c r="B792">
        <v>328</v>
      </c>
    </row>
    <row r="793" spans="1:2" x14ac:dyDescent="0.3">
      <c r="A793" t="s">
        <v>21</v>
      </c>
      <c r="B793">
        <v>165</v>
      </c>
    </row>
    <row r="794" spans="1:2" x14ac:dyDescent="0.3">
      <c r="A794" t="s">
        <v>21</v>
      </c>
      <c r="B794">
        <v>350</v>
      </c>
    </row>
    <row r="795" spans="1:2" x14ac:dyDescent="0.3">
      <c r="A795" t="s">
        <v>18</v>
      </c>
      <c r="B795">
        <v>157</v>
      </c>
    </row>
    <row r="796" spans="1:2" x14ac:dyDescent="0.3">
      <c r="A796" t="s">
        <v>18</v>
      </c>
      <c r="B796">
        <v>190</v>
      </c>
    </row>
    <row r="797" spans="1:2" x14ac:dyDescent="0.3">
      <c r="A797" t="s">
        <v>21</v>
      </c>
      <c r="B797">
        <v>297</v>
      </c>
    </row>
    <row r="798" spans="1:2" x14ac:dyDescent="0.3">
      <c r="A798" t="s">
        <v>21</v>
      </c>
      <c r="B798">
        <v>302</v>
      </c>
    </row>
    <row r="799" spans="1:2" x14ac:dyDescent="0.3">
      <c r="A799" t="s">
        <v>18</v>
      </c>
      <c r="B799">
        <v>119</v>
      </c>
    </row>
    <row r="800" spans="1:2" x14ac:dyDescent="0.3">
      <c r="A800" t="s">
        <v>18</v>
      </c>
      <c r="B800">
        <v>74</v>
      </c>
    </row>
    <row r="801" spans="1:2" x14ac:dyDescent="0.3">
      <c r="A801" t="s">
        <v>21</v>
      </c>
      <c r="B801">
        <v>67</v>
      </c>
    </row>
    <row r="802" spans="1:2" x14ac:dyDescent="0.3">
      <c r="A802" t="s">
        <v>21</v>
      </c>
      <c r="B802">
        <v>389</v>
      </c>
    </row>
    <row r="803" spans="1:2" x14ac:dyDescent="0.3">
      <c r="A803" t="s">
        <v>18</v>
      </c>
      <c r="B803">
        <v>267</v>
      </c>
    </row>
    <row r="804" spans="1:2" x14ac:dyDescent="0.3">
      <c r="A804" t="s">
        <v>18</v>
      </c>
      <c r="B804">
        <v>67</v>
      </c>
    </row>
    <row r="805" spans="1:2" x14ac:dyDescent="0.3">
      <c r="A805" t="s">
        <v>21</v>
      </c>
      <c r="B805">
        <v>86</v>
      </c>
    </row>
    <row r="806" spans="1:2" x14ac:dyDescent="0.3">
      <c r="A806" t="s">
        <v>21</v>
      </c>
      <c r="B806">
        <v>118</v>
      </c>
    </row>
    <row r="807" spans="1:2" x14ac:dyDescent="0.3">
      <c r="A807" t="s">
        <v>21</v>
      </c>
      <c r="B807">
        <v>203</v>
      </c>
    </row>
    <row r="808" spans="1:2" x14ac:dyDescent="0.3">
      <c r="A808" t="s">
        <v>21</v>
      </c>
      <c r="B808">
        <v>120</v>
      </c>
    </row>
    <row r="809" spans="1:2" x14ac:dyDescent="0.3">
      <c r="A809" t="s">
        <v>18</v>
      </c>
      <c r="B809">
        <v>191</v>
      </c>
    </row>
    <row r="810" spans="1:2" x14ac:dyDescent="0.3">
      <c r="A810" t="s">
        <v>18</v>
      </c>
      <c r="B810">
        <v>99</v>
      </c>
    </row>
    <row r="811" spans="1:2" x14ac:dyDescent="0.3">
      <c r="A811" t="s">
        <v>18</v>
      </c>
      <c r="B811">
        <v>345</v>
      </c>
    </row>
    <row r="812" spans="1:2" x14ac:dyDescent="0.3">
      <c r="A812" t="s">
        <v>21</v>
      </c>
      <c r="B812">
        <v>279</v>
      </c>
    </row>
    <row r="813" spans="1:2" x14ac:dyDescent="0.3">
      <c r="A813" t="s">
        <v>21</v>
      </c>
      <c r="B813">
        <v>131</v>
      </c>
    </row>
    <row r="814" spans="1:2" x14ac:dyDescent="0.3">
      <c r="A814" t="s">
        <v>21</v>
      </c>
      <c r="B814">
        <v>120</v>
      </c>
    </row>
    <row r="815" spans="1:2" x14ac:dyDescent="0.3">
      <c r="A815" t="s">
        <v>21</v>
      </c>
      <c r="B815">
        <v>137</v>
      </c>
    </row>
    <row r="816" spans="1:2" x14ac:dyDescent="0.3">
      <c r="A816" t="s">
        <v>21</v>
      </c>
      <c r="B816">
        <v>113</v>
      </c>
    </row>
    <row r="817" spans="1:2" x14ac:dyDescent="0.3">
      <c r="A817" t="s">
        <v>18</v>
      </c>
      <c r="B817">
        <v>73</v>
      </c>
    </row>
    <row r="818" spans="1:2" x14ac:dyDescent="0.3">
      <c r="A818" t="s">
        <v>18</v>
      </c>
      <c r="B818">
        <v>85</v>
      </c>
    </row>
    <row r="819" spans="1:2" x14ac:dyDescent="0.3">
      <c r="A819" t="s">
        <v>18</v>
      </c>
      <c r="B819">
        <v>430</v>
      </c>
    </row>
    <row r="820" spans="1:2" x14ac:dyDescent="0.3">
      <c r="A820" t="s">
        <v>21</v>
      </c>
      <c r="B820">
        <v>170</v>
      </c>
    </row>
    <row r="821" spans="1:2" x14ac:dyDescent="0.3">
      <c r="A821" t="s">
        <v>21</v>
      </c>
      <c r="B821">
        <v>244</v>
      </c>
    </row>
    <row r="822" spans="1:2" x14ac:dyDescent="0.3">
      <c r="A822" t="s">
        <v>21</v>
      </c>
      <c r="B822">
        <v>78</v>
      </c>
    </row>
    <row r="823" spans="1:2" x14ac:dyDescent="0.3">
      <c r="A823" t="s">
        <v>18</v>
      </c>
      <c r="B823">
        <v>358</v>
      </c>
    </row>
    <row r="824" spans="1:2" x14ac:dyDescent="0.3">
      <c r="A824" t="s">
        <v>18</v>
      </c>
      <c r="B824">
        <v>385</v>
      </c>
    </row>
    <row r="825" spans="1:2" x14ac:dyDescent="0.3">
      <c r="A825" t="s">
        <v>21</v>
      </c>
      <c r="B825">
        <v>249</v>
      </c>
    </row>
    <row r="826" spans="1:2" x14ac:dyDescent="0.3">
      <c r="A826" t="s">
        <v>21</v>
      </c>
      <c r="B826">
        <v>290</v>
      </c>
    </row>
    <row r="827" spans="1:2" x14ac:dyDescent="0.3">
      <c r="A827" t="s">
        <v>21</v>
      </c>
      <c r="B827">
        <v>90</v>
      </c>
    </row>
    <row r="828" spans="1:2" x14ac:dyDescent="0.3">
      <c r="A828" t="s">
        <v>21</v>
      </c>
      <c r="B828">
        <v>181</v>
      </c>
    </row>
    <row r="829" spans="1:2" x14ac:dyDescent="0.3">
      <c r="A829" t="s">
        <v>18</v>
      </c>
      <c r="B829">
        <v>76</v>
      </c>
    </row>
    <row r="830" spans="1:2" x14ac:dyDescent="0.3">
      <c r="A830" t="s">
        <v>18</v>
      </c>
      <c r="B830">
        <v>316</v>
      </c>
    </row>
    <row r="831" spans="1:2" x14ac:dyDescent="0.3">
      <c r="A831" t="s">
        <v>18</v>
      </c>
      <c r="B831">
        <v>355</v>
      </c>
    </row>
    <row r="832" spans="1:2" x14ac:dyDescent="0.3">
      <c r="A832" t="s">
        <v>21</v>
      </c>
      <c r="B832">
        <v>203</v>
      </c>
    </row>
    <row r="833" spans="1:2" x14ac:dyDescent="0.3">
      <c r="A833" t="s">
        <v>21</v>
      </c>
      <c r="B833">
        <v>154</v>
      </c>
    </row>
    <row r="834" spans="1:2" x14ac:dyDescent="0.3">
      <c r="A834" t="s">
        <v>21</v>
      </c>
      <c r="B834">
        <v>69</v>
      </c>
    </row>
    <row r="835" spans="1:2" x14ac:dyDescent="0.3">
      <c r="A835" t="s">
        <v>21</v>
      </c>
      <c r="B835">
        <v>74</v>
      </c>
    </row>
    <row r="836" spans="1:2" x14ac:dyDescent="0.3">
      <c r="A836" t="s">
        <v>18</v>
      </c>
      <c r="B836">
        <v>325</v>
      </c>
    </row>
    <row r="837" spans="1:2" x14ac:dyDescent="0.3">
      <c r="A837" t="s">
        <v>18</v>
      </c>
      <c r="B837">
        <v>231</v>
      </c>
    </row>
    <row r="838" spans="1:2" x14ac:dyDescent="0.3">
      <c r="A838" t="s">
        <v>21</v>
      </c>
      <c r="B838">
        <v>145</v>
      </c>
    </row>
    <row r="839" spans="1:2" x14ac:dyDescent="0.3">
      <c r="A839" t="s">
        <v>18</v>
      </c>
      <c r="B839">
        <v>160</v>
      </c>
    </row>
    <row r="840" spans="1:2" x14ac:dyDescent="0.3">
      <c r="A840" t="s">
        <v>18</v>
      </c>
      <c r="B840">
        <v>293</v>
      </c>
    </row>
    <row r="841" spans="1:2" x14ac:dyDescent="0.3">
      <c r="A841" t="s">
        <v>21</v>
      </c>
      <c r="B841">
        <v>53</v>
      </c>
    </row>
    <row r="842" spans="1:2" x14ac:dyDescent="0.3">
      <c r="A842" t="s">
        <v>21</v>
      </c>
      <c r="B842">
        <v>64</v>
      </c>
    </row>
    <row r="843" spans="1:2" x14ac:dyDescent="0.3">
      <c r="A843" t="s">
        <v>18</v>
      </c>
      <c r="B843">
        <v>250</v>
      </c>
    </row>
    <row r="844" spans="1:2" x14ac:dyDescent="0.3">
      <c r="A844" t="s">
        <v>21</v>
      </c>
      <c r="B844">
        <v>144</v>
      </c>
    </row>
    <row r="845" spans="1:2" x14ac:dyDescent="0.3">
      <c r="A845" t="s">
        <v>18</v>
      </c>
      <c r="B845">
        <v>296</v>
      </c>
    </row>
    <row r="846" spans="1:2" x14ac:dyDescent="0.3">
      <c r="A846" t="s">
        <v>21</v>
      </c>
      <c r="B846">
        <v>232</v>
      </c>
    </row>
    <row r="847" spans="1:2" x14ac:dyDescent="0.3">
      <c r="A847" t="s">
        <v>18</v>
      </c>
      <c r="B847">
        <v>209</v>
      </c>
    </row>
    <row r="848" spans="1:2" x14ac:dyDescent="0.3">
      <c r="A848" t="s">
        <v>21</v>
      </c>
      <c r="B848">
        <v>64</v>
      </c>
    </row>
    <row r="849" spans="1:2" x14ac:dyDescent="0.3">
      <c r="A849" t="s">
        <v>21</v>
      </c>
      <c r="B849">
        <v>132</v>
      </c>
    </row>
    <row r="850" spans="1:2" x14ac:dyDescent="0.3">
      <c r="A850" t="s">
        <v>18</v>
      </c>
      <c r="B850">
        <v>90</v>
      </c>
    </row>
    <row r="851" spans="1:2" x14ac:dyDescent="0.3">
      <c r="A851" t="s">
        <v>21</v>
      </c>
      <c r="B851">
        <v>81</v>
      </c>
    </row>
    <row r="852" spans="1:2" x14ac:dyDescent="0.3">
      <c r="A852" t="s">
        <v>21</v>
      </c>
      <c r="B852">
        <v>57</v>
      </c>
    </row>
    <row r="853" spans="1:2" x14ac:dyDescent="0.3">
      <c r="A853" t="s">
        <v>21</v>
      </c>
      <c r="B853">
        <v>388</v>
      </c>
    </row>
    <row r="854" spans="1:2" x14ac:dyDescent="0.3">
      <c r="A854" t="s">
        <v>21</v>
      </c>
      <c r="B854">
        <v>318</v>
      </c>
    </row>
    <row r="855" spans="1:2" x14ac:dyDescent="0.3">
      <c r="A855" t="s">
        <v>18</v>
      </c>
      <c r="B855">
        <v>74</v>
      </c>
    </row>
    <row r="856" spans="1:2" x14ac:dyDescent="0.3">
      <c r="A856" t="s">
        <v>21</v>
      </c>
      <c r="B856">
        <v>57</v>
      </c>
    </row>
    <row r="857" spans="1:2" x14ac:dyDescent="0.3">
      <c r="A857" t="s">
        <v>18</v>
      </c>
      <c r="B857">
        <v>120</v>
      </c>
    </row>
    <row r="858" spans="1:2" x14ac:dyDescent="0.3">
      <c r="A858" t="s">
        <v>21</v>
      </c>
      <c r="B858">
        <v>232</v>
      </c>
    </row>
    <row r="859" spans="1:2" x14ac:dyDescent="0.3">
      <c r="A859" t="s">
        <v>18</v>
      </c>
      <c r="B859">
        <v>130</v>
      </c>
    </row>
    <row r="860" spans="1:2" x14ac:dyDescent="0.3">
      <c r="A860" t="s">
        <v>18</v>
      </c>
      <c r="B860">
        <v>109</v>
      </c>
    </row>
    <row r="861" spans="1:2" x14ac:dyDescent="0.3">
      <c r="A861" t="s">
        <v>21</v>
      </c>
      <c r="B861">
        <v>96</v>
      </c>
    </row>
    <row r="862" spans="1:2" x14ac:dyDescent="0.3">
      <c r="A862" t="s">
        <v>21</v>
      </c>
      <c r="B862">
        <v>197</v>
      </c>
    </row>
    <row r="863" spans="1:2" x14ac:dyDescent="0.3">
      <c r="A863" t="s">
        <v>18</v>
      </c>
      <c r="B863">
        <v>58</v>
      </c>
    </row>
    <row r="864" spans="1:2" x14ac:dyDescent="0.3">
      <c r="A864" t="s">
        <v>21</v>
      </c>
      <c r="B864">
        <v>140</v>
      </c>
    </row>
    <row r="865" spans="1:2" x14ac:dyDescent="0.3">
      <c r="A865" t="s">
        <v>18</v>
      </c>
      <c r="B865">
        <v>262</v>
      </c>
    </row>
    <row r="866" spans="1:2" x14ac:dyDescent="0.3">
      <c r="A866" t="s">
        <v>18</v>
      </c>
      <c r="B866">
        <v>209</v>
      </c>
    </row>
    <row r="867" spans="1:2" x14ac:dyDescent="0.3">
      <c r="A867" t="s">
        <v>18</v>
      </c>
      <c r="B867">
        <v>233</v>
      </c>
    </row>
    <row r="868" spans="1:2" x14ac:dyDescent="0.3">
      <c r="A868" t="s">
        <v>18</v>
      </c>
      <c r="B868">
        <v>377</v>
      </c>
    </row>
    <row r="869" spans="1:2" x14ac:dyDescent="0.3">
      <c r="A869" t="s">
        <v>21</v>
      </c>
      <c r="B869">
        <v>302</v>
      </c>
    </row>
    <row r="870" spans="1:2" x14ac:dyDescent="0.3">
      <c r="A870" t="s">
        <v>21</v>
      </c>
      <c r="B870">
        <v>67</v>
      </c>
    </row>
    <row r="871" spans="1:2" x14ac:dyDescent="0.3">
      <c r="A871" t="s">
        <v>21</v>
      </c>
      <c r="B871">
        <v>57</v>
      </c>
    </row>
    <row r="872" spans="1:2" x14ac:dyDescent="0.3">
      <c r="A872" t="s">
        <v>18</v>
      </c>
      <c r="B872">
        <v>317</v>
      </c>
    </row>
    <row r="873" spans="1:2" x14ac:dyDescent="0.3">
      <c r="A873" t="s">
        <v>21</v>
      </c>
      <c r="B873">
        <v>120</v>
      </c>
    </row>
    <row r="874" spans="1:2" x14ac:dyDescent="0.3">
      <c r="A874" t="s">
        <v>18</v>
      </c>
      <c r="B874">
        <v>300</v>
      </c>
    </row>
    <row r="875" spans="1:2" x14ac:dyDescent="0.3">
      <c r="A875" t="s">
        <v>18</v>
      </c>
      <c r="B875">
        <v>150</v>
      </c>
    </row>
    <row r="876" spans="1:2" x14ac:dyDescent="0.3">
      <c r="A876" t="s">
        <v>21</v>
      </c>
      <c r="B876">
        <v>189</v>
      </c>
    </row>
    <row r="877" spans="1:2" x14ac:dyDescent="0.3">
      <c r="A877" t="s">
        <v>18</v>
      </c>
      <c r="B877">
        <v>169</v>
      </c>
    </row>
    <row r="878" spans="1:2" x14ac:dyDescent="0.3">
      <c r="A878" t="s">
        <v>18</v>
      </c>
      <c r="B878">
        <v>68</v>
      </c>
    </row>
    <row r="879" spans="1:2" x14ac:dyDescent="0.3">
      <c r="A879" t="s">
        <v>18</v>
      </c>
      <c r="B879">
        <v>74</v>
      </c>
    </row>
    <row r="880" spans="1:2" x14ac:dyDescent="0.3">
      <c r="A880" t="s">
        <v>21</v>
      </c>
      <c r="B880">
        <v>53</v>
      </c>
    </row>
    <row r="881" spans="1:2" x14ac:dyDescent="0.3">
      <c r="A881" t="s">
        <v>21</v>
      </c>
      <c r="B881">
        <v>81</v>
      </c>
    </row>
    <row r="882" spans="1:2" x14ac:dyDescent="0.3">
      <c r="A882" t="s">
        <v>21</v>
      </c>
      <c r="B882">
        <v>66</v>
      </c>
    </row>
    <row r="883" spans="1:2" x14ac:dyDescent="0.3">
      <c r="A883" t="s">
        <v>21</v>
      </c>
      <c r="B883">
        <v>385</v>
      </c>
    </row>
    <row r="884" spans="1:2" x14ac:dyDescent="0.3">
      <c r="A884" t="s">
        <v>18</v>
      </c>
      <c r="B884">
        <v>161</v>
      </c>
    </row>
    <row r="885" spans="1:2" x14ac:dyDescent="0.3">
      <c r="A885" t="s">
        <v>21</v>
      </c>
      <c r="B885">
        <v>350</v>
      </c>
    </row>
    <row r="886" spans="1:2" x14ac:dyDescent="0.3">
      <c r="A886" t="s">
        <v>18</v>
      </c>
      <c r="B886">
        <v>298</v>
      </c>
    </row>
    <row r="887" spans="1:2" x14ac:dyDescent="0.3">
      <c r="A887" t="s">
        <v>21</v>
      </c>
      <c r="B887">
        <v>178</v>
      </c>
    </row>
    <row r="888" spans="1:2" x14ac:dyDescent="0.3">
      <c r="A888" t="s">
        <v>18</v>
      </c>
      <c r="B888">
        <v>54</v>
      </c>
    </row>
    <row r="889" spans="1:2" x14ac:dyDescent="0.3">
      <c r="A889" t="s">
        <v>18</v>
      </c>
      <c r="B889">
        <v>132</v>
      </c>
    </row>
    <row r="890" spans="1:2" x14ac:dyDescent="0.3">
      <c r="A890" t="s">
        <v>21</v>
      </c>
      <c r="B890">
        <v>189</v>
      </c>
    </row>
    <row r="891" spans="1:2" x14ac:dyDescent="0.3">
      <c r="A891" t="s">
        <v>18</v>
      </c>
      <c r="B891">
        <v>192</v>
      </c>
    </row>
    <row r="892" spans="1:2" x14ac:dyDescent="0.3">
      <c r="A892" t="s">
        <v>18</v>
      </c>
      <c r="B892">
        <v>134</v>
      </c>
    </row>
    <row r="893" spans="1:2" x14ac:dyDescent="0.3">
      <c r="A893" t="s">
        <v>21</v>
      </c>
      <c r="B893">
        <v>189</v>
      </c>
    </row>
    <row r="894" spans="1:2" x14ac:dyDescent="0.3">
      <c r="A894" t="s">
        <v>21</v>
      </c>
      <c r="B894">
        <v>185</v>
      </c>
    </row>
    <row r="895" spans="1:2" x14ac:dyDescent="0.3">
      <c r="A895" t="s">
        <v>18</v>
      </c>
      <c r="B895">
        <v>120</v>
      </c>
    </row>
    <row r="896" spans="1:2" x14ac:dyDescent="0.3">
      <c r="A896" t="s">
        <v>18</v>
      </c>
      <c r="B896">
        <v>146</v>
      </c>
    </row>
    <row r="897" spans="1:2" x14ac:dyDescent="0.3">
      <c r="A897" t="s">
        <v>18</v>
      </c>
      <c r="B897">
        <v>79</v>
      </c>
    </row>
    <row r="898" spans="1:2" x14ac:dyDescent="0.3">
      <c r="A898" t="s">
        <v>21</v>
      </c>
      <c r="B898">
        <v>127</v>
      </c>
    </row>
    <row r="899" spans="1:2" x14ac:dyDescent="0.3">
      <c r="A899" t="s">
        <v>18</v>
      </c>
      <c r="B899">
        <v>110</v>
      </c>
    </row>
    <row r="900" spans="1:2" x14ac:dyDescent="0.3">
      <c r="A900" t="s">
        <v>18</v>
      </c>
      <c r="B900">
        <v>163</v>
      </c>
    </row>
    <row r="901" spans="1:2" x14ac:dyDescent="0.3">
      <c r="A901" t="s">
        <v>21</v>
      </c>
      <c r="B901">
        <v>141</v>
      </c>
    </row>
    <row r="902" spans="1:2" x14ac:dyDescent="0.3">
      <c r="A902" t="s">
        <v>21</v>
      </c>
      <c r="B902">
        <v>233</v>
      </c>
    </row>
    <row r="903" spans="1:2" x14ac:dyDescent="0.3">
      <c r="A903" t="s">
        <v>18</v>
      </c>
      <c r="B903">
        <v>208</v>
      </c>
    </row>
    <row r="904" spans="1:2" x14ac:dyDescent="0.3">
      <c r="A904" t="s">
        <v>18</v>
      </c>
      <c r="B904">
        <v>116</v>
      </c>
    </row>
    <row r="905" spans="1:2" x14ac:dyDescent="0.3">
      <c r="A905" t="s">
        <v>21</v>
      </c>
      <c r="B905">
        <v>198</v>
      </c>
    </row>
    <row r="906" spans="1:2" x14ac:dyDescent="0.3">
      <c r="A906" t="s">
        <v>18</v>
      </c>
      <c r="B906">
        <v>51</v>
      </c>
    </row>
    <row r="907" spans="1:2" x14ac:dyDescent="0.3">
      <c r="A907" t="s">
        <v>18</v>
      </c>
      <c r="B907">
        <v>120</v>
      </c>
    </row>
    <row r="908" spans="1:2" x14ac:dyDescent="0.3">
      <c r="A908" t="s">
        <v>21</v>
      </c>
      <c r="B908">
        <v>361</v>
      </c>
    </row>
    <row r="909" spans="1:2" x14ac:dyDescent="0.3">
      <c r="A909" t="s">
        <v>18</v>
      </c>
      <c r="B909">
        <v>99</v>
      </c>
    </row>
    <row r="910" spans="1:2" x14ac:dyDescent="0.3">
      <c r="A910" t="s">
        <v>21</v>
      </c>
      <c r="B910">
        <v>183</v>
      </c>
    </row>
    <row r="911" spans="1:2" x14ac:dyDescent="0.3">
      <c r="A911" t="s">
        <v>18</v>
      </c>
      <c r="B911">
        <v>109</v>
      </c>
    </row>
    <row r="912" spans="1:2" x14ac:dyDescent="0.3">
      <c r="A912" t="s">
        <v>21</v>
      </c>
      <c r="B912">
        <v>199</v>
      </c>
    </row>
    <row r="913" spans="1:2" x14ac:dyDescent="0.3">
      <c r="A913" t="s">
        <v>18</v>
      </c>
      <c r="B913">
        <v>61</v>
      </c>
    </row>
    <row r="914" spans="1:2" x14ac:dyDescent="0.3">
      <c r="A914" t="s">
        <v>18</v>
      </c>
      <c r="B914">
        <v>119</v>
      </c>
    </row>
    <row r="915" spans="1:2" x14ac:dyDescent="0.3">
      <c r="A915" t="s">
        <v>21</v>
      </c>
      <c r="B915">
        <v>116</v>
      </c>
    </row>
    <row r="916" spans="1:2" x14ac:dyDescent="0.3">
      <c r="A916" t="s">
        <v>21</v>
      </c>
      <c r="B916">
        <v>184</v>
      </c>
    </row>
    <row r="917" spans="1:2" x14ac:dyDescent="0.3">
      <c r="A917" t="s">
        <v>21</v>
      </c>
      <c r="B917">
        <v>128</v>
      </c>
    </row>
    <row r="918" spans="1:2" x14ac:dyDescent="0.3">
      <c r="A918" t="s">
        <v>21</v>
      </c>
      <c r="B918">
        <v>139</v>
      </c>
    </row>
    <row r="919" spans="1:2" x14ac:dyDescent="0.3">
      <c r="A919" t="s">
        <v>21</v>
      </c>
      <c r="B919">
        <v>128</v>
      </c>
    </row>
    <row r="920" spans="1:2" x14ac:dyDescent="0.3">
      <c r="A920" t="s">
        <v>21</v>
      </c>
      <c r="B920">
        <v>53</v>
      </c>
    </row>
    <row r="921" spans="1:2" x14ac:dyDescent="0.3">
      <c r="A921" t="s">
        <v>21</v>
      </c>
      <c r="B921">
        <v>129</v>
      </c>
    </row>
    <row r="922" spans="1:2" x14ac:dyDescent="0.3">
      <c r="A922" t="s">
        <v>21</v>
      </c>
      <c r="B922">
        <v>335</v>
      </c>
    </row>
    <row r="923" spans="1:2" x14ac:dyDescent="0.3">
      <c r="A923" t="s">
        <v>21</v>
      </c>
      <c r="B923">
        <v>450</v>
      </c>
    </row>
    <row r="924" spans="1:2" x14ac:dyDescent="0.3">
      <c r="A924" t="s">
        <v>18</v>
      </c>
      <c r="B924">
        <v>96</v>
      </c>
    </row>
    <row r="925" spans="1:2" x14ac:dyDescent="0.3">
      <c r="A925" t="s">
        <v>21</v>
      </c>
      <c r="B925">
        <v>72</v>
      </c>
    </row>
    <row r="926" spans="1:2" x14ac:dyDescent="0.3">
      <c r="A926" t="s">
        <v>21</v>
      </c>
      <c r="B926">
        <v>119</v>
      </c>
    </row>
    <row r="927" spans="1:2" x14ac:dyDescent="0.3">
      <c r="A927" t="s">
        <v>21</v>
      </c>
      <c r="B927">
        <v>280</v>
      </c>
    </row>
    <row r="928" spans="1:2" x14ac:dyDescent="0.3">
      <c r="A928" t="s">
        <v>21</v>
      </c>
      <c r="B928">
        <v>361</v>
      </c>
    </row>
    <row r="929" spans="1:2" x14ac:dyDescent="0.3">
      <c r="A929" t="s">
        <v>21</v>
      </c>
      <c r="B929">
        <v>90</v>
      </c>
    </row>
    <row r="930" spans="1:2" x14ac:dyDescent="0.3">
      <c r="A930" t="s">
        <v>21</v>
      </c>
      <c r="B930">
        <v>285</v>
      </c>
    </row>
    <row r="931" spans="1:2" x14ac:dyDescent="0.3">
      <c r="A931" t="s">
        <v>21</v>
      </c>
      <c r="B931">
        <v>54</v>
      </c>
    </row>
    <row r="932" spans="1:2" x14ac:dyDescent="0.3">
      <c r="A932" t="s">
        <v>18</v>
      </c>
      <c r="B932">
        <v>73</v>
      </c>
    </row>
    <row r="933" spans="1:2" x14ac:dyDescent="0.3">
      <c r="A933" t="s">
        <v>18</v>
      </c>
      <c r="B933">
        <v>238</v>
      </c>
    </row>
    <row r="934" spans="1:2" x14ac:dyDescent="0.3">
      <c r="A934" t="s">
        <v>18</v>
      </c>
      <c r="B934">
        <v>50</v>
      </c>
    </row>
    <row r="935" spans="1:2" x14ac:dyDescent="0.3">
      <c r="A935" t="s">
        <v>18</v>
      </c>
      <c r="B935">
        <v>225</v>
      </c>
    </row>
    <row r="936" spans="1:2" x14ac:dyDescent="0.3">
      <c r="A936" t="s">
        <v>21</v>
      </c>
      <c r="B936">
        <v>104</v>
      </c>
    </row>
    <row r="937" spans="1:2" x14ac:dyDescent="0.3">
      <c r="A937" t="s">
        <v>18</v>
      </c>
      <c r="B937">
        <v>58</v>
      </c>
    </row>
    <row r="938" spans="1:2" x14ac:dyDescent="0.3">
      <c r="A938" t="s">
        <v>21</v>
      </c>
      <c r="B938">
        <v>257</v>
      </c>
    </row>
    <row r="939" spans="1:2" x14ac:dyDescent="0.3">
      <c r="A939" t="s">
        <v>21</v>
      </c>
      <c r="B939">
        <v>180</v>
      </c>
    </row>
    <row r="940" spans="1:2" x14ac:dyDescent="0.3">
      <c r="A940" t="s">
        <v>18</v>
      </c>
      <c r="B940">
        <v>263</v>
      </c>
    </row>
    <row r="941" spans="1:2" x14ac:dyDescent="0.3">
      <c r="A941" t="s">
        <v>18</v>
      </c>
      <c r="B941">
        <v>255</v>
      </c>
    </row>
    <row r="942" spans="1:2" x14ac:dyDescent="0.3">
      <c r="A942" t="s">
        <v>18</v>
      </c>
      <c r="B942">
        <v>106</v>
      </c>
    </row>
    <row r="943" spans="1:2" x14ac:dyDescent="0.3">
      <c r="A943" t="s">
        <v>21</v>
      </c>
      <c r="B943">
        <v>194</v>
      </c>
    </row>
    <row r="944" spans="1:2" x14ac:dyDescent="0.3">
      <c r="A944" t="s">
        <v>21</v>
      </c>
      <c r="B944">
        <v>155</v>
      </c>
    </row>
    <row r="945" spans="1:2" x14ac:dyDescent="0.3">
      <c r="A945" t="s">
        <v>21</v>
      </c>
      <c r="B945">
        <v>137</v>
      </c>
    </row>
    <row r="946" spans="1:2" x14ac:dyDescent="0.3">
      <c r="A946" t="s">
        <v>21</v>
      </c>
      <c r="B946">
        <v>237</v>
      </c>
    </row>
    <row r="947" spans="1:2" x14ac:dyDescent="0.3">
      <c r="A947" t="s">
        <v>21</v>
      </c>
      <c r="B947">
        <v>97</v>
      </c>
    </row>
    <row r="948" spans="1:2" x14ac:dyDescent="0.3">
      <c r="A948" t="s">
        <v>18</v>
      </c>
      <c r="B948">
        <v>72</v>
      </c>
    </row>
    <row r="949" spans="1:2" x14ac:dyDescent="0.3">
      <c r="A949" t="s">
        <v>18</v>
      </c>
      <c r="B949">
        <v>339</v>
      </c>
    </row>
    <row r="950" spans="1:2" x14ac:dyDescent="0.3">
      <c r="A950" t="s">
        <v>21</v>
      </c>
      <c r="B950">
        <v>180</v>
      </c>
    </row>
    <row r="951" spans="1:2" x14ac:dyDescent="0.3">
      <c r="A951" t="s">
        <v>18</v>
      </c>
      <c r="B951">
        <v>162</v>
      </c>
    </row>
    <row r="952" spans="1:2" x14ac:dyDescent="0.3">
      <c r="A952" t="s">
        <v>18</v>
      </c>
      <c r="B952">
        <v>418</v>
      </c>
    </row>
    <row r="953" spans="1:2" x14ac:dyDescent="0.3">
      <c r="A953" t="s">
        <v>21</v>
      </c>
      <c r="B953">
        <v>100</v>
      </c>
    </row>
    <row r="954" spans="1:2" x14ac:dyDescent="0.3">
      <c r="A954" t="s">
        <v>21</v>
      </c>
      <c r="B954">
        <v>109</v>
      </c>
    </row>
    <row r="955" spans="1:2" x14ac:dyDescent="0.3">
      <c r="A955" t="s">
        <v>21</v>
      </c>
      <c r="B955">
        <v>244</v>
      </c>
    </row>
    <row r="956" spans="1:2" x14ac:dyDescent="0.3">
      <c r="A956" t="s">
        <v>18</v>
      </c>
      <c r="B956">
        <v>154</v>
      </c>
    </row>
    <row r="957" spans="1:2" x14ac:dyDescent="0.3">
      <c r="A957" t="s">
        <v>18</v>
      </c>
      <c r="B957">
        <v>240</v>
      </c>
    </row>
    <row r="958" spans="1:2" x14ac:dyDescent="0.3">
      <c r="A958" t="s">
        <v>18</v>
      </c>
      <c r="B958">
        <v>226</v>
      </c>
    </row>
    <row r="959" spans="1:2" x14ac:dyDescent="0.3">
      <c r="A959" t="s">
        <v>18</v>
      </c>
      <c r="B959">
        <v>222</v>
      </c>
    </row>
    <row r="960" spans="1:2" x14ac:dyDescent="0.3">
      <c r="A960" t="s">
        <v>21</v>
      </c>
      <c r="B960">
        <v>150</v>
      </c>
    </row>
    <row r="961" spans="1:2" x14ac:dyDescent="0.3">
      <c r="A961" t="s">
        <v>21</v>
      </c>
      <c r="B961">
        <v>379</v>
      </c>
    </row>
    <row r="962" spans="1:2" x14ac:dyDescent="0.3">
      <c r="A962" t="s">
        <v>18</v>
      </c>
      <c r="B962">
        <v>72</v>
      </c>
    </row>
    <row r="963" spans="1:2" x14ac:dyDescent="0.3">
      <c r="A963" t="s">
        <v>21</v>
      </c>
      <c r="B963">
        <v>170</v>
      </c>
    </row>
    <row r="964" spans="1:2" x14ac:dyDescent="0.3">
      <c r="A964" t="s">
        <v>21</v>
      </c>
      <c r="B964">
        <v>289</v>
      </c>
    </row>
    <row r="965" spans="1:2" x14ac:dyDescent="0.3">
      <c r="A965" t="s">
        <v>18</v>
      </c>
      <c r="B965">
        <v>233</v>
      </c>
    </row>
    <row r="966" spans="1:2" x14ac:dyDescent="0.3">
      <c r="A966" t="s">
        <v>21</v>
      </c>
      <c r="B966">
        <v>102</v>
      </c>
    </row>
    <row r="967" spans="1:2" x14ac:dyDescent="0.3">
      <c r="A967" t="s">
        <v>21</v>
      </c>
      <c r="B967">
        <v>115</v>
      </c>
    </row>
    <row r="968" spans="1:2" x14ac:dyDescent="0.3">
      <c r="A968" t="s">
        <v>18</v>
      </c>
      <c r="B968">
        <v>50</v>
      </c>
    </row>
    <row r="969" spans="1:2" x14ac:dyDescent="0.3">
      <c r="A969" t="s">
        <v>18</v>
      </c>
      <c r="B969">
        <v>277</v>
      </c>
    </row>
    <row r="970" spans="1:2" x14ac:dyDescent="0.3">
      <c r="A970" t="s">
        <v>21</v>
      </c>
      <c r="B970">
        <v>135</v>
      </c>
    </row>
    <row r="971" spans="1:2" x14ac:dyDescent="0.3">
      <c r="A971" t="s">
        <v>21</v>
      </c>
      <c r="B971">
        <v>175</v>
      </c>
    </row>
    <row r="972" spans="1:2" x14ac:dyDescent="0.3">
      <c r="A972" t="s">
        <v>21</v>
      </c>
      <c r="B972">
        <v>143</v>
      </c>
    </row>
    <row r="973" spans="1:2" x14ac:dyDescent="0.3">
      <c r="A973" t="s">
        <v>21</v>
      </c>
      <c r="B973">
        <v>185</v>
      </c>
    </row>
    <row r="974" spans="1:2" x14ac:dyDescent="0.3">
      <c r="A974" t="s">
        <v>18</v>
      </c>
      <c r="B974">
        <v>60</v>
      </c>
    </row>
    <row r="975" spans="1:2" x14ac:dyDescent="0.3">
      <c r="A975" t="s">
        <v>21</v>
      </c>
      <c r="B975">
        <v>221</v>
      </c>
    </row>
    <row r="976" spans="1:2" x14ac:dyDescent="0.3">
      <c r="A976" t="s">
        <v>18</v>
      </c>
      <c r="B976">
        <v>80</v>
      </c>
    </row>
    <row r="977" spans="1:2" x14ac:dyDescent="0.3">
      <c r="A977" t="s">
        <v>21</v>
      </c>
      <c r="B977">
        <v>75</v>
      </c>
    </row>
    <row r="978" spans="1:2" x14ac:dyDescent="0.3">
      <c r="A978" t="s">
        <v>18</v>
      </c>
      <c r="B978">
        <v>53</v>
      </c>
    </row>
    <row r="979" spans="1:2" x14ac:dyDescent="0.3">
      <c r="A979" t="s">
        <v>18</v>
      </c>
      <c r="B979">
        <v>350</v>
      </c>
    </row>
    <row r="980" spans="1:2" x14ac:dyDescent="0.3">
      <c r="A980" t="s">
        <v>21</v>
      </c>
      <c r="B980">
        <v>65</v>
      </c>
    </row>
    <row r="981" spans="1:2" x14ac:dyDescent="0.3">
      <c r="A981" t="s">
        <v>21</v>
      </c>
      <c r="B981">
        <v>243</v>
      </c>
    </row>
    <row r="982" spans="1:2" x14ac:dyDescent="0.3">
      <c r="A982" t="s">
        <v>18</v>
      </c>
      <c r="B982">
        <v>55</v>
      </c>
    </row>
    <row r="983" spans="1:2" x14ac:dyDescent="0.3">
      <c r="A983" t="s">
        <v>21</v>
      </c>
      <c r="B983">
        <v>180</v>
      </c>
    </row>
    <row r="984" spans="1:2" x14ac:dyDescent="0.3">
      <c r="A984" t="s">
        <v>18</v>
      </c>
      <c r="B984">
        <v>292</v>
      </c>
    </row>
    <row r="985" spans="1:2" x14ac:dyDescent="0.3">
      <c r="A985" t="s">
        <v>18</v>
      </c>
      <c r="B985">
        <v>54</v>
      </c>
    </row>
    <row r="986" spans="1:2" x14ac:dyDescent="0.3">
      <c r="A986" t="s">
        <v>21</v>
      </c>
      <c r="B986">
        <v>116</v>
      </c>
    </row>
    <row r="987" spans="1:2" x14ac:dyDescent="0.3">
      <c r="A987" t="s">
        <v>21</v>
      </c>
      <c r="B987">
        <v>141</v>
      </c>
    </row>
    <row r="988" spans="1:2" x14ac:dyDescent="0.3">
      <c r="A988" t="s">
        <v>21</v>
      </c>
      <c r="B988">
        <v>130</v>
      </c>
    </row>
    <row r="989" spans="1:2" x14ac:dyDescent="0.3">
      <c r="A989" t="s">
        <v>18</v>
      </c>
      <c r="B989">
        <v>55</v>
      </c>
    </row>
    <row r="990" spans="1:2" x14ac:dyDescent="0.3">
      <c r="A990" t="s">
        <v>21</v>
      </c>
      <c r="B990">
        <v>96</v>
      </c>
    </row>
    <row r="991" spans="1:2" x14ac:dyDescent="0.3">
      <c r="A991" t="s">
        <v>21</v>
      </c>
      <c r="B991">
        <v>171</v>
      </c>
    </row>
    <row r="992" spans="1:2" x14ac:dyDescent="0.3">
      <c r="A992" t="s">
        <v>21</v>
      </c>
      <c r="B992">
        <v>170</v>
      </c>
    </row>
    <row r="993" spans="1:2" x14ac:dyDescent="0.3">
      <c r="A993" t="s">
        <v>21</v>
      </c>
      <c r="B993">
        <v>150</v>
      </c>
    </row>
    <row r="994" spans="1:2" x14ac:dyDescent="0.3">
      <c r="A994" t="s">
        <v>21</v>
      </c>
      <c r="B994">
        <v>110</v>
      </c>
    </row>
    <row r="995" spans="1:2" x14ac:dyDescent="0.3">
      <c r="A995" t="s">
        <v>21</v>
      </c>
      <c r="B995">
        <v>163</v>
      </c>
    </row>
    <row r="996" spans="1:2" x14ac:dyDescent="0.3">
      <c r="A996" t="s">
        <v>21</v>
      </c>
      <c r="B996">
        <v>140</v>
      </c>
    </row>
    <row r="997" spans="1:2" x14ac:dyDescent="0.3">
      <c r="A997" t="s">
        <v>21</v>
      </c>
      <c r="B997">
        <v>126</v>
      </c>
    </row>
    <row r="998" spans="1:2" x14ac:dyDescent="0.3">
      <c r="A998" t="s">
        <v>21</v>
      </c>
      <c r="B998">
        <v>433</v>
      </c>
    </row>
    <row r="999" spans="1:2" x14ac:dyDescent="0.3">
      <c r="A999" t="s">
        <v>21</v>
      </c>
      <c r="B999">
        <v>394</v>
      </c>
    </row>
    <row r="1000" spans="1:2" x14ac:dyDescent="0.3">
      <c r="A1000" t="s">
        <v>21</v>
      </c>
      <c r="B1000">
        <v>394</v>
      </c>
    </row>
    <row r="1001" spans="1:2" x14ac:dyDescent="0.3">
      <c r="A1001" t="s">
        <v>21</v>
      </c>
      <c r="B1001">
        <v>210</v>
      </c>
    </row>
    <row r="1002" spans="1:2" x14ac:dyDescent="0.3">
      <c r="A1002" t="s">
        <v>21</v>
      </c>
      <c r="B1002">
        <v>117</v>
      </c>
    </row>
    <row r="1003" spans="1:2" x14ac:dyDescent="0.3">
      <c r="A1003" t="s">
        <v>21</v>
      </c>
      <c r="B1003">
        <v>80</v>
      </c>
    </row>
    <row r="1004" spans="1:2" x14ac:dyDescent="0.3">
      <c r="A1004" t="s">
        <v>21</v>
      </c>
      <c r="B1004">
        <v>105</v>
      </c>
    </row>
    <row r="1005" spans="1:2" x14ac:dyDescent="0.3">
      <c r="A1005" t="s">
        <v>21</v>
      </c>
      <c r="B1005">
        <v>140</v>
      </c>
    </row>
    <row r="1006" spans="1:2" x14ac:dyDescent="0.3">
      <c r="A1006" t="s">
        <v>21</v>
      </c>
      <c r="B1006">
        <v>92</v>
      </c>
    </row>
    <row r="1007" spans="1:2" x14ac:dyDescent="0.3">
      <c r="A1007" t="s">
        <v>21</v>
      </c>
      <c r="B1007">
        <v>179</v>
      </c>
    </row>
    <row r="1008" spans="1:2" x14ac:dyDescent="0.3">
      <c r="A1008" t="s">
        <v>21</v>
      </c>
      <c r="B1008">
        <v>150</v>
      </c>
    </row>
    <row r="1009" spans="1:2" x14ac:dyDescent="0.3">
      <c r="A1009" t="s">
        <v>21</v>
      </c>
      <c r="B1009">
        <v>125</v>
      </c>
    </row>
    <row r="1010" spans="1:2" x14ac:dyDescent="0.3">
      <c r="A1010" t="s">
        <v>21</v>
      </c>
      <c r="B1010">
        <v>239</v>
      </c>
    </row>
    <row r="1011" spans="1:2" x14ac:dyDescent="0.3">
      <c r="A1011" t="s">
        <v>21</v>
      </c>
      <c r="B1011">
        <v>77</v>
      </c>
    </row>
    <row r="1012" spans="1:2" x14ac:dyDescent="0.3">
      <c r="A1012" t="s">
        <v>21</v>
      </c>
      <c r="B1012">
        <v>105</v>
      </c>
    </row>
    <row r="1013" spans="1:2" x14ac:dyDescent="0.3">
      <c r="A1013" t="s">
        <v>18</v>
      </c>
      <c r="B1013">
        <v>260</v>
      </c>
    </row>
    <row r="1014" spans="1:2" x14ac:dyDescent="0.3">
      <c r="A1014" t="s">
        <v>21</v>
      </c>
      <c r="B1014">
        <v>151</v>
      </c>
    </row>
    <row r="1015" spans="1:2" x14ac:dyDescent="0.3">
      <c r="A1015" t="s">
        <v>21</v>
      </c>
      <c r="B1015">
        <v>120</v>
      </c>
    </row>
    <row r="1016" spans="1:2" x14ac:dyDescent="0.3">
      <c r="A1016" t="s">
        <v>18</v>
      </c>
      <c r="B1016">
        <v>276</v>
      </c>
    </row>
    <row r="1017" spans="1:2" x14ac:dyDescent="0.3">
      <c r="A1017" t="s">
        <v>21</v>
      </c>
      <c r="B1017">
        <v>120</v>
      </c>
    </row>
    <row r="1018" spans="1:2" x14ac:dyDescent="0.3">
      <c r="A1018" t="s">
        <v>18</v>
      </c>
      <c r="B1018">
        <v>114</v>
      </c>
    </row>
    <row r="1019" spans="1:2" x14ac:dyDescent="0.3">
      <c r="A1019" t="s">
        <v>18</v>
      </c>
      <c r="B1019">
        <v>97</v>
      </c>
    </row>
    <row r="1020" spans="1:2" x14ac:dyDescent="0.3">
      <c r="A1020" t="s">
        <v>18</v>
      </c>
      <c r="B1020">
        <v>80</v>
      </c>
    </row>
    <row r="1021" spans="1:2" x14ac:dyDescent="0.3">
      <c r="A1021" t="s">
        <v>21</v>
      </c>
      <c r="B1021">
        <v>128</v>
      </c>
    </row>
    <row r="1022" spans="1:2" x14ac:dyDescent="0.3">
      <c r="A1022" t="s">
        <v>21</v>
      </c>
      <c r="B1022">
        <v>85</v>
      </c>
    </row>
    <row r="1023" spans="1:2" x14ac:dyDescent="0.3">
      <c r="A1023" t="s">
        <v>21</v>
      </c>
      <c r="B1023">
        <v>184</v>
      </c>
    </row>
    <row r="1024" spans="1:2" x14ac:dyDescent="0.3">
      <c r="A1024" t="s">
        <v>21</v>
      </c>
      <c r="B1024">
        <v>150</v>
      </c>
    </row>
    <row r="1025" spans="1:2" x14ac:dyDescent="0.3">
      <c r="A1025" t="s">
        <v>18</v>
      </c>
      <c r="B1025">
        <v>89</v>
      </c>
    </row>
    <row r="1026" spans="1:2" x14ac:dyDescent="0.3">
      <c r="A1026" t="s">
        <v>21</v>
      </c>
      <c r="B1026">
        <v>100</v>
      </c>
    </row>
    <row r="1027" spans="1:2" x14ac:dyDescent="0.3">
      <c r="A1027" t="s">
        <v>21</v>
      </c>
      <c r="B1027">
        <v>90</v>
      </c>
    </row>
    <row r="1028" spans="1:2" x14ac:dyDescent="0.3">
      <c r="A1028" t="s">
        <v>21</v>
      </c>
      <c r="B1028">
        <v>141</v>
      </c>
    </row>
    <row r="1029" spans="1:2" x14ac:dyDescent="0.3">
      <c r="A1029" t="s">
        <v>21</v>
      </c>
      <c r="B1029">
        <v>103</v>
      </c>
    </row>
    <row r="1030" spans="1:2" x14ac:dyDescent="0.3">
      <c r="A1030" t="s">
        <v>21</v>
      </c>
      <c r="B1030">
        <v>53</v>
      </c>
    </row>
    <row r="1031" spans="1:2" x14ac:dyDescent="0.3">
      <c r="A1031" t="s">
        <v>18</v>
      </c>
      <c r="B1031">
        <v>292</v>
      </c>
    </row>
    <row r="1032" spans="1:2" x14ac:dyDescent="0.3">
      <c r="A1032" t="s">
        <v>21</v>
      </c>
      <c r="B1032">
        <v>92</v>
      </c>
    </row>
    <row r="1033" spans="1:2" x14ac:dyDescent="0.3">
      <c r="A1033" t="s">
        <v>18</v>
      </c>
      <c r="B1033">
        <v>68</v>
      </c>
    </row>
    <row r="1034" spans="1:2" x14ac:dyDescent="0.3">
      <c r="A1034" t="s">
        <v>21</v>
      </c>
      <c r="B1034">
        <v>115</v>
      </c>
    </row>
    <row r="1035" spans="1:2" x14ac:dyDescent="0.3">
      <c r="A1035" t="s">
        <v>21</v>
      </c>
      <c r="B1035">
        <v>53</v>
      </c>
    </row>
    <row r="1036" spans="1:2" x14ac:dyDescent="0.3">
      <c r="A1036" t="s">
        <v>21</v>
      </c>
      <c r="B1036">
        <v>108</v>
      </c>
    </row>
    <row r="1037" spans="1:2" x14ac:dyDescent="0.3">
      <c r="A1037" t="s">
        <v>21</v>
      </c>
      <c r="B1037">
        <v>70</v>
      </c>
    </row>
    <row r="1038" spans="1:2" x14ac:dyDescent="0.3">
      <c r="A1038" t="s">
        <v>21</v>
      </c>
      <c r="B1038">
        <v>250</v>
      </c>
    </row>
    <row r="1039" spans="1:2" x14ac:dyDescent="0.3">
      <c r="A1039" t="s">
        <v>18</v>
      </c>
      <c r="B1039">
        <v>50</v>
      </c>
    </row>
    <row r="1040" spans="1:2" x14ac:dyDescent="0.3">
      <c r="A1040" t="s">
        <v>21</v>
      </c>
      <c r="B1040">
        <v>354</v>
      </c>
    </row>
    <row r="1041" spans="1:2" x14ac:dyDescent="0.3">
      <c r="A1041" t="s">
        <v>21</v>
      </c>
      <c r="B1041">
        <v>104</v>
      </c>
    </row>
    <row r="1042" spans="1:2" x14ac:dyDescent="0.3">
      <c r="A1042" t="s">
        <v>18</v>
      </c>
      <c r="B1042">
        <v>274</v>
      </c>
    </row>
    <row r="1043" spans="1:2" x14ac:dyDescent="0.3">
      <c r="A1043" t="s">
        <v>18</v>
      </c>
      <c r="B1043">
        <v>359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A8343-2675-46DA-A790-EC21D6B5C306}">
  <dimension ref="A1:W1043"/>
  <sheetViews>
    <sheetView topLeftCell="J1" workbookViewId="0">
      <selection sqref="A1:J1043"/>
    </sheetView>
  </sheetViews>
  <sheetFormatPr defaultRowHeight="14.4" x14ac:dyDescent="0.3"/>
  <cols>
    <col min="1" max="1" width="7.5546875" bestFit="1" customWidth="1"/>
    <col min="2" max="2" width="7.33203125" bestFit="1" customWidth="1"/>
    <col min="3" max="3" width="12.21875" bestFit="1" customWidth="1"/>
    <col min="4" max="4" width="9.88671875" bestFit="1" customWidth="1"/>
    <col min="5" max="5" width="7.5546875" bestFit="1" customWidth="1"/>
    <col min="6" max="6" width="18.6640625" bestFit="1" customWidth="1"/>
    <col min="7" max="7" width="18.88671875" bestFit="1" customWidth="1"/>
    <col min="8" max="8" width="16.109375" bestFit="1" customWidth="1"/>
    <col min="9" max="9" width="16.88671875" bestFit="1" customWidth="1"/>
    <col min="10" max="10" width="16.44140625" bestFit="1" customWidth="1"/>
    <col min="13" max="13" width="16.109375" bestFit="1" customWidth="1"/>
    <col min="14" max="18" width="12.6640625" bestFit="1" customWidth="1"/>
    <col min="19" max="19" width="16.6640625" bestFit="1" customWidth="1"/>
    <col min="20" max="20" width="16.77734375" bestFit="1" customWidth="1"/>
    <col min="21" max="21" width="13.5546875" bestFit="1" customWidth="1"/>
    <col min="22" max="22" width="14.6640625" bestFit="1" customWidth="1"/>
    <col min="23" max="23" width="14.44140625" bestFit="1" customWidth="1"/>
  </cols>
  <sheetData>
    <row r="1" spans="1:23" ht="15" thickBot="1" x14ac:dyDescent="0.35">
      <c r="A1" t="s">
        <v>1407</v>
      </c>
      <c r="B1" t="s">
        <v>1421</v>
      </c>
      <c r="C1" t="s">
        <v>1422</v>
      </c>
      <c r="D1" t="s">
        <v>1423</v>
      </c>
      <c r="E1" t="s">
        <v>1424</v>
      </c>
      <c r="F1" t="s">
        <v>1425</v>
      </c>
      <c r="G1" t="s">
        <v>1426</v>
      </c>
      <c r="H1" t="s">
        <v>11</v>
      </c>
      <c r="I1" t="s">
        <v>10</v>
      </c>
      <c r="J1" t="s">
        <v>6</v>
      </c>
    </row>
    <row r="2" spans="1:23" x14ac:dyDescent="0.3">
      <c r="A2">
        <v>59</v>
      </c>
      <c r="B2">
        <v>2</v>
      </c>
      <c r="C2">
        <v>1</v>
      </c>
      <c r="D2">
        <v>4</v>
      </c>
      <c r="E2">
        <v>1</v>
      </c>
      <c r="F2">
        <v>252</v>
      </c>
      <c r="G2">
        <v>1.33</v>
      </c>
      <c r="H2">
        <v>209</v>
      </c>
      <c r="I2">
        <v>30</v>
      </c>
      <c r="J2">
        <v>1</v>
      </c>
      <c r="M2" s="5"/>
      <c r="N2" s="5" t="s">
        <v>1407</v>
      </c>
      <c r="O2" s="5" t="s">
        <v>1421</v>
      </c>
      <c r="P2" s="5" t="s">
        <v>1422</v>
      </c>
      <c r="Q2" s="5" t="s">
        <v>1423</v>
      </c>
      <c r="R2" s="5" t="s">
        <v>1424</v>
      </c>
      <c r="S2" s="5" t="s">
        <v>1425</v>
      </c>
      <c r="T2" s="5" t="s">
        <v>1426</v>
      </c>
      <c r="U2" s="5" t="s">
        <v>11</v>
      </c>
      <c r="V2" s="5" t="s">
        <v>10</v>
      </c>
      <c r="W2" s="5" t="s">
        <v>6</v>
      </c>
    </row>
    <row r="3" spans="1:23" x14ac:dyDescent="0.3">
      <c r="A3">
        <v>85</v>
      </c>
      <c r="B3">
        <v>1</v>
      </c>
      <c r="C3">
        <v>1</v>
      </c>
      <c r="D3">
        <v>2</v>
      </c>
      <c r="E3">
        <v>1</v>
      </c>
      <c r="F3">
        <v>74</v>
      </c>
      <c r="G3">
        <v>0.42</v>
      </c>
      <c r="H3">
        <v>211</v>
      </c>
      <c r="I3">
        <v>30</v>
      </c>
      <c r="J3">
        <v>2</v>
      </c>
      <c r="M3" t="s">
        <v>1407</v>
      </c>
      <c r="N3">
        <v>1</v>
      </c>
    </row>
    <row r="4" spans="1:23" x14ac:dyDescent="0.3">
      <c r="A4">
        <v>90</v>
      </c>
      <c r="B4">
        <v>2</v>
      </c>
      <c r="C4">
        <v>1</v>
      </c>
      <c r="D4">
        <v>2</v>
      </c>
      <c r="E4">
        <v>1</v>
      </c>
      <c r="F4">
        <v>82</v>
      </c>
      <c r="G4">
        <v>0.45</v>
      </c>
      <c r="H4">
        <v>182</v>
      </c>
      <c r="I4">
        <v>30</v>
      </c>
      <c r="J4">
        <v>2</v>
      </c>
      <c r="M4" t="s">
        <v>1421</v>
      </c>
      <c r="N4">
        <v>0.31304611389788323</v>
      </c>
      <c r="O4">
        <v>1</v>
      </c>
    </row>
    <row r="5" spans="1:23" x14ac:dyDescent="0.3">
      <c r="A5">
        <v>116</v>
      </c>
      <c r="B5">
        <v>1</v>
      </c>
      <c r="C5">
        <v>1</v>
      </c>
      <c r="D5">
        <v>4</v>
      </c>
      <c r="E5">
        <v>0</v>
      </c>
      <c r="F5">
        <v>392</v>
      </c>
      <c r="G5">
        <v>2.2200000000000002</v>
      </c>
      <c r="H5">
        <v>244</v>
      </c>
      <c r="I5">
        <v>30</v>
      </c>
      <c r="J5">
        <v>2</v>
      </c>
      <c r="M5" t="s">
        <v>1422</v>
      </c>
      <c r="N5">
        <v>5.13153843807687E-2</v>
      </c>
      <c r="O5">
        <v>0.12817722389718481</v>
      </c>
      <c r="P5">
        <v>1</v>
      </c>
    </row>
    <row r="6" spans="1:23" x14ac:dyDescent="0.3">
      <c r="A6">
        <v>60</v>
      </c>
      <c r="B6">
        <v>2</v>
      </c>
      <c r="C6">
        <v>1.5</v>
      </c>
      <c r="D6">
        <v>4</v>
      </c>
      <c r="E6">
        <v>1</v>
      </c>
      <c r="F6">
        <v>283</v>
      </c>
      <c r="G6">
        <v>1.62</v>
      </c>
      <c r="H6">
        <v>59</v>
      </c>
      <c r="I6">
        <v>30</v>
      </c>
      <c r="J6">
        <v>2</v>
      </c>
      <c r="M6" t="s">
        <v>1423</v>
      </c>
      <c r="N6">
        <v>0.31032303236066561</v>
      </c>
      <c r="O6">
        <v>-3.6077562031178005E-2</v>
      </c>
      <c r="P6">
        <v>-1.4808412083414898E-2</v>
      </c>
      <c r="Q6">
        <v>1</v>
      </c>
    </row>
    <row r="7" spans="1:23" x14ac:dyDescent="0.3">
      <c r="A7">
        <v>195</v>
      </c>
      <c r="B7">
        <v>1</v>
      </c>
      <c r="C7">
        <v>1</v>
      </c>
      <c r="D7">
        <v>2</v>
      </c>
      <c r="E7">
        <v>0</v>
      </c>
      <c r="F7">
        <v>299</v>
      </c>
      <c r="G7">
        <v>1.66</v>
      </c>
      <c r="H7">
        <v>191</v>
      </c>
      <c r="I7">
        <v>30</v>
      </c>
      <c r="J7">
        <v>2</v>
      </c>
      <c r="M7" t="s">
        <v>1424</v>
      </c>
      <c r="N7">
        <v>-0.17707132047361313</v>
      </c>
      <c r="O7">
        <v>-0.22984378502005634</v>
      </c>
      <c r="P7">
        <v>0.10765987559396013</v>
      </c>
      <c r="Q7">
        <v>-0.12673819144210022</v>
      </c>
      <c r="R7">
        <v>1</v>
      </c>
    </row>
    <row r="8" spans="1:23" x14ac:dyDescent="0.3">
      <c r="A8">
        <v>336</v>
      </c>
      <c r="B8">
        <v>2</v>
      </c>
      <c r="C8">
        <v>2.5</v>
      </c>
      <c r="D8">
        <v>2</v>
      </c>
      <c r="E8">
        <v>1</v>
      </c>
      <c r="F8">
        <v>48</v>
      </c>
      <c r="G8">
        <v>0.31</v>
      </c>
      <c r="H8">
        <v>55</v>
      </c>
      <c r="I8">
        <v>2</v>
      </c>
      <c r="J8">
        <v>4</v>
      </c>
      <c r="M8" t="s">
        <v>1425</v>
      </c>
      <c r="N8">
        <v>-2.8294657466797851E-2</v>
      </c>
      <c r="O8">
        <v>5.243683760936102E-2</v>
      </c>
      <c r="P8">
        <v>-5.0811650289998123E-2</v>
      </c>
      <c r="Q8">
        <v>-0.12411556867444579</v>
      </c>
      <c r="R8">
        <v>2.333209242766366E-2</v>
      </c>
      <c r="S8">
        <v>1</v>
      </c>
    </row>
    <row r="9" spans="1:23" x14ac:dyDescent="0.3">
      <c r="A9">
        <v>246</v>
      </c>
      <c r="B9">
        <v>1</v>
      </c>
      <c r="C9">
        <v>1</v>
      </c>
      <c r="D9">
        <v>4</v>
      </c>
      <c r="E9">
        <v>0</v>
      </c>
      <c r="F9">
        <v>245</v>
      </c>
      <c r="G9">
        <v>1.51</v>
      </c>
      <c r="H9">
        <v>99</v>
      </c>
      <c r="I9">
        <v>30</v>
      </c>
      <c r="J9">
        <v>2</v>
      </c>
      <c r="M9" t="s">
        <v>1426</v>
      </c>
      <c r="N9">
        <v>0.13214113163519484</v>
      </c>
      <c r="O9">
        <v>5.2445875584738594E-2</v>
      </c>
      <c r="P9">
        <v>-4.2869755311975878E-2</v>
      </c>
      <c r="Q9">
        <v>-0.11628465038436835</v>
      </c>
      <c r="R9">
        <v>0.15800905397266232</v>
      </c>
      <c r="S9">
        <v>0.61217142310677275</v>
      </c>
      <c r="T9">
        <v>1</v>
      </c>
    </row>
    <row r="10" spans="1:23" x14ac:dyDescent="0.3">
      <c r="A10">
        <v>130</v>
      </c>
      <c r="B10">
        <v>1</v>
      </c>
      <c r="C10">
        <v>1</v>
      </c>
      <c r="D10">
        <v>4</v>
      </c>
      <c r="E10">
        <v>0</v>
      </c>
      <c r="F10">
        <v>127</v>
      </c>
      <c r="G10">
        <v>0.77</v>
      </c>
      <c r="H10">
        <v>281</v>
      </c>
      <c r="I10">
        <v>30</v>
      </c>
      <c r="J10">
        <v>3</v>
      </c>
      <c r="M10" t="s">
        <v>11</v>
      </c>
      <c r="N10">
        <v>-9.6263568704987763E-3</v>
      </c>
      <c r="O10">
        <v>7.6507436083477862E-2</v>
      </c>
      <c r="P10">
        <v>4.7514259049048338E-2</v>
      </c>
      <c r="Q10">
        <v>4.8788920417898764E-2</v>
      </c>
      <c r="R10">
        <v>-3.1067996009981883E-4</v>
      </c>
      <c r="S10">
        <v>-0.10124611926376871</v>
      </c>
      <c r="T10">
        <v>-7.2249017616444478E-2</v>
      </c>
      <c r="U10">
        <v>1</v>
      </c>
    </row>
    <row r="11" spans="1:23" x14ac:dyDescent="0.3">
      <c r="A11">
        <v>78</v>
      </c>
      <c r="B11">
        <v>1</v>
      </c>
      <c r="C11">
        <v>1</v>
      </c>
      <c r="D11">
        <v>2</v>
      </c>
      <c r="E11">
        <v>1</v>
      </c>
      <c r="F11">
        <v>62</v>
      </c>
      <c r="G11">
        <v>0.53</v>
      </c>
      <c r="H11">
        <v>53</v>
      </c>
      <c r="I11">
        <v>30</v>
      </c>
      <c r="J11">
        <v>1</v>
      </c>
      <c r="M11" t="s">
        <v>10</v>
      </c>
      <c r="N11">
        <v>-0.41006498688497356</v>
      </c>
      <c r="O11">
        <v>-5.8840925616535845E-2</v>
      </c>
      <c r="P11">
        <v>4.1141768460330269E-2</v>
      </c>
      <c r="Q11">
        <v>-4.9202410347618179E-2</v>
      </c>
      <c r="R11">
        <v>-0.40932108972145376</v>
      </c>
      <c r="S11">
        <v>-4.960092977610208E-2</v>
      </c>
      <c r="T11">
        <v>-0.41169050824605274</v>
      </c>
      <c r="U11">
        <v>2.126912787079957E-2</v>
      </c>
      <c r="V11">
        <v>1</v>
      </c>
    </row>
    <row r="12" spans="1:23" ht="15" thickBot="1" x14ac:dyDescent="0.35">
      <c r="A12">
        <v>95</v>
      </c>
      <c r="B12">
        <v>2</v>
      </c>
      <c r="C12">
        <v>1</v>
      </c>
      <c r="D12">
        <v>2</v>
      </c>
      <c r="E12">
        <v>0</v>
      </c>
      <c r="F12">
        <v>67</v>
      </c>
      <c r="G12">
        <v>0.4</v>
      </c>
      <c r="H12">
        <v>249</v>
      </c>
      <c r="I12">
        <v>30</v>
      </c>
      <c r="J12">
        <v>4</v>
      </c>
      <c r="M12" s="4" t="s">
        <v>6</v>
      </c>
      <c r="N12" s="4">
        <v>0.44567613970662678</v>
      </c>
      <c r="O12" s="4">
        <v>0.77432820926260948</v>
      </c>
      <c r="P12" s="4">
        <v>0.12648522541484747</v>
      </c>
      <c r="Q12" s="4">
        <v>5.1606000124808649E-3</v>
      </c>
      <c r="R12" s="4">
        <v>-0.32270596319903122</v>
      </c>
      <c r="S12" s="4">
        <v>1.4582887049385975E-2</v>
      </c>
      <c r="T12" s="4">
        <v>5.3428081831183839E-2</v>
      </c>
      <c r="U12" s="4">
        <v>0.10201204907158867</v>
      </c>
      <c r="V12" s="4">
        <v>-6.7403966588803307E-2</v>
      </c>
      <c r="W12" s="4">
        <v>1</v>
      </c>
    </row>
    <row r="13" spans="1:23" x14ac:dyDescent="0.3">
      <c r="A13">
        <v>50</v>
      </c>
      <c r="B13">
        <v>1</v>
      </c>
      <c r="C13">
        <v>1</v>
      </c>
      <c r="D13">
        <v>2</v>
      </c>
      <c r="E13">
        <v>1</v>
      </c>
      <c r="F13">
        <v>50</v>
      </c>
      <c r="G13">
        <v>0.32</v>
      </c>
      <c r="H13">
        <v>173</v>
      </c>
      <c r="I13">
        <v>30</v>
      </c>
      <c r="J13">
        <v>2</v>
      </c>
    </row>
    <row r="14" spans="1:23" x14ac:dyDescent="0.3">
      <c r="A14">
        <v>150</v>
      </c>
      <c r="B14">
        <v>1</v>
      </c>
      <c r="C14">
        <v>1</v>
      </c>
      <c r="D14">
        <v>4</v>
      </c>
      <c r="E14">
        <v>0</v>
      </c>
      <c r="F14">
        <v>80</v>
      </c>
      <c r="G14">
        <v>0.52</v>
      </c>
      <c r="H14">
        <v>81</v>
      </c>
      <c r="I14">
        <v>30</v>
      </c>
      <c r="J14">
        <v>2</v>
      </c>
    </row>
    <row r="15" spans="1:23" x14ac:dyDescent="0.3">
      <c r="A15">
        <v>117</v>
      </c>
      <c r="B15">
        <v>1</v>
      </c>
      <c r="C15">
        <v>1</v>
      </c>
      <c r="D15">
        <v>2</v>
      </c>
      <c r="E15">
        <v>0</v>
      </c>
      <c r="F15">
        <v>124</v>
      </c>
      <c r="G15">
        <v>0.81</v>
      </c>
      <c r="H15">
        <v>136</v>
      </c>
      <c r="I15">
        <v>30</v>
      </c>
      <c r="J15">
        <v>2</v>
      </c>
    </row>
    <row r="16" spans="1:23" x14ac:dyDescent="0.3">
      <c r="A16">
        <v>297</v>
      </c>
      <c r="B16">
        <v>1</v>
      </c>
      <c r="C16">
        <v>1</v>
      </c>
      <c r="D16">
        <v>4</v>
      </c>
      <c r="E16">
        <v>0</v>
      </c>
      <c r="F16">
        <v>242</v>
      </c>
      <c r="G16">
        <v>1.61</v>
      </c>
      <c r="H16">
        <v>70</v>
      </c>
      <c r="I16">
        <v>30</v>
      </c>
      <c r="J16">
        <v>2</v>
      </c>
    </row>
    <row r="17" spans="1:10" x14ac:dyDescent="0.3">
      <c r="A17">
        <v>109</v>
      </c>
      <c r="B17">
        <v>3</v>
      </c>
      <c r="C17">
        <v>1</v>
      </c>
      <c r="D17">
        <v>2</v>
      </c>
      <c r="E17">
        <v>0</v>
      </c>
      <c r="F17">
        <v>272</v>
      </c>
      <c r="G17">
        <v>1.79</v>
      </c>
      <c r="H17">
        <v>86</v>
      </c>
      <c r="I17">
        <v>30</v>
      </c>
      <c r="J17">
        <v>4</v>
      </c>
    </row>
    <row r="18" spans="1:10" x14ac:dyDescent="0.3">
      <c r="A18">
        <v>293</v>
      </c>
      <c r="B18">
        <v>2</v>
      </c>
      <c r="C18">
        <v>1</v>
      </c>
      <c r="D18">
        <v>4</v>
      </c>
      <c r="E18">
        <v>0</v>
      </c>
      <c r="F18">
        <v>102</v>
      </c>
      <c r="G18">
        <v>0.69</v>
      </c>
      <c r="H18">
        <v>317</v>
      </c>
      <c r="I18">
        <v>30</v>
      </c>
      <c r="J18">
        <v>3</v>
      </c>
    </row>
    <row r="19" spans="1:10" x14ac:dyDescent="0.3">
      <c r="A19">
        <v>165</v>
      </c>
      <c r="B19">
        <v>2</v>
      </c>
      <c r="C19">
        <v>1</v>
      </c>
      <c r="D19">
        <v>2</v>
      </c>
      <c r="E19">
        <v>1</v>
      </c>
      <c r="F19">
        <v>127</v>
      </c>
      <c r="G19">
        <v>0.86</v>
      </c>
      <c r="H19">
        <v>194</v>
      </c>
      <c r="I19">
        <v>4</v>
      </c>
      <c r="J19">
        <v>2</v>
      </c>
    </row>
    <row r="20" spans="1:10" x14ac:dyDescent="0.3">
      <c r="A20">
        <v>128</v>
      </c>
      <c r="B20">
        <v>2</v>
      </c>
      <c r="C20">
        <v>1</v>
      </c>
      <c r="D20">
        <v>2</v>
      </c>
      <c r="E20">
        <v>0</v>
      </c>
      <c r="F20">
        <v>58</v>
      </c>
      <c r="G20">
        <v>0.39</v>
      </c>
      <c r="H20">
        <v>64</v>
      </c>
      <c r="I20">
        <v>30</v>
      </c>
      <c r="J20">
        <v>4</v>
      </c>
    </row>
    <row r="21" spans="1:10" x14ac:dyDescent="0.3">
      <c r="A21">
        <v>110</v>
      </c>
      <c r="B21">
        <v>1</v>
      </c>
      <c r="C21">
        <v>1</v>
      </c>
      <c r="D21">
        <v>2</v>
      </c>
      <c r="E21">
        <v>0</v>
      </c>
      <c r="F21">
        <v>79</v>
      </c>
      <c r="G21">
        <v>0.68</v>
      </c>
      <c r="H21">
        <v>166</v>
      </c>
      <c r="I21">
        <v>30</v>
      </c>
      <c r="J21">
        <v>2</v>
      </c>
    </row>
    <row r="22" spans="1:10" x14ac:dyDescent="0.3">
      <c r="A22">
        <v>232</v>
      </c>
      <c r="B22">
        <v>2</v>
      </c>
      <c r="C22">
        <v>1</v>
      </c>
      <c r="D22">
        <v>4</v>
      </c>
      <c r="E22">
        <v>0</v>
      </c>
      <c r="F22">
        <v>26</v>
      </c>
      <c r="G22">
        <v>0.22</v>
      </c>
      <c r="H22">
        <v>365</v>
      </c>
      <c r="I22">
        <v>30</v>
      </c>
      <c r="J22">
        <v>3</v>
      </c>
    </row>
    <row r="23" spans="1:10" x14ac:dyDescent="0.3">
      <c r="A23">
        <v>143</v>
      </c>
      <c r="B23">
        <v>1</v>
      </c>
      <c r="C23">
        <v>1</v>
      </c>
      <c r="D23">
        <v>2</v>
      </c>
      <c r="E23">
        <v>0</v>
      </c>
      <c r="F23">
        <v>210</v>
      </c>
      <c r="G23">
        <v>1.41</v>
      </c>
      <c r="H23">
        <v>288</v>
      </c>
      <c r="I23">
        <v>30</v>
      </c>
      <c r="J23">
        <v>4</v>
      </c>
    </row>
    <row r="24" spans="1:10" x14ac:dyDescent="0.3">
      <c r="A24">
        <v>165</v>
      </c>
      <c r="B24">
        <v>1</v>
      </c>
      <c r="C24">
        <v>1</v>
      </c>
      <c r="D24">
        <v>0</v>
      </c>
      <c r="E24">
        <v>0</v>
      </c>
      <c r="F24">
        <v>81</v>
      </c>
      <c r="G24">
        <v>0.55000000000000004</v>
      </c>
      <c r="H24">
        <v>246</v>
      </c>
      <c r="I24">
        <v>30</v>
      </c>
      <c r="J24">
        <v>1</v>
      </c>
    </row>
    <row r="25" spans="1:10" x14ac:dyDescent="0.3">
      <c r="A25">
        <v>98</v>
      </c>
      <c r="B25">
        <v>2</v>
      </c>
      <c r="C25">
        <v>1</v>
      </c>
      <c r="D25">
        <v>4</v>
      </c>
      <c r="E25">
        <v>0</v>
      </c>
      <c r="F25">
        <v>92</v>
      </c>
      <c r="G25">
        <v>0.62</v>
      </c>
      <c r="H25">
        <v>242</v>
      </c>
      <c r="I25">
        <v>30</v>
      </c>
      <c r="J25">
        <v>3</v>
      </c>
    </row>
    <row r="26" spans="1:10" x14ac:dyDescent="0.3">
      <c r="A26">
        <v>159</v>
      </c>
      <c r="B26">
        <v>1</v>
      </c>
      <c r="C26">
        <v>1.5</v>
      </c>
      <c r="D26">
        <v>4</v>
      </c>
      <c r="E26">
        <v>1</v>
      </c>
      <c r="F26">
        <v>121</v>
      </c>
      <c r="G26">
        <v>0.84</v>
      </c>
      <c r="H26">
        <v>284</v>
      </c>
      <c r="I26">
        <v>30</v>
      </c>
      <c r="J26">
        <v>1</v>
      </c>
    </row>
    <row r="27" spans="1:10" x14ac:dyDescent="0.3">
      <c r="A27">
        <v>153</v>
      </c>
      <c r="B27">
        <v>1</v>
      </c>
      <c r="C27">
        <v>1</v>
      </c>
      <c r="D27">
        <v>2</v>
      </c>
      <c r="E27">
        <v>0</v>
      </c>
      <c r="F27">
        <v>265</v>
      </c>
      <c r="G27">
        <v>1.83</v>
      </c>
      <c r="H27">
        <v>239</v>
      </c>
      <c r="I27">
        <v>30</v>
      </c>
      <c r="J27">
        <v>2</v>
      </c>
    </row>
    <row r="28" spans="1:10" x14ac:dyDescent="0.3">
      <c r="A28">
        <v>93</v>
      </c>
      <c r="B28">
        <v>2</v>
      </c>
      <c r="C28">
        <v>1</v>
      </c>
      <c r="D28">
        <v>4</v>
      </c>
      <c r="E28">
        <v>1</v>
      </c>
      <c r="F28">
        <v>320</v>
      </c>
      <c r="G28">
        <v>2.2200000000000002</v>
      </c>
      <c r="H28">
        <v>107</v>
      </c>
      <c r="I28">
        <v>30</v>
      </c>
      <c r="J28">
        <v>1</v>
      </c>
    </row>
    <row r="29" spans="1:10" x14ac:dyDescent="0.3">
      <c r="A29">
        <v>223</v>
      </c>
      <c r="B29">
        <v>4</v>
      </c>
      <c r="C29">
        <v>1</v>
      </c>
      <c r="D29">
        <v>0</v>
      </c>
      <c r="E29">
        <v>0</v>
      </c>
      <c r="F29">
        <v>490</v>
      </c>
      <c r="G29">
        <v>3.59</v>
      </c>
      <c r="H29">
        <v>153</v>
      </c>
      <c r="I29">
        <v>30</v>
      </c>
      <c r="J29">
        <v>7</v>
      </c>
    </row>
    <row r="30" spans="1:10" x14ac:dyDescent="0.3">
      <c r="A30">
        <v>140</v>
      </c>
      <c r="B30">
        <v>1</v>
      </c>
      <c r="C30">
        <v>1</v>
      </c>
      <c r="D30">
        <v>4</v>
      </c>
      <c r="E30">
        <v>0</v>
      </c>
      <c r="F30">
        <v>69</v>
      </c>
      <c r="G30">
        <v>0.56000000000000005</v>
      </c>
      <c r="H30">
        <v>89</v>
      </c>
      <c r="I30">
        <v>30</v>
      </c>
      <c r="J30">
        <v>2</v>
      </c>
    </row>
    <row r="31" spans="1:10" x14ac:dyDescent="0.3">
      <c r="A31">
        <v>140</v>
      </c>
      <c r="B31">
        <v>1</v>
      </c>
      <c r="C31">
        <v>1</v>
      </c>
      <c r="D31">
        <v>4</v>
      </c>
      <c r="E31">
        <v>0</v>
      </c>
      <c r="F31">
        <v>309</v>
      </c>
      <c r="G31">
        <v>2.23</v>
      </c>
      <c r="H31">
        <v>277</v>
      </c>
      <c r="I31">
        <v>30</v>
      </c>
      <c r="J31">
        <v>2</v>
      </c>
    </row>
    <row r="32" spans="1:10" x14ac:dyDescent="0.3">
      <c r="A32">
        <v>160</v>
      </c>
      <c r="B32">
        <v>3</v>
      </c>
      <c r="C32">
        <v>1</v>
      </c>
      <c r="D32">
        <v>2</v>
      </c>
      <c r="E32">
        <v>0</v>
      </c>
      <c r="F32">
        <v>6</v>
      </c>
      <c r="G32">
        <v>0.19</v>
      </c>
      <c r="H32">
        <v>272</v>
      </c>
      <c r="I32">
        <v>30</v>
      </c>
      <c r="J32">
        <v>4</v>
      </c>
    </row>
    <row r="33" spans="1:10" x14ac:dyDescent="0.3">
      <c r="A33">
        <v>86</v>
      </c>
      <c r="B33">
        <v>1</v>
      </c>
      <c r="C33">
        <v>1</v>
      </c>
      <c r="D33">
        <v>2</v>
      </c>
      <c r="E33">
        <v>0</v>
      </c>
      <c r="F33">
        <v>336</v>
      </c>
      <c r="G33">
        <v>2.4700000000000002</v>
      </c>
      <c r="H33">
        <v>144</v>
      </c>
      <c r="I33">
        <v>30</v>
      </c>
      <c r="J33">
        <v>2</v>
      </c>
    </row>
    <row r="34" spans="1:10" x14ac:dyDescent="0.3">
      <c r="A34">
        <v>153</v>
      </c>
      <c r="B34">
        <v>1</v>
      </c>
      <c r="C34">
        <v>1</v>
      </c>
      <c r="D34">
        <v>4</v>
      </c>
      <c r="E34">
        <v>0</v>
      </c>
      <c r="F34">
        <v>280</v>
      </c>
      <c r="G34">
        <v>2.6</v>
      </c>
      <c r="H34">
        <v>83</v>
      </c>
      <c r="I34">
        <v>30</v>
      </c>
      <c r="J34">
        <v>3</v>
      </c>
    </row>
    <row r="35" spans="1:10" x14ac:dyDescent="0.3">
      <c r="A35">
        <v>168</v>
      </c>
      <c r="B35">
        <v>1</v>
      </c>
      <c r="C35">
        <v>1</v>
      </c>
      <c r="D35">
        <v>2</v>
      </c>
      <c r="E35">
        <v>0</v>
      </c>
      <c r="F35">
        <v>311</v>
      </c>
      <c r="G35">
        <v>2.2999999999999998</v>
      </c>
      <c r="H35">
        <v>248</v>
      </c>
      <c r="I35">
        <v>30</v>
      </c>
      <c r="J35">
        <v>2</v>
      </c>
    </row>
    <row r="36" spans="1:10" x14ac:dyDescent="0.3">
      <c r="A36">
        <v>125</v>
      </c>
      <c r="B36">
        <v>1</v>
      </c>
      <c r="C36">
        <v>1</v>
      </c>
      <c r="D36">
        <v>4</v>
      </c>
      <c r="E36">
        <v>0</v>
      </c>
      <c r="F36">
        <v>14</v>
      </c>
      <c r="G36">
        <v>0.14000000000000001</v>
      </c>
      <c r="H36">
        <v>338</v>
      </c>
      <c r="I36">
        <v>30</v>
      </c>
      <c r="J36">
        <v>2</v>
      </c>
    </row>
    <row r="37" spans="1:10" x14ac:dyDescent="0.3">
      <c r="A37">
        <v>100</v>
      </c>
      <c r="B37">
        <v>1</v>
      </c>
      <c r="C37">
        <v>1</v>
      </c>
      <c r="D37">
        <v>4</v>
      </c>
      <c r="E37">
        <v>0</v>
      </c>
      <c r="F37">
        <v>25</v>
      </c>
      <c r="G37">
        <v>0.19</v>
      </c>
      <c r="H37">
        <v>193</v>
      </c>
      <c r="I37">
        <v>30</v>
      </c>
      <c r="J37">
        <v>2</v>
      </c>
    </row>
    <row r="38" spans="1:10" x14ac:dyDescent="0.3">
      <c r="A38">
        <v>117</v>
      </c>
      <c r="B38">
        <v>2</v>
      </c>
      <c r="C38">
        <v>1</v>
      </c>
      <c r="D38">
        <v>4</v>
      </c>
      <c r="E38">
        <v>0</v>
      </c>
      <c r="F38">
        <v>11</v>
      </c>
      <c r="G38">
        <v>0.11</v>
      </c>
      <c r="H38">
        <v>257</v>
      </c>
      <c r="I38">
        <v>30</v>
      </c>
      <c r="J38">
        <v>2</v>
      </c>
    </row>
    <row r="39" spans="1:10" x14ac:dyDescent="0.3">
      <c r="A39">
        <v>110</v>
      </c>
      <c r="B39">
        <v>1</v>
      </c>
      <c r="C39">
        <v>1</v>
      </c>
      <c r="D39">
        <v>4</v>
      </c>
      <c r="E39">
        <v>1</v>
      </c>
      <c r="F39">
        <v>172</v>
      </c>
      <c r="G39">
        <v>1.3</v>
      </c>
      <c r="H39">
        <v>270</v>
      </c>
      <c r="I39">
        <v>7</v>
      </c>
      <c r="J39">
        <v>1</v>
      </c>
    </row>
    <row r="40" spans="1:10" x14ac:dyDescent="0.3">
      <c r="A40">
        <v>220</v>
      </c>
      <c r="B40">
        <v>3</v>
      </c>
      <c r="C40">
        <v>1</v>
      </c>
      <c r="D40">
        <v>2</v>
      </c>
      <c r="E40">
        <v>0</v>
      </c>
      <c r="F40">
        <v>105</v>
      </c>
      <c r="G40">
        <v>0.79</v>
      </c>
      <c r="H40">
        <v>268</v>
      </c>
      <c r="I40">
        <v>30</v>
      </c>
      <c r="J40">
        <v>3</v>
      </c>
    </row>
    <row r="41" spans="1:10" x14ac:dyDescent="0.3">
      <c r="A41">
        <v>83</v>
      </c>
      <c r="B41">
        <v>1</v>
      </c>
      <c r="C41">
        <v>1</v>
      </c>
      <c r="D41">
        <v>0</v>
      </c>
      <c r="E41">
        <v>1</v>
      </c>
      <c r="F41">
        <v>248</v>
      </c>
      <c r="G41">
        <v>1.88</v>
      </c>
      <c r="H41">
        <v>338</v>
      </c>
      <c r="I41">
        <v>1</v>
      </c>
      <c r="J41">
        <v>2</v>
      </c>
    </row>
    <row r="42" spans="1:10" x14ac:dyDescent="0.3">
      <c r="A42">
        <v>149</v>
      </c>
      <c r="B42">
        <v>2</v>
      </c>
      <c r="C42">
        <v>2</v>
      </c>
      <c r="D42">
        <v>2</v>
      </c>
      <c r="E42">
        <v>0</v>
      </c>
      <c r="F42">
        <v>25</v>
      </c>
      <c r="G42">
        <v>0.2</v>
      </c>
      <c r="H42">
        <v>325</v>
      </c>
      <c r="I42">
        <v>30</v>
      </c>
      <c r="J42">
        <v>5</v>
      </c>
    </row>
    <row r="43" spans="1:10" x14ac:dyDescent="0.3">
      <c r="A43">
        <v>241</v>
      </c>
      <c r="B43">
        <v>1</v>
      </c>
      <c r="C43">
        <v>1</v>
      </c>
      <c r="D43">
        <v>4</v>
      </c>
      <c r="E43">
        <v>0</v>
      </c>
      <c r="F43">
        <v>271</v>
      </c>
      <c r="G43">
        <v>2.09</v>
      </c>
      <c r="H43">
        <v>132</v>
      </c>
      <c r="I43">
        <v>30</v>
      </c>
      <c r="J43">
        <v>2</v>
      </c>
    </row>
    <row r="44" spans="1:10" x14ac:dyDescent="0.3">
      <c r="A44">
        <v>200</v>
      </c>
      <c r="B44">
        <v>1</v>
      </c>
      <c r="C44">
        <v>1</v>
      </c>
      <c r="D44">
        <v>2</v>
      </c>
      <c r="E44">
        <v>0</v>
      </c>
      <c r="F44">
        <v>36</v>
      </c>
      <c r="G44">
        <v>0.28000000000000003</v>
      </c>
      <c r="H44">
        <v>121</v>
      </c>
      <c r="I44">
        <v>30</v>
      </c>
      <c r="J44">
        <v>3</v>
      </c>
    </row>
    <row r="45" spans="1:10" x14ac:dyDescent="0.3">
      <c r="A45">
        <v>75</v>
      </c>
      <c r="B45">
        <v>1</v>
      </c>
      <c r="C45">
        <v>1.5</v>
      </c>
      <c r="D45">
        <v>0</v>
      </c>
      <c r="E45">
        <v>1</v>
      </c>
      <c r="F45">
        <v>223</v>
      </c>
      <c r="G45">
        <v>1.94</v>
      </c>
      <c r="H45">
        <v>358</v>
      </c>
      <c r="I45">
        <v>30</v>
      </c>
      <c r="J45">
        <v>3</v>
      </c>
    </row>
    <row r="46" spans="1:10" x14ac:dyDescent="0.3">
      <c r="A46">
        <v>121</v>
      </c>
      <c r="B46">
        <v>1</v>
      </c>
      <c r="C46">
        <v>1</v>
      </c>
      <c r="D46">
        <v>4</v>
      </c>
      <c r="E46">
        <v>0</v>
      </c>
      <c r="F46">
        <v>9</v>
      </c>
      <c r="G46">
        <v>0.09</v>
      </c>
      <c r="H46">
        <v>228</v>
      </c>
      <c r="I46">
        <v>30</v>
      </c>
      <c r="J46">
        <v>2</v>
      </c>
    </row>
    <row r="47" spans="1:10" x14ac:dyDescent="0.3">
      <c r="A47">
        <v>154</v>
      </c>
      <c r="B47">
        <v>2</v>
      </c>
      <c r="C47">
        <v>1</v>
      </c>
      <c r="D47">
        <v>2</v>
      </c>
      <c r="E47">
        <v>1</v>
      </c>
      <c r="F47">
        <v>427</v>
      </c>
      <c r="G47">
        <v>3.3</v>
      </c>
      <c r="H47">
        <v>319</v>
      </c>
      <c r="I47">
        <v>2</v>
      </c>
      <c r="J47">
        <v>2</v>
      </c>
    </row>
    <row r="48" spans="1:10" x14ac:dyDescent="0.3">
      <c r="A48">
        <v>119</v>
      </c>
      <c r="B48">
        <v>4</v>
      </c>
      <c r="C48">
        <v>1</v>
      </c>
      <c r="D48">
        <v>2</v>
      </c>
      <c r="E48">
        <v>0</v>
      </c>
      <c r="F48">
        <v>41</v>
      </c>
      <c r="G48">
        <v>0.32</v>
      </c>
      <c r="H48">
        <v>98</v>
      </c>
      <c r="I48">
        <v>30</v>
      </c>
      <c r="J48">
        <v>2</v>
      </c>
    </row>
    <row r="49" spans="1:10" x14ac:dyDescent="0.3">
      <c r="A49">
        <v>150</v>
      </c>
      <c r="B49">
        <v>1</v>
      </c>
      <c r="C49">
        <v>1</v>
      </c>
      <c r="D49">
        <v>4</v>
      </c>
      <c r="E49">
        <v>0</v>
      </c>
      <c r="F49">
        <v>77</v>
      </c>
      <c r="G49">
        <v>0.6</v>
      </c>
      <c r="H49">
        <v>268</v>
      </c>
      <c r="I49">
        <v>30</v>
      </c>
      <c r="J49">
        <v>2</v>
      </c>
    </row>
    <row r="50" spans="1:10" x14ac:dyDescent="0.3">
      <c r="A50">
        <v>100</v>
      </c>
      <c r="B50">
        <v>2</v>
      </c>
      <c r="C50">
        <v>1</v>
      </c>
      <c r="D50">
        <v>4</v>
      </c>
      <c r="E50">
        <v>0</v>
      </c>
      <c r="F50">
        <v>27</v>
      </c>
      <c r="G50">
        <v>0.22</v>
      </c>
      <c r="H50">
        <v>280</v>
      </c>
      <c r="I50">
        <v>30</v>
      </c>
      <c r="J50">
        <v>3</v>
      </c>
    </row>
    <row r="51" spans="1:10" x14ac:dyDescent="0.3">
      <c r="A51">
        <v>166</v>
      </c>
      <c r="B51">
        <v>1</v>
      </c>
      <c r="C51">
        <v>1</v>
      </c>
      <c r="D51">
        <v>4</v>
      </c>
      <c r="E51">
        <v>0</v>
      </c>
      <c r="F51">
        <v>375</v>
      </c>
      <c r="G51">
        <v>2.92</v>
      </c>
      <c r="H51">
        <v>114</v>
      </c>
      <c r="I51">
        <v>30</v>
      </c>
      <c r="J51">
        <v>2</v>
      </c>
    </row>
    <row r="52" spans="1:10" x14ac:dyDescent="0.3">
      <c r="A52">
        <v>96</v>
      </c>
      <c r="B52">
        <v>1</v>
      </c>
      <c r="C52">
        <v>1</v>
      </c>
      <c r="D52">
        <v>4</v>
      </c>
      <c r="E52">
        <v>1</v>
      </c>
      <c r="F52">
        <v>17</v>
      </c>
      <c r="G52">
        <v>0.15</v>
      </c>
      <c r="H52">
        <v>106</v>
      </c>
      <c r="I52">
        <v>30</v>
      </c>
      <c r="J52">
        <v>2</v>
      </c>
    </row>
    <row r="53" spans="1:10" x14ac:dyDescent="0.3">
      <c r="A53">
        <v>90</v>
      </c>
      <c r="B53">
        <v>1</v>
      </c>
      <c r="C53">
        <v>1.5</v>
      </c>
      <c r="D53">
        <v>4</v>
      </c>
      <c r="E53">
        <v>1</v>
      </c>
      <c r="F53">
        <v>244</v>
      </c>
      <c r="G53">
        <v>1.91</v>
      </c>
      <c r="H53">
        <v>111</v>
      </c>
      <c r="I53">
        <v>30</v>
      </c>
      <c r="J53">
        <v>2</v>
      </c>
    </row>
    <row r="54" spans="1:10" x14ac:dyDescent="0.3">
      <c r="A54">
        <v>68</v>
      </c>
      <c r="B54">
        <v>1</v>
      </c>
      <c r="C54">
        <v>1.5</v>
      </c>
      <c r="D54">
        <v>4</v>
      </c>
      <c r="E54">
        <v>1</v>
      </c>
      <c r="F54">
        <v>68</v>
      </c>
      <c r="G54">
        <v>0.65</v>
      </c>
      <c r="H54">
        <v>146</v>
      </c>
      <c r="I54">
        <v>30</v>
      </c>
      <c r="J54">
        <v>1</v>
      </c>
    </row>
    <row r="55" spans="1:10" x14ac:dyDescent="0.3">
      <c r="A55">
        <v>52</v>
      </c>
      <c r="B55">
        <v>1</v>
      </c>
      <c r="C55">
        <v>1</v>
      </c>
      <c r="D55">
        <v>4</v>
      </c>
      <c r="E55">
        <v>1</v>
      </c>
      <c r="F55">
        <v>189</v>
      </c>
      <c r="G55">
        <v>1.48</v>
      </c>
      <c r="H55">
        <v>274</v>
      </c>
      <c r="I55">
        <v>30</v>
      </c>
      <c r="J55">
        <v>1</v>
      </c>
    </row>
    <row r="56" spans="1:10" x14ac:dyDescent="0.3">
      <c r="A56">
        <v>119</v>
      </c>
      <c r="B56">
        <v>1</v>
      </c>
      <c r="C56">
        <v>1</v>
      </c>
      <c r="D56">
        <v>2</v>
      </c>
      <c r="E56">
        <v>0</v>
      </c>
      <c r="F56">
        <v>353</v>
      </c>
      <c r="G56">
        <v>2.79</v>
      </c>
      <c r="H56">
        <v>270</v>
      </c>
      <c r="I56">
        <v>30</v>
      </c>
      <c r="J56">
        <v>2</v>
      </c>
    </row>
    <row r="57" spans="1:10" x14ac:dyDescent="0.3">
      <c r="A57">
        <v>140</v>
      </c>
      <c r="B57">
        <v>3</v>
      </c>
      <c r="C57">
        <v>1</v>
      </c>
      <c r="D57">
        <v>4</v>
      </c>
      <c r="E57">
        <v>0</v>
      </c>
      <c r="F57">
        <v>28</v>
      </c>
      <c r="G57">
        <v>0.24</v>
      </c>
      <c r="H57">
        <v>291</v>
      </c>
      <c r="I57">
        <v>30</v>
      </c>
      <c r="J57">
        <v>4</v>
      </c>
    </row>
    <row r="58" spans="1:10" x14ac:dyDescent="0.3">
      <c r="A58">
        <v>95</v>
      </c>
      <c r="B58">
        <v>3</v>
      </c>
      <c r="C58">
        <v>1</v>
      </c>
      <c r="D58">
        <v>2</v>
      </c>
      <c r="E58">
        <v>0</v>
      </c>
      <c r="F58">
        <v>109</v>
      </c>
      <c r="G58">
        <v>0.88</v>
      </c>
      <c r="H58">
        <v>242</v>
      </c>
      <c r="I58">
        <v>30</v>
      </c>
      <c r="J58">
        <v>4</v>
      </c>
    </row>
    <row r="59" spans="1:10" x14ac:dyDescent="0.3">
      <c r="A59">
        <v>126</v>
      </c>
      <c r="B59">
        <v>1</v>
      </c>
      <c r="C59">
        <v>1</v>
      </c>
      <c r="D59">
        <v>4</v>
      </c>
      <c r="E59">
        <v>1</v>
      </c>
      <c r="F59">
        <v>79</v>
      </c>
      <c r="G59">
        <v>0.63</v>
      </c>
      <c r="H59">
        <v>136</v>
      </c>
      <c r="I59">
        <v>30</v>
      </c>
      <c r="J59">
        <v>1</v>
      </c>
    </row>
    <row r="60" spans="1:10" x14ac:dyDescent="0.3">
      <c r="A60">
        <v>160</v>
      </c>
      <c r="B60">
        <v>1</v>
      </c>
      <c r="C60">
        <v>1</v>
      </c>
      <c r="D60">
        <v>4</v>
      </c>
      <c r="E60">
        <v>0</v>
      </c>
      <c r="F60">
        <v>99</v>
      </c>
      <c r="G60">
        <v>0.8</v>
      </c>
      <c r="H60">
        <v>158</v>
      </c>
      <c r="I60">
        <v>30</v>
      </c>
      <c r="J60">
        <v>2</v>
      </c>
    </row>
    <row r="61" spans="1:10" x14ac:dyDescent="0.3">
      <c r="A61">
        <v>114</v>
      </c>
      <c r="B61">
        <v>2</v>
      </c>
      <c r="C61">
        <v>1</v>
      </c>
      <c r="D61">
        <v>4</v>
      </c>
      <c r="E61">
        <v>0</v>
      </c>
      <c r="F61">
        <v>26</v>
      </c>
      <c r="G61">
        <v>0.23</v>
      </c>
      <c r="H61">
        <v>364</v>
      </c>
      <c r="I61">
        <v>30</v>
      </c>
      <c r="J61">
        <v>3</v>
      </c>
    </row>
    <row r="62" spans="1:10" x14ac:dyDescent="0.3">
      <c r="A62">
        <v>117</v>
      </c>
      <c r="B62">
        <v>1</v>
      </c>
      <c r="C62">
        <v>1</v>
      </c>
      <c r="D62">
        <v>4</v>
      </c>
      <c r="E62">
        <v>0</v>
      </c>
      <c r="F62">
        <v>26</v>
      </c>
      <c r="G62">
        <v>0.21</v>
      </c>
      <c r="H62">
        <v>337</v>
      </c>
      <c r="I62">
        <v>30</v>
      </c>
      <c r="J62">
        <v>2</v>
      </c>
    </row>
    <row r="63" spans="1:10" x14ac:dyDescent="0.3">
      <c r="A63">
        <v>219</v>
      </c>
      <c r="B63">
        <v>2</v>
      </c>
      <c r="C63">
        <v>1</v>
      </c>
      <c r="D63">
        <v>4</v>
      </c>
      <c r="E63">
        <v>0</v>
      </c>
      <c r="F63">
        <v>17</v>
      </c>
      <c r="G63">
        <v>0.15</v>
      </c>
      <c r="H63">
        <v>348</v>
      </c>
      <c r="I63">
        <v>30</v>
      </c>
      <c r="J63">
        <v>3</v>
      </c>
    </row>
    <row r="64" spans="1:10" x14ac:dyDescent="0.3">
      <c r="A64">
        <v>118</v>
      </c>
      <c r="B64">
        <v>1</v>
      </c>
      <c r="C64">
        <v>10.5</v>
      </c>
      <c r="D64">
        <v>4</v>
      </c>
      <c r="E64">
        <v>1</v>
      </c>
      <c r="F64">
        <v>22</v>
      </c>
      <c r="G64">
        <v>0.19</v>
      </c>
      <c r="H64">
        <v>243</v>
      </c>
      <c r="I64">
        <v>30</v>
      </c>
      <c r="J64">
        <v>1</v>
      </c>
    </row>
    <row r="65" spans="1:10" x14ac:dyDescent="0.3">
      <c r="A65">
        <v>89</v>
      </c>
      <c r="B65">
        <v>1</v>
      </c>
      <c r="C65">
        <v>1</v>
      </c>
      <c r="D65">
        <v>2</v>
      </c>
      <c r="E65">
        <v>1</v>
      </c>
      <c r="F65">
        <v>13</v>
      </c>
      <c r="G65">
        <v>0.11</v>
      </c>
      <c r="H65">
        <v>334</v>
      </c>
      <c r="I65">
        <v>30</v>
      </c>
      <c r="J65">
        <v>2</v>
      </c>
    </row>
    <row r="66" spans="1:10" x14ac:dyDescent="0.3">
      <c r="A66">
        <v>69</v>
      </c>
      <c r="B66">
        <v>1</v>
      </c>
      <c r="C66">
        <v>1</v>
      </c>
      <c r="D66">
        <v>0</v>
      </c>
      <c r="E66">
        <v>1</v>
      </c>
      <c r="F66">
        <v>183</v>
      </c>
      <c r="G66">
        <v>1.52</v>
      </c>
      <c r="H66">
        <v>49</v>
      </c>
      <c r="I66">
        <v>30</v>
      </c>
      <c r="J66">
        <v>2</v>
      </c>
    </row>
    <row r="67" spans="1:10" x14ac:dyDescent="0.3">
      <c r="A67">
        <v>163</v>
      </c>
      <c r="B67">
        <v>1</v>
      </c>
      <c r="C67">
        <v>1</v>
      </c>
      <c r="D67">
        <v>4</v>
      </c>
      <c r="E67">
        <v>0</v>
      </c>
      <c r="F67">
        <v>24</v>
      </c>
      <c r="G67">
        <v>0.2</v>
      </c>
      <c r="H67">
        <v>159</v>
      </c>
      <c r="I67">
        <v>30</v>
      </c>
      <c r="J67">
        <v>2</v>
      </c>
    </row>
    <row r="68" spans="1:10" x14ac:dyDescent="0.3">
      <c r="A68">
        <v>68</v>
      </c>
      <c r="B68">
        <v>1</v>
      </c>
      <c r="C68">
        <v>1</v>
      </c>
      <c r="D68">
        <v>2</v>
      </c>
      <c r="E68">
        <v>1</v>
      </c>
      <c r="F68">
        <v>78</v>
      </c>
      <c r="G68">
        <v>0.65</v>
      </c>
      <c r="H68">
        <v>296</v>
      </c>
      <c r="I68">
        <v>30</v>
      </c>
      <c r="J68">
        <v>1</v>
      </c>
    </row>
    <row r="69" spans="1:10" x14ac:dyDescent="0.3">
      <c r="A69">
        <v>252</v>
      </c>
      <c r="B69">
        <v>1</v>
      </c>
      <c r="C69">
        <v>1</v>
      </c>
      <c r="D69">
        <v>2</v>
      </c>
      <c r="E69">
        <v>0</v>
      </c>
      <c r="F69">
        <v>16</v>
      </c>
      <c r="G69">
        <v>0.26</v>
      </c>
      <c r="H69">
        <v>229</v>
      </c>
      <c r="I69">
        <v>30</v>
      </c>
      <c r="J69">
        <v>2</v>
      </c>
    </row>
    <row r="70" spans="1:10" x14ac:dyDescent="0.3">
      <c r="A70">
        <v>100</v>
      </c>
      <c r="B70">
        <v>1</v>
      </c>
      <c r="C70">
        <v>1</v>
      </c>
      <c r="D70">
        <v>4</v>
      </c>
      <c r="E70">
        <v>1</v>
      </c>
      <c r="F70">
        <v>36</v>
      </c>
      <c r="G70">
        <v>1.07</v>
      </c>
      <c r="H70">
        <v>209</v>
      </c>
      <c r="I70">
        <v>30</v>
      </c>
      <c r="J70">
        <v>1</v>
      </c>
    </row>
    <row r="71" spans="1:10" x14ac:dyDescent="0.3">
      <c r="A71">
        <v>76</v>
      </c>
      <c r="B71">
        <v>2</v>
      </c>
      <c r="C71">
        <v>1</v>
      </c>
      <c r="D71">
        <v>2</v>
      </c>
      <c r="E71">
        <v>0</v>
      </c>
      <c r="F71">
        <v>335</v>
      </c>
      <c r="G71">
        <v>2.83</v>
      </c>
      <c r="H71">
        <v>149</v>
      </c>
      <c r="I71">
        <v>30</v>
      </c>
      <c r="J71">
        <v>4</v>
      </c>
    </row>
    <row r="72" spans="1:10" x14ac:dyDescent="0.3">
      <c r="A72">
        <v>173</v>
      </c>
      <c r="B72">
        <v>1</v>
      </c>
      <c r="C72">
        <v>1</v>
      </c>
      <c r="D72">
        <v>2</v>
      </c>
      <c r="E72">
        <v>1</v>
      </c>
      <c r="F72">
        <v>233</v>
      </c>
      <c r="G72">
        <v>1.98</v>
      </c>
      <c r="H72">
        <v>155</v>
      </c>
      <c r="I72">
        <v>30</v>
      </c>
      <c r="J72">
        <v>2</v>
      </c>
    </row>
    <row r="73" spans="1:10" x14ac:dyDescent="0.3">
      <c r="A73">
        <v>191</v>
      </c>
      <c r="B73">
        <v>1</v>
      </c>
      <c r="C73">
        <v>1</v>
      </c>
      <c r="D73">
        <v>2</v>
      </c>
      <c r="E73">
        <v>0</v>
      </c>
      <c r="F73">
        <v>44</v>
      </c>
      <c r="G73">
        <v>0.37</v>
      </c>
      <c r="H73">
        <v>237</v>
      </c>
      <c r="I73">
        <v>30</v>
      </c>
      <c r="J73">
        <v>2</v>
      </c>
    </row>
    <row r="74" spans="1:10" x14ac:dyDescent="0.3">
      <c r="A74">
        <v>158</v>
      </c>
      <c r="B74">
        <v>2</v>
      </c>
      <c r="C74">
        <v>1</v>
      </c>
      <c r="D74">
        <v>2</v>
      </c>
      <c r="E74">
        <v>0</v>
      </c>
      <c r="F74">
        <v>42</v>
      </c>
      <c r="G74">
        <v>0.39</v>
      </c>
      <c r="H74">
        <v>333</v>
      </c>
      <c r="I74">
        <v>30</v>
      </c>
      <c r="J74">
        <v>2</v>
      </c>
    </row>
    <row r="75" spans="1:10" x14ac:dyDescent="0.3">
      <c r="A75">
        <v>197</v>
      </c>
      <c r="B75">
        <v>2</v>
      </c>
      <c r="C75">
        <v>1</v>
      </c>
      <c r="D75">
        <v>2</v>
      </c>
      <c r="E75">
        <v>0</v>
      </c>
      <c r="F75">
        <v>233</v>
      </c>
      <c r="G75">
        <v>1.96</v>
      </c>
      <c r="H75">
        <v>324</v>
      </c>
      <c r="I75">
        <v>30</v>
      </c>
      <c r="J75">
        <v>4</v>
      </c>
    </row>
    <row r="76" spans="1:10" x14ac:dyDescent="0.3">
      <c r="A76">
        <v>110</v>
      </c>
      <c r="B76">
        <v>1</v>
      </c>
      <c r="C76">
        <v>1</v>
      </c>
      <c r="D76">
        <v>2</v>
      </c>
      <c r="E76">
        <v>0</v>
      </c>
      <c r="F76">
        <v>110</v>
      </c>
      <c r="G76">
        <v>0.95</v>
      </c>
      <c r="H76">
        <v>303</v>
      </c>
      <c r="I76">
        <v>30</v>
      </c>
      <c r="J76">
        <v>2</v>
      </c>
    </row>
    <row r="77" spans="1:10" x14ac:dyDescent="0.3">
      <c r="A77">
        <v>62</v>
      </c>
      <c r="B77">
        <v>1</v>
      </c>
      <c r="C77">
        <v>1</v>
      </c>
      <c r="D77">
        <v>4</v>
      </c>
      <c r="E77">
        <v>1</v>
      </c>
      <c r="F77">
        <v>17</v>
      </c>
      <c r="G77">
        <v>0.14000000000000001</v>
      </c>
      <c r="H77">
        <v>74</v>
      </c>
      <c r="I77">
        <v>30</v>
      </c>
      <c r="J77">
        <v>2</v>
      </c>
    </row>
    <row r="78" spans="1:10" x14ac:dyDescent="0.3">
      <c r="A78">
        <v>50</v>
      </c>
      <c r="B78">
        <v>2</v>
      </c>
      <c r="C78">
        <v>1</v>
      </c>
      <c r="D78">
        <v>0</v>
      </c>
      <c r="E78">
        <v>1</v>
      </c>
      <c r="F78">
        <v>36</v>
      </c>
      <c r="G78">
        <v>0.31</v>
      </c>
      <c r="H78">
        <v>326</v>
      </c>
      <c r="I78">
        <v>30</v>
      </c>
      <c r="J78">
        <v>2</v>
      </c>
    </row>
    <row r="79" spans="1:10" x14ac:dyDescent="0.3">
      <c r="A79">
        <v>106</v>
      </c>
      <c r="B79">
        <v>2</v>
      </c>
      <c r="C79">
        <v>1</v>
      </c>
      <c r="D79">
        <v>2</v>
      </c>
      <c r="E79">
        <v>0</v>
      </c>
      <c r="F79">
        <v>23</v>
      </c>
      <c r="G79">
        <v>0.23</v>
      </c>
      <c r="H79">
        <v>333</v>
      </c>
      <c r="I79">
        <v>30</v>
      </c>
      <c r="J79">
        <v>4</v>
      </c>
    </row>
    <row r="80" spans="1:10" x14ac:dyDescent="0.3">
      <c r="A80">
        <v>101</v>
      </c>
      <c r="B80">
        <v>1</v>
      </c>
      <c r="C80">
        <v>1</v>
      </c>
      <c r="D80">
        <v>4</v>
      </c>
      <c r="E80">
        <v>1</v>
      </c>
      <c r="F80">
        <v>302</v>
      </c>
      <c r="G80">
        <v>2.57</v>
      </c>
      <c r="H80">
        <v>250</v>
      </c>
      <c r="I80">
        <v>30</v>
      </c>
      <c r="J80">
        <v>1</v>
      </c>
    </row>
    <row r="81" spans="1:10" x14ac:dyDescent="0.3">
      <c r="A81">
        <v>112</v>
      </c>
      <c r="B81">
        <v>2</v>
      </c>
      <c r="C81">
        <v>1</v>
      </c>
      <c r="D81">
        <v>0</v>
      </c>
      <c r="E81">
        <v>0</v>
      </c>
      <c r="F81">
        <v>251</v>
      </c>
      <c r="G81">
        <v>2.2000000000000002</v>
      </c>
      <c r="H81">
        <v>323</v>
      </c>
      <c r="I81">
        <v>30</v>
      </c>
      <c r="J81">
        <v>7</v>
      </c>
    </row>
    <row r="82" spans="1:10" x14ac:dyDescent="0.3">
      <c r="A82">
        <v>325</v>
      </c>
      <c r="B82">
        <v>2</v>
      </c>
      <c r="C82">
        <v>1</v>
      </c>
      <c r="D82">
        <v>2</v>
      </c>
      <c r="E82">
        <v>0</v>
      </c>
      <c r="F82">
        <v>7</v>
      </c>
      <c r="G82">
        <v>0.12</v>
      </c>
      <c r="H82">
        <v>147</v>
      </c>
      <c r="I82">
        <v>30</v>
      </c>
      <c r="J82">
        <v>4</v>
      </c>
    </row>
    <row r="83" spans="1:10" x14ac:dyDescent="0.3">
      <c r="A83">
        <v>125</v>
      </c>
      <c r="B83">
        <v>3</v>
      </c>
      <c r="C83">
        <v>1</v>
      </c>
      <c r="D83">
        <v>2</v>
      </c>
      <c r="E83">
        <v>0</v>
      </c>
      <c r="F83">
        <v>178</v>
      </c>
      <c r="G83">
        <v>1.53</v>
      </c>
      <c r="H83">
        <v>285</v>
      </c>
      <c r="I83">
        <v>30</v>
      </c>
      <c r="J83">
        <v>6</v>
      </c>
    </row>
    <row r="84" spans="1:10" x14ac:dyDescent="0.3">
      <c r="A84">
        <v>140</v>
      </c>
      <c r="B84">
        <v>2</v>
      </c>
      <c r="C84">
        <v>1</v>
      </c>
      <c r="D84">
        <v>2</v>
      </c>
      <c r="E84">
        <v>0</v>
      </c>
      <c r="F84">
        <v>77</v>
      </c>
      <c r="G84">
        <v>0.7</v>
      </c>
      <c r="H84">
        <v>228</v>
      </c>
      <c r="I84">
        <v>30</v>
      </c>
      <c r="J84">
        <v>5</v>
      </c>
    </row>
    <row r="85" spans="1:10" x14ac:dyDescent="0.3">
      <c r="A85">
        <v>59</v>
      </c>
      <c r="B85">
        <v>1</v>
      </c>
      <c r="C85">
        <v>1</v>
      </c>
      <c r="D85">
        <v>4</v>
      </c>
      <c r="E85">
        <v>1</v>
      </c>
      <c r="F85">
        <v>248</v>
      </c>
      <c r="G85">
        <v>2.13</v>
      </c>
      <c r="H85">
        <v>54</v>
      </c>
      <c r="I85">
        <v>30</v>
      </c>
      <c r="J85">
        <v>1</v>
      </c>
    </row>
    <row r="86" spans="1:10" x14ac:dyDescent="0.3">
      <c r="A86">
        <v>135</v>
      </c>
      <c r="B86">
        <v>2</v>
      </c>
      <c r="C86">
        <v>2</v>
      </c>
      <c r="D86">
        <v>2</v>
      </c>
      <c r="E86">
        <v>0</v>
      </c>
      <c r="F86">
        <v>16</v>
      </c>
      <c r="G86">
        <v>0.21</v>
      </c>
      <c r="H86">
        <v>335</v>
      </c>
      <c r="I86">
        <v>30</v>
      </c>
      <c r="J86">
        <v>4</v>
      </c>
    </row>
    <row r="87" spans="1:10" x14ac:dyDescent="0.3">
      <c r="A87">
        <v>170</v>
      </c>
      <c r="B87">
        <v>2</v>
      </c>
      <c r="C87">
        <v>1</v>
      </c>
      <c r="D87">
        <v>2</v>
      </c>
      <c r="E87">
        <v>1</v>
      </c>
      <c r="F87">
        <v>324</v>
      </c>
      <c r="G87">
        <v>2.82</v>
      </c>
      <c r="H87">
        <v>136</v>
      </c>
      <c r="I87">
        <v>4</v>
      </c>
      <c r="J87">
        <v>2</v>
      </c>
    </row>
    <row r="88" spans="1:10" x14ac:dyDescent="0.3">
      <c r="A88">
        <v>127</v>
      </c>
      <c r="B88">
        <v>1</v>
      </c>
      <c r="C88">
        <v>1</v>
      </c>
      <c r="D88">
        <v>4</v>
      </c>
      <c r="E88">
        <v>1</v>
      </c>
      <c r="F88">
        <v>142</v>
      </c>
      <c r="G88">
        <v>1.24</v>
      </c>
      <c r="H88">
        <v>121</v>
      </c>
      <c r="I88">
        <v>5</v>
      </c>
      <c r="J88">
        <v>2</v>
      </c>
    </row>
    <row r="89" spans="1:10" x14ac:dyDescent="0.3">
      <c r="A89">
        <v>90</v>
      </c>
      <c r="B89">
        <v>1</v>
      </c>
      <c r="C89">
        <v>1</v>
      </c>
      <c r="D89">
        <v>4</v>
      </c>
      <c r="E89">
        <v>1</v>
      </c>
      <c r="F89">
        <v>117</v>
      </c>
      <c r="G89">
        <v>1.02</v>
      </c>
      <c r="H89">
        <v>104</v>
      </c>
      <c r="I89">
        <v>30</v>
      </c>
      <c r="J89">
        <v>2</v>
      </c>
    </row>
    <row r="90" spans="1:10" x14ac:dyDescent="0.3">
      <c r="A90">
        <v>64</v>
      </c>
      <c r="B90">
        <v>1</v>
      </c>
      <c r="C90">
        <v>1</v>
      </c>
      <c r="D90">
        <v>0</v>
      </c>
      <c r="E90">
        <v>1</v>
      </c>
      <c r="F90">
        <v>13</v>
      </c>
      <c r="G90">
        <v>0.12</v>
      </c>
      <c r="H90">
        <v>284</v>
      </c>
      <c r="I90">
        <v>30</v>
      </c>
      <c r="J90">
        <v>1</v>
      </c>
    </row>
    <row r="91" spans="1:10" x14ac:dyDescent="0.3">
      <c r="A91">
        <v>81</v>
      </c>
      <c r="B91">
        <v>2</v>
      </c>
      <c r="C91">
        <v>1</v>
      </c>
      <c r="D91">
        <v>2</v>
      </c>
      <c r="E91">
        <v>0</v>
      </c>
      <c r="F91">
        <v>125</v>
      </c>
      <c r="G91">
        <v>1.0900000000000001</v>
      </c>
      <c r="H91">
        <v>32</v>
      </c>
      <c r="I91">
        <v>30</v>
      </c>
      <c r="J91">
        <v>2</v>
      </c>
    </row>
    <row r="92" spans="1:10" x14ac:dyDescent="0.3">
      <c r="A92">
        <v>58</v>
      </c>
      <c r="B92">
        <v>2</v>
      </c>
      <c r="C92">
        <v>1.5</v>
      </c>
      <c r="D92">
        <v>2</v>
      </c>
      <c r="E92">
        <v>1</v>
      </c>
      <c r="F92">
        <v>43</v>
      </c>
      <c r="G92">
        <v>0.4</v>
      </c>
      <c r="H92">
        <v>242</v>
      </c>
      <c r="I92">
        <v>30</v>
      </c>
      <c r="J92">
        <v>2</v>
      </c>
    </row>
    <row r="93" spans="1:10" x14ac:dyDescent="0.3">
      <c r="A93">
        <v>145</v>
      </c>
      <c r="B93">
        <v>2</v>
      </c>
      <c r="C93">
        <v>1</v>
      </c>
      <c r="D93">
        <v>2</v>
      </c>
      <c r="E93">
        <v>0</v>
      </c>
      <c r="F93">
        <v>24</v>
      </c>
      <c r="G93">
        <v>0.22</v>
      </c>
      <c r="H93">
        <v>113</v>
      </c>
      <c r="I93">
        <v>30</v>
      </c>
      <c r="J93">
        <v>2</v>
      </c>
    </row>
    <row r="94" spans="1:10" x14ac:dyDescent="0.3">
      <c r="A94">
        <v>65</v>
      </c>
      <c r="B94">
        <v>2</v>
      </c>
      <c r="C94">
        <v>1</v>
      </c>
      <c r="D94">
        <v>2</v>
      </c>
      <c r="E94">
        <v>0</v>
      </c>
      <c r="F94">
        <v>304</v>
      </c>
      <c r="G94">
        <v>2.7</v>
      </c>
      <c r="H94">
        <v>243</v>
      </c>
      <c r="I94">
        <v>30</v>
      </c>
      <c r="J94">
        <v>2</v>
      </c>
    </row>
    <row r="95" spans="1:10" x14ac:dyDescent="0.3">
      <c r="A95">
        <v>115</v>
      </c>
      <c r="B95">
        <v>1</v>
      </c>
      <c r="C95">
        <v>1</v>
      </c>
      <c r="D95">
        <v>4</v>
      </c>
      <c r="E95">
        <v>0</v>
      </c>
      <c r="F95">
        <v>19</v>
      </c>
      <c r="G95">
        <v>0.17</v>
      </c>
      <c r="H95">
        <v>335</v>
      </c>
      <c r="I95">
        <v>30</v>
      </c>
      <c r="J95">
        <v>3</v>
      </c>
    </row>
    <row r="96" spans="1:10" x14ac:dyDescent="0.3">
      <c r="A96">
        <v>102</v>
      </c>
      <c r="B96">
        <v>2</v>
      </c>
      <c r="C96">
        <v>1</v>
      </c>
      <c r="D96">
        <v>2</v>
      </c>
      <c r="E96">
        <v>1</v>
      </c>
      <c r="F96">
        <v>45</v>
      </c>
      <c r="G96">
        <v>0.42</v>
      </c>
      <c r="H96">
        <v>159</v>
      </c>
      <c r="I96">
        <v>30</v>
      </c>
      <c r="J96">
        <v>2</v>
      </c>
    </row>
    <row r="97" spans="1:10" x14ac:dyDescent="0.3">
      <c r="A97">
        <v>109</v>
      </c>
      <c r="B97">
        <v>2</v>
      </c>
      <c r="C97">
        <v>1</v>
      </c>
      <c r="D97">
        <v>2</v>
      </c>
      <c r="E97">
        <v>0</v>
      </c>
      <c r="F97">
        <v>255</v>
      </c>
      <c r="G97">
        <v>2.31</v>
      </c>
      <c r="H97">
        <v>60</v>
      </c>
      <c r="I97">
        <v>30</v>
      </c>
      <c r="J97">
        <v>4</v>
      </c>
    </row>
    <row r="98" spans="1:10" x14ac:dyDescent="0.3">
      <c r="A98">
        <v>102</v>
      </c>
      <c r="B98">
        <v>1</v>
      </c>
      <c r="C98">
        <v>1</v>
      </c>
      <c r="D98">
        <v>2</v>
      </c>
      <c r="E98">
        <v>0</v>
      </c>
      <c r="F98">
        <v>75</v>
      </c>
      <c r="G98">
        <v>0.68</v>
      </c>
      <c r="H98">
        <v>62</v>
      </c>
      <c r="I98">
        <v>30</v>
      </c>
      <c r="J98">
        <v>2</v>
      </c>
    </row>
    <row r="99" spans="1:10" x14ac:dyDescent="0.3">
      <c r="A99">
        <v>175</v>
      </c>
      <c r="B99">
        <v>2</v>
      </c>
      <c r="C99">
        <v>1</v>
      </c>
      <c r="D99">
        <v>4</v>
      </c>
      <c r="E99">
        <v>0</v>
      </c>
      <c r="F99">
        <v>16</v>
      </c>
      <c r="G99">
        <v>0.15</v>
      </c>
      <c r="H99">
        <v>232</v>
      </c>
      <c r="I99">
        <v>30</v>
      </c>
      <c r="J99">
        <v>4</v>
      </c>
    </row>
    <row r="100" spans="1:10" x14ac:dyDescent="0.3">
      <c r="A100">
        <v>129</v>
      </c>
      <c r="B100">
        <v>1</v>
      </c>
      <c r="C100">
        <v>1</v>
      </c>
      <c r="D100">
        <v>4</v>
      </c>
      <c r="E100">
        <v>0</v>
      </c>
      <c r="F100">
        <v>20</v>
      </c>
      <c r="G100">
        <v>0.21</v>
      </c>
      <c r="H100">
        <v>258</v>
      </c>
      <c r="I100">
        <v>30</v>
      </c>
      <c r="J100">
        <v>2</v>
      </c>
    </row>
    <row r="101" spans="1:10" x14ac:dyDescent="0.3">
      <c r="A101">
        <v>130</v>
      </c>
      <c r="B101">
        <v>1</v>
      </c>
      <c r="C101">
        <v>1</v>
      </c>
      <c r="D101">
        <v>4</v>
      </c>
      <c r="E101">
        <v>0</v>
      </c>
      <c r="F101">
        <v>14</v>
      </c>
      <c r="G101">
        <v>0.13</v>
      </c>
      <c r="H101">
        <v>286</v>
      </c>
      <c r="I101">
        <v>30</v>
      </c>
      <c r="J101">
        <v>2</v>
      </c>
    </row>
    <row r="102" spans="1:10" x14ac:dyDescent="0.3">
      <c r="A102">
        <v>119</v>
      </c>
      <c r="B102">
        <v>1</v>
      </c>
      <c r="C102">
        <v>1</v>
      </c>
      <c r="D102">
        <v>4</v>
      </c>
      <c r="E102">
        <v>1</v>
      </c>
      <c r="F102">
        <v>94</v>
      </c>
      <c r="G102">
        <v>1.03</v>
      </c>
      <c r="H102">
        <v>203</v>
      </c>
      <c r="I102">
        <v>30</v>
      </c>
      <c r="J102">
        <v>2</v>
      </c>
    </row>
    <row r="103" spans="1:10" x14ac:dyDescent="0.3">
      <c r="A103">
        <v>120</v>
      </c>
      <c r="B103">
        <v>1</v>
      </c>
      <c r="C103">
        <v>1</v>
      </c>
      <c r="D103">
        <v>4</v>
      </c>
      <c r="E103">
        <v>0</v>
      </c>
      <c r="F103">
        <v>16</v>
      </c>
      <c r="G103">
        <v>0.15</v>
      </c>
      <c r="H103">
        <v>305</v>
      </c>
      <c r="I103">
        <v>30</v>
      </c>
      <c r="J103">
        <v>2</v>
      </c>
    </row>
    <row r="104" spans="1:10" x14ac:dyDescent="0.3">
      <c r="A104">
        <v>121</v>
      </c>
      <c r="B104">
        <v>2</v>
      </c>
      <c r="C104">
        <v>1</v>
      </c>
      <c r="D104">
        <v>0</v>
      </c>
      <c r="E104">
        <v>1</v>
      </c>
      <c r="F104">
        <v>36</v>
      </c>
      <c r="G104">
        <v>1.02</v>
      </c>
      <c r="H104">
        <v>350</v>
      </c>
      <c r="I104">
        <v>3</v>
      </c>
      <c r="J104">
        <v>2</v>
      </c>
    </row>
    <row r="105" spans="1:10" x14ac:dyDescent="0.3">
      <c r="A105">
        <v>148</v>
      </c>
      <c r="B105">
        <v>1</v>
      </c>
      <c r="C105">
        <v>1.5</v>
      </c>
      <c r="D105">
        <v>4</v>
      </c>
      <c r="E105">
        <v>1</v>
      </c>
      <c r="F105">
        <v>25</v>
      </c>
      <c r="G105">
        <v>0.46</v>
      </c>
      <c r="H105">
        <v>33</v>
      </c>
      <c r="I105">
        <v>3</v>
      </c>
      <c r="J105">
        <v>2</v>
      </c>
    </row>
    <row r="106" spans="1:10" x14ac:dyDescent="0.3">
      <c r="A106">
        <v>179</v>
      </c>
      <c r="B106">
        <v>1</v>
      </c>
      <c r="C106">
        <v>1</v>
      </c>
      <c r="D106">
        <v>4</v>
      </c>
      <c r="E106">
        <v>0</v>
      </c>
      <c r="F106">
        <v>88</v>
      </c>
      <c r="G106">
        <v>0.81</v>
      </c>
      <c r="H106">
        <v>173</v>
      </c>
      <c r="I106">
        <v>30</v>
      </c>
      <c r="J106">
        <v>2</v>
      </c>
    </row>
    <row r="107" spans="1:10" x14ac:dyDescent="0.3">
      <c r="A107">
        <v>137</v>
      </c>
      <c r="B107">
        <v>2</v>
      </c>
      <c r="C107">
        <v>1</v>
      </c>
      <c r="D107">
        <v>4</v>
      </c>
      <c r="E107">
        <v>0</v>
      </c>
      <c r="F107">
        <v>33</v>
      </c>
      <c r="G107">
        <v>0.31</v>
      </c>
      <c r="H107">
        <v>345</v>
      </c>
      <c r="I107">
        <v>30</v>
      </c>
      <c r="J107">
        <v>2</v>
      </c>
    </row>
    <row r="108" spans="1:10" x14ac:dyDescent="0.3">
      <c r="A108">
        <v>209</v>
      </c>
      <c r="B108">
        <v>1</v>
      </c>
      <c r="C108">
        <v>1</v>
      </c>
      <c r="D108">
        <v>2</v>
      </c>
      <c r="E108">
        <v>1</v>
      </c>
      <c r="F108">
        <v>307</v>
      </c>
      <c r="G108">
        <v>2.82</v>
      </c>
      <c r="H108">
        <v>149</v>
      </c>
      <c r="I108">
        <v>2</v>
      </c>
      <c r="J108">
        <v>2</v>
      </c>
    </row>
    <row r="109" spans="1:10" x14ac:dyDescent="0.3">
      <c r="A109">
        <v>120</v>
      </c>
      <c r="B109">
        <v>4</v>
      </c>
      <c r="C109">
        <v>1</v>
      </c>
      <c r="D109">
        <v>4</v>
      </c>
      <c r="E109">
        <v>0</v>
      </c>
      <c r="F109">
        <v>14</v>
      </c>
      <c r="G109">
        <v>0.15</v>
      </c>
      <c r="H109">
        <v>271</v>
      </c>
      <c r="I109">
        <v>30</v>
      </c>
      <c r="J109">
        <v>4</v>
      </c>
    </row>
    <row r="110" spans="1:10" x14ac:dyDescent="0.3">
      <c r="A110">
        <v>152</v>
      </c>
      <c r="B110">
        <v>1</v>
      </c>
      <c r="C110">
        <v>1</v>
      </c>
      <c r="D110">
        <v>2</v>
      </c>
      <c r="E110">
        <v>0</v>
      </c>
      <c r="F110">
        <v>92</v>
      </c>
      <c r="G110">
        <v>0.85</v>
      </c>
      <c r="H110">
        <v>342</v>
      </c>
      <c r="I110">
        <v>5</v>
      </c>
      <c r="J110">
        <v>2</v>
      </c>
    </row>
    <row r="111" spans="1:10" x14ac:dyDescent="0.3">
      <c r="A111">
        <v>60</v>
      </c>
      <c r="B111">
        <v>2</v>
      </c>
      <c r="C111">
        <v>2</v>
      </c>
      <c r="D111">
        <v>2</v>
      </c>
      <c r="E111">
        <v>1</v>
      </c>
      <c r="F111">
        <v>34</v>
      </c>
      <c r="G111">
        <v>0.33</v>
      </c>
      <c r="H111">
        <v>173</v>
      </c>
      <c r="I111">
        <v>30</v>
      </c>
      <c r="J111">
        <v>2</v>
      </c>
    </row>
    <row r="112" spans="1:10" x14ac:dyDescent="0.3">
      <c r="A112">
        <v>215</v>
      </c>
      <c r="B112">
        <v>1</v>
      </c>
      <c r="C112">
        <v>1</v>
      </c>
      <c r="D112">
        <v>2</v>
      </c>
      <c r="E112">
        <v>0</v>
      </c>
      <c r="F112">
        <v>250</v>
      </c>
      <c r="G112">
        <v>2.34</v>
      </c>
      <c r="H112">
        <v>137</v>
      </c>
      <c r="I112">
        <v>30</v>
      </c>
      <c r="J112">
        <v>3</v>
      </c>
    </row>
    <row r="113" spans="1:10" x14ac:dyDescent="0.3">
      <c r="A113">
        <v>158</v>
      </c>
      <c r="B113">
        <v>2</v>
      </c>
      <c r="C113">
        <v>1</v>
      </c>
      <c r="D113">
        <v>2</v>
      </c>
      <c r="E113">
        <v>0</v>
      </c>
      <c r="F113">
        <v>22</v>
      </c>
      <c r="G113">
        <v>0.25</v>
      </c>
      <c r="H113">
        <v>336</v>
      </c>
      <c r="I113">
        <v>30</v>
      </c>
      <c r="J113">
        <v>4</v>
      </c>
    </row>
    <row r="114" spans="1:10" x14ac:dyDescent="0.3">
      <c r="A114">
        <v>175</v>
      </c>
      <c r="B114">
        <v>1</v>
      </c>
      <c r="C114">
        <v>1</v>
      </c>
      <c r="D114">
        <v>4</v>
      </c>
      <c r="E114">
        <v>0</v>
      </c>
      <c r="F114">
        <v>7</v>
      </c>
      <c r="G114">
        <v>7.0000000000000007E-2</v>
      </c>
      <c r="H114">
        <v>362</v>
      </c>
      <c r="I114">
        <v>30</v>
      </c>
      <c r="J114">
        <v>3</v>
      </c>
    </row>
    <row r="115" spans="1:10" x14ac:dyDescent="0.3">
      <c r="A115">
        <v>175</v>
      </c>
      <c r="B115">
        <v>1</v>
      </c>
      <c r="C115">
        <v>1</v>
      </c>
      <c r="D115">
        <v>2</v>
      </c>
      <c r="E115">
        <v>0</v>
      </c>
      <c r="F115">
        <v>68</v>
      </c>
      <c r="G115">
        <v>0.64</v>
      </c>
      <c r="H115">
        <v>58</v>
      </c>
      <c r="I115">
        <v>30</v>
      </c>
      <c r="J115">
        <v>4</v>
      </c>
    </row>
    <row r="116" spans="1:10" x14ac:dyDescent="0.3">
      <c r="A116">
        <v>140</v>
      </c>
      <c r="B116">
        <v>3</v>
      </c>
      <c r="C116">
        <v>1</v>
      </c>
      <c r="D116">
        <v>0</v>
      </c>
      <c r="E116">
        <v>0</v>
      </c>
      <c r="F116">
        <v>39</v>
      </c>
      <c r="G116">
        <v>0.37</v>
      </c>
      <c r="H116">
        <v>181</v>
      </c>
      <c r="I116">
        <v>30</v>
      </c>
      <c r="J116">
        <v>3</v>
      </c>
    </row>
    <row r="117" spans="1:10" x14ac:dyDescent="0.3">
      <c r="A117">
        <v>99</v>
      </c>
      <c r="B117">
        <v>2</v>
      </c>
      <c r="C117">
        <v>1</v>
      </c>
      <c r="D117">
        <v>2</v>
      </c>
      <c r="E117">
        <v>0</v>
      </c>
      <c r="F117">
        <v>182</v>
      </c>
      <c r="G117">
        <v>1.72</v>
      </c>
      <c r="H117">
        <v>122</v>
      </c>
      <c r="I117">
        <v>30</v>
      </c>
      <c r="J117">
        <v>2</v>
      </c>
    </row>
    <row r="118" spans="1:10" x14ac:dyDescent="0.3">
      <c r="A118">
        <v>224</v>
      </c>
      <c r="B118">
        <v>1</v>
      </c>
      <c r="C118">
        <v>1</v>
      </c>
      <c r="D118">
        <v>2</v>
      </c>
      <c r="E118">
        <v>0</v>
      </c>
      <c r="F118">
        <v>153</v>
      </c>
      <c r="G118">
        <v>1.45</v>
      </c>
      <c r="H118">
        <v>228</v>
      </c>
      <c r="I118">
        <v>30</v>
      </c>
      <c r="J118">
        <v>2</v>
      </c>
    </row>
    <row r="119" spans="1:10" x14ac:dyDescent="0.3">
      <c r="A119">
        <v>122</v>
      </c>
      <c r="B119">
        <v>1</v>
      </c>
      <c r="C119">
        <v>1</v>
      </c>
      <c r="D119">
        <v>4</v>
      </c>
      <c r="E119">
        <v>0</v>
      </c>
      <c r="F119">
        <v>23</v>
      </c>
      <c r="G119">
        <v>0.22</v>
      </c>
      <c r="H119">
        <v>320</v>
      </c>
      <c r="I119">
        <v>30</v>
      </c>
      <c r="J119">
        <v>2</v>
      </c>
    </row>
    <row r="120" spans="1:10" x14ac:dyDescent="0.3">
      <c r="A120">
        <v>160</v>
      </c>
      <c r="B120">
        <v>1</v>
      </c>
      <c r="C120">
        <v>1</v>
      </c>
      <c r="D120">
        <v>4</v>
      </c>
      <c r="E120">
        <v>0</v>
      </c>
      <c r="F120">
        <v>32</v>
      </c>
      <c r="G120">
        <v>0.31</v>
      </c>
      <c r="H120">
        <v>173</v>
      </c>
      <c r="I120">
        <v>30</v>
      </c>
      <c r="J120">
        <v>3</v>
      </c>
    </row>
    <row r="121" spans="1:10" x14ac:dyDescent="0.3">
      <c r="A121">
        <v>136</v>
      </c>
      <c r="B121">
        <v>1</v>
      </c>
      <c r="C121">
        <v>1</v>
      </c>
      <c r="D121">
        <v>0</v>
      </c>
      <c r="E121">
        <v>0</v>
      </c>
      <c r="F121">
        <v>49</v>
      </c>
      <c r="G121">
        <v>0.47</v>
      </c>
      <c r="H121">
        <v>163</v>
      </c>
      <c r="I121">
        <v>30</v>
      </c>
      <c r="J121">
        <v>2</v>
      </c>
    </row>
    <row r="122" spans="1:10" x14ac:dyDescent="0.3">
      <c r="A122">
        <v>74</v>
      </c>
      <c r="B122">
        <v>1</v>
      </c>
      <c r="C122">
        <v>1</v>
      </c>
      <c r="D122">
        <v>2</v>
      </c>
      <c r="E122">
        <v>1</v>
      </c>
      <c r="F122">
        <v>28</v>
      </c>
      <c r="G122">
        <v>0.36</v>
      </c>
      <c r="H122">
        <v>76</v>
      </c>
      <c r="I122">
        <v>30</v>
      </c>
      <c r="J122">
        <v>1</v>
      </c>
    </row>
    <row r="123" spans="1:10" x14ac:dyDescent="0.3">
      <c r="A123">
        <v>175</v>
      </c>
      <c r="B123">
        <v>1</v>
      </c>
      <c r="C123">
        <v>1</v>
      </c>
      <c r="D123">
        <v>2</v>
      </c>
      <c r="E123">
        <v>0</v>
      </c>
      <c r="F123">
        <v>237</v>
      </c>
      <c r="G123">
        <v>2.3199999999999998</v>
      </c>
      <c r="H123">
        <v>282</v>
      </c>
      <c r="I123">
        <v>30</v>
      </c>
      <c r="J123">
        <v>2</v>
      </c>
    </row>
    <row r="124" spans="1:10" x14ac:dyDescent="0.3">
      <c r="A124">
        <v>68</v>
      </c>
      <c r="B124">
        <v>2</v>
      </c>
      <c r="C124">
        <v>1</v>
      </c>
      <c r="D124">
        <v>2</v>
      </c>
      <c r="E124">
        <v>1</v>
      </c>
      <c r="F124">
        <v>2</v>
      </c>
      <c r="G124">
        <v>0.16</v>
      </c>
      <c r="H124">
        <v>84</v>
      </c>
      <c r="I124">
        <v>30</v>
      </c>
      <c r="J124">
        <v>1</v>
      </c>
    </row>
    <row r="125" spans="1:10" x14ac:dyDescent="0.3">
      <c r="A125">
        <v>136</v>
      </c>
      <c r="B125">
        <v>2</v>
      </c>
      <c r="C125">
        <v>1</v>
      </c>
      <c r="D125">
        <v>4</v>
      </c>
      <c r="E125">
        <v>0</v>
      </c>
      <c r="F125">
        <v>13</v>
      </c>
      <c r="G125">
        <v>0.13</v>
      </c>
      <c r="H125">
        <v>334</v>
      </c>
      <c r="I125">
        <v>30</v>
      </c>
      <c r="J125">
        <v>2</v>
      </c>
    </row>
    <row r="126" spans="1:10" x14ac:dyDescent="0.3">
      <c r="A126">
        <v>132</v>
      </c>
      <c r="B126">
        <v>1</v>
      </c>
      <c r="C126">
        <v>1</v>
      </c>
      <c r="D126">
        <v>4</v>
      </c>
      <c r="E126">
        <v>0</v>
      </c>
      <c r="F126">
        <v>33</v>
      </c>
      <c r="G126">
        <v>0.34</v>
      </c>
      <c r="H126">
        <v>335</v>
      </c>
      <c r="I126">
        <v>30</v>
      </c>
      <c r="J126">
        <v>2</v>
      </c>
    </row>
    <row r="127" spans="1:10" x14ac:dyDescent="0.3">
      <c r="A127">
        <v>188</v>
      </c>
      <c r="B127">
        <v>1</v>
      </c>
      <c r="C127">
        <v>1</v>
      </c>
      <c r="D127">
        <v>2</v>
      </c>
      <c r="E127">
        <v>0</v>
      </c>
      <c r="F127">
        <v>115</v>
      </c>
      <c r="G127">
        <v>1.1499999999999999</v>
      </c>
      <c r="H127">
        <v>334</v>
      </c>
      <c r="I127">
        <v>30</v>
      </c>
      <c r="J127">
        <v>2</v>
      </c>
    </row>
    <row r="128" spans="1:10" x14ac:dyDescent="0.3">
      <c r="A128">
        <v>110</v>
      </c>
      <c r="B128">
        <v>2</v>
      </c>
      <c r="C128">
        <v>1</v>
      </c>
      <c r="D128">
        <v>2</v>
      </c>
      <c r="E128">
        <v>0</v>
      </c>
      <c r="F128">
        <v>138</v>
      </c>
      <c r="G128">
        <v>1.38</v>
      </c>
      <c r="H128">
        <v>362</v>
      </c>
      <c r="I128">
        <v>30</v>
      </c>
      <c r="J128">
        <v>6</v>
      </c>
    </row>
    <row r="129" spans="1:10" x14ac:dyDescent="0.3">
      <c r="A129">
        <v>194</v>
      </c>
      <c r="B129">
        <v>3</v>
      </c>
      <c r="C129">
        <v>1</v>
      </c>
      <c r="D129">
        <v>2</v>
      </c>
      <c r="E129">
        <v>0</v>
      </c>
      <c r="F129">
        <v>208</v>
      </c>
      <c r="G129">
        <v>2.0699999999999998</v>
      </c>
      <c r="H129">
        <v>285</v>
      </c>
      <c r="I129">
        <v>30</v>
      </c>
      <c r="J129">
        <v>4</v>
      </c>
    </row>
    <row r="130" spans="1:10" x14ac:dyDescent="0.3">
      <c r="A130">
        <v>56</v>
      </c>
      <c r="B130">
        <v>1</v>
      </c>
      <c r="C130">
        <v>1</v>
      </c>
      <c r="D130">
        <v>0</v>
      </c>
      <c r="E130">
        <v>1</v>
      </c>
      <c r="F130">
        <v>22</v>
      </c>
      <c r="G130">
        <v>0.33</v>
      </c>
      <c r="H130">
        <v>181</v>
      </c>
      <c r="I130">
        <v>30</v>
      </c>
      <c r="J130">
        <v>2</v>
      </c>
    </row>
    <row r="131" spans="1:10" x14ac:dyDescent="0.3">
      <c r="A131">
        <v>59</v>
      </c>
      <c r="B131">
        <v>1</v>
      </c>
      <c r="C131">
        <v>1</v>
      </c>
      <c r="D131">
        <v>4</v>
      </c>
      <c r="E131">
        <v>1</v>
      </c>
      <c r="F131">
        <v>116</v>
      </c>
      <c r="G131">
        <v>1.23</v>
      </c>
      <c r="H131">
        <v>129</v>
      </c>
      <c r="I131">
        <v>30</v>
      </c>
      <c r="J131">
        <v>1</v>
      </c>
    </row>
    <row r="132" spans="1:10" x14ac:dyDescent="0.3">
      <c r="A132">
        <v>55</v>
      </c>
      <c r="B132">
        <v>1</v>
      </c>
      <c r="C132">
        <v>1</v>
      </c>
      <c r="D132">
        <v>2</v>
      </c>
      <c r="E132">
        <v>1</v>
      </c>
      <c r="F132">
        <v>41</v>
      </c>
      <c r="G132">
        <v>0.42</v>
      </c>
      <c r="H132">
        <v>57</v>
      </c>
      <c r="I132">
        <v>30</v>
      </c>
      <c r="J132">
        <v>1</v>
      </c>
    </row>
    <row r="133" spans="1:10" x14ac:dyDescent="0.3">
      <c r="A133">
        <v>170</v>
      </c>
      <c r="B133">
        <v>1</v>
      </c>
      <c r="C133">
        <v>1</v>
      </c>
      <c r="D133">
        <v>4</v>
      </c>
      <c r="E133">
        <v>0</v>
      </c>
      <c r="F133">
        <v>27</v>
      </c>
      <c r="G133">
        <v>0.3</v>
      </c>
      <c r="H133">
        <v>208</v>
      </c>
      <c r="I133">
        <v>30</v>
      </c>
      <c r="J133">
        <v>2</v>
      </c>
    </row>
    <row r="134" spans="1:10" x14ac:dyDescent="0.3">
      <c r="A134">
        <v>72</v>
      </c>
      <c r="B134">
        <v>1</v>
      </c>
      <c r="C134">
        <v>1</v>
      </c>
      <c r="D134">
        <v>0</v>
      </c>
      <c r="E134">
        <v>0</v>
      </c>
      <c r="F134">
        <v>569</v>
      </c>
      <c r="G134">
        <v>5.95</v>
      </c>
      <c r="H134">
        <v>120</v>
      </c>
      <c r="I134">
        <v>30</v>
      </c>
      <c r="J134">
        <v>2</v>
      </c>
    </row>
    <row r="135" spans="1:10" x14ac:dyDescent="0.3">
      <c r="A135">
        <v>122</v>
      </c>
      <c r="B135">
        <v>2</v>
      </c>
      <c r="C135">
        <v>1</v>
      </c>
      <c r="D135">
        <v>4</v>
      </c>
      <c r="E135">
        <v>0</v>
      </c>
      <c r="F135">
        <v>19</v>
      </c>
      <c r="G135">
        <v>0.2</v>
      </c>
      <c r="H135">
        <v>246</v>
      </c>
      <c r="I135">
        <v>30</v>
      </c>
      <c r="J135">
        <v>4</v>
      </c>
    </row>
    <row r="136" spans="1:10" x14ac:dyDescent="0.3">
      <c r="A136">
        <v>120</v>
      </c>
      <c r="B136">
        <v>4</v>
      </c>
      <c r="C136">
        <v>1</v>
      </c>
      <c r="D136">
        <v>4</v>
      </c>
      <c r="E136">
        <v>0</v>
      </c>
      <c r="F136">
        <v>13</v>
      </c>
      <c r="G136">
        <v>0.13</v>
      </c>
      <c r="H136">
        <v>265</v>
      </c>
      <c r="I136">
        <v>30</v>
      </c>
      <c r="J136">
        <v>6</v>
      </c>
    </row>
    <row r="137" spans="1:10" x14ac:dyDescent="0.3">
      <c r="A137">
        <v>108</v>
      </c>
      <c r="B137">
        <v>1</v>
      </c>
      <c r="C137">
        <v>1</v>
      </c>
      <c r="D137">
        <v>4</v>
      </c>
      <c r="E137">
        <v>0</v>
      </c>
      <c r="F137">
        <v>41</v>
      </c>
      <c r="G137">
        <v>0.42</v>
      </c>
      <c r="H137">
        <v>147</v>
      </c>
      <c r="I137">
        <v>30</v>
      </c>
      <c r="J137">
        <v>1</v>
      </c>
    </row>
    <row r="138" spans="1:10" x14ac:dyDescent="0.3">
      <c r="A138">
        <v>240</v>
      </c>
      <c r="B138">
        <v>3</v>
      </c>
      <c r="C138">
        <v>1</v>
      </c>
      <c r="D138">
        <v>2</v>
      </c>
      <c r="E138">
        <v>0</v>
      </c>
      <c r="F138">
        <v>163</v>
      </c>
      <c r="G138">
        <v>1.69</v>
      </c>
      <c r="H138">
        <v>36</v>
      </c>
      <c r="I138">
        <v>30</v>
      </c>
      <c r="J138">
        <v>4</v>
      </c>
    </row>
    <row r="139" spans="1:10" x14ac:dyDescent="0.3">
      <c r="A139">
        <v>50</v>
      </c>
      <c r="B139">
        <v>1</v>
      </c>
      <c r="C139">
        <v>1</v>
      </c>
      <c r="D139">
        <v>4</v>
      </c>
      <c r="E139">
        <v>1</v>
      </c>
      <c r="F139">
        <v>18</v>
      </c>
      <c r="G139">
        <v>0.21</v>
      </c>
      <c r="H139">
        <v>182</v>
      </c>
      <c r="I139">
        <v>30</v>
      </c>
      <c r="J139">
        <v>1</v>
      </c>
    </row>
    <row r="140" spans="1:10" x14ac:dyDescent="0.3">
      <c r="A140">
        <v>90</v>
      </c>
      <c r="B140">
        <v>1</v>
      </c>
      <c r="C140">
        <v>1</v>
      </c>
      <c r="D140">
        <v>2</v>
      </c>
      <c r="E140">
        <v>1</v>
      </c>
      <c r="F140">
        <v>49</v>
      </c>
      <c r="G140">
        <v>0.59</v>
      </c>
      <c r="H140">
        <v>293</v>
      </c>
      <c r="I140">
        <v>14</v>
      </c>
      <c r="J140">
        <v>1</v>
      </c>
    </row>
    <row r="141" spans="1:10" x14ac:dyDescent="0.3">
      <c r="A141">
        <v>155</v>
      </c>
      <c r="B141">
        <v>1</v>
      </c>
      <c r="C141">
        <v>1</v>
      </c>
      <c r="D141">
        <v>2</v>
      </c>
      <c r="E141">
        <v>1</v>
      </c>
      <c r="F141">
        <v>52</v>
      </c>
      <c r="G141">
        <v>0.53</v>
      </c>
      <c r="H141">
        <v>141</v>
      </c>
      <c r="I141">
        <v>5</v>
      </c>
      <c r="J141">
        <v>2</v>
      </c>
    </row>
    <row r="142" spans="1:10" x14ac:dyDescent="0.3">
      <c r="A142">
        <v>95</v>
      </c>
      <c r="B142">
        <v>2</v>
      </c>
      <c r="C142">
        <v>1</v>
      </c>
      <c r="D142">
        <v>2</v>
      </c>
      <c r="E142">
        <v>0</v>
      </c>
      <c r="F142">
        <v>100</v>
      </c>
      <c r="G142">
        <v>1.04</v>
      </c>
      <c r="H142">
        <v>285</v>
      </c>
      <c r="I142">
        <v>30</v>
      </c>
      <c r="J142">
        <v>2</v>
      </c>
    </row>
    <row r="143" spans="1:10" x14ac:dyDescent="0.3">
      <c r="A143">
        <v>110</v>
      </c>
      <c r="B143">
        <v>1</v>
      </c>
      <c r="C143">
        <v>1</v>
      </c>
      <c r="D143">
        <v>4</v>
      </c>
      <c r="E143">
        <v>0</v>
      </c>
      <c r="F143">
        <v>116</v>
      </c>
      <c r="G143">
        <v>1.21</v>
      </c>
      <c r="H143">
        <v>180</v>
      </c>
      <c r="I143">
        <v>30</v>
      </c>
      <c r="J143">
        <v>2</v>
      </c>
    </row>
    <row r="144" spans="1:10" x14ac:dyDescent="0.3">
      <c r="A144">
        <v>220</v>
      </c>
      <c r="B144">
        <v>1</v>
      </c>
      <c r="C144">
        <v>1</v>
      </c>
      <c r="D144">
        <v>4</v>
      </c>
      <c r="E144">
        <v>0</v>
      </c>
      <c r="F144">
        <v>6</v>
      </c>
      <c r="G144">
        <v>0.11</v>
      </c>
      <c r="H144">
        <v>221</v>
      </c>
      <c r="I144">
        <v>30</v>
      </c>
      <c r="J144">
        <v>3</v>
      </c>
    </row>
    <row r="145" spans="1:10" x14ac:dyDescent="0.3">
      <c r="A145">
        <v>139</v>
      </c>
      <c r="B145">
        <v>2</v>
      </c>
      <c r="C145">
        <v>1</v>
      </c>
      <c r="D145">
        <v>4</v>
      </c>
      <c r="E145">
        <v>0</v>
      </c>
      <c r="F145">
        <v>16</v>
      </c>
      <c r="G145">
        <v>0.3</v>
      </c>
      <c r="H145">
        <v>243</v>
      </c>
      <c r="I145">
        <v>30</v>
      </c>
      <c r="J145">
        <v>2</v>
      </c>
    </row>
    <row r="146" spans="1:10" x14ac:dyDescent="0.3">
      <c r="A146">
        <v>113</v>
      </c>
      <c r="B146">
        <v>1</v>
      </c>
      <c r="C146">
        <v>1</v>
      </c>
      <c r="D146">
        <v>4</v>
      </c>
      <c r="E146">
        <v>0</v>
      </c>
      <c r="F146">
        <v>12</v>
      </c>
      <c r="G146">
        <v>0.13</v>
      </c>
      <c r="H146">
        <v>222</v>
      </c>
      <c r="I146">
        <v>30</v>
      </c>
      <c r="J146">
        <v>2</v>
      </c>
    </row>
    <row r="147" spans="1:10" x14ac:dyDescent="0.3">
      <c r="A147">
        <v>120</v>
      </c>
      <c r="B147">
        <v>4</v>
      </c>
      <c r="C147">
        <v>1</v>
      </c>
      <c r="D147">
        <v>4</v>
      </c>
      <c r="E147">
        <v>0</v>
      </c>
      <c r="F147">
        <v>12</v>
      </c>
      <c r="G147">
        <v>0.13</v>
      </c>
      <c r="H147">
        <v>286</v>
      </c>
      <c r="I147">
        <v>30</v>
      </c>
      <c r="J147">
        <v>6</v>
      </c>
    </row>
    <row r="148" spans="1:10" x14ac:dyDescent="0.3">
      <c r="A148">
        <v>135</v>
      </c>
      <c r="B148">
        <v>2</v>
      </c>
      <c r="C148">
        <v>1</v>
      </c>
      <c r="D148">
        <v>4</v>
      </c>
      <c r="E148">
        <v>0</v>
      </c>
      <c r="F148">
        <v>28</v>
      </c>
      <c r="G148">
        <v>0.31</v>
      </c>
      <c r="H148">
        <v>308</v>
      </c>
      <c r="I148">
        <v>30</v>
      </c>
      <c r="J148">
        <v>3</v>
      </c>
    </row>
    <row r="149" spans="1:10" x14ac:dyDescent="0.3">
      <c r="A149">
        <v>50</v>
      </c>
      <c r="B149">
        <v>1</v>
      </c>
      <c r="C149">
        <v>1.5</v>
      </c>
      <c r="D149">
        <v>0</v>
      </c>
      <c r="E149">
        <v>1</v>
      </c>
      <c r="F149">
        <v>29</v>
      </c>
      <c r="G149">
        <v>0.34</v>
      </c>
      <c r="H149">
        <v>350</v>
      </c>
      <c r="I149">
        <v>30</v>
      </c>
      <c r="J149">
        <v>1</v>
      </c>
    </row>
    <row r="150" spans="1:10" x14ac:dyDescent="0.3">
      <c r="A150">
        <v>115</v>
      </c>
      <c r="B150">
        <v>3</v>
      </c>
      <c r="C150">
        <v>2</v>
      </c>
      <c r="D150">
        <v>2</v>
      </c>
      <c r="E150">
        <v>0</v>
      </c>
      <c r="F150">
        <v>111</v>
      </c>
      <c r="G150">
        <v>1.1599999999999999</v>
      </c>
      <c r="H150">
        <v>281</v>
      </c>
      <c r="I150">
        <v>30</v>
      </c>
      <c r="J150">
        <v>8</v>
      </c>
    </row>
    <row r="151" spans="1:10" x14ac:dyDescent="0.3">
      <c r="A151">
        <v>180</v>
      </c>
      <c r="B151">
        <v>2</v>
      </c>
      <c r="C151">
        <v>1</v>
      </c>
      <c r="D151">
        <v>4</v>
      </c>
      <c r="E151">
        <v>0</v>
      </c>
      <c r="F151">
        <v>61</v>
      </c>
      <c r="G151">
        <v>0.67</v>
      </c>
      <c r="H151">
        <v>232</v>
      </c>
      <c r="I151">
        <v>30</v>
      </c>
      <c r="J151">
        <v>2</v>
      </c>
    </row>
    <row r="152" spans="1:10" x14ac:dyDescent="0.3">
      <c r="A152">
        <v>69</v>
      </c>
      <c r="B152">
        <v>1</v>
      </c>
      <c r="C152">
        <v>1.5</v>
      </c>
      <c r="D152">
        <v>4</v>
      </c>
      <c r="E152">
        <v>1</v>
      </c>
      <c r="F152">
        <v>62</v>
      </c>
      <c r="G152">
        <v>0.65</v>
      </c>
      <c r="H152">
        <v>278</v>
      </c>
      <c r="I152">
        <v>30</v>
      </c>
      <c r="J152">
        <v>2</v>
      </c>
    </row>
    <row r="153" spans="1:10" x14ac:dyDescent="0.3">
      <c r="A153">
        <v>180</v>
      </c>
      <c r="B153">
        <v>2</v>
      </c>
      <c r="C153">
        <v>1</v>
      </c>
      <c r="D153">
        <v>0</v>
      </c>
      <c r="E153">
        <v>1</v>
      </c>
      <c r="F153">
        <v>126</v>
      </c>
      <c r="G153">
        <v>1.39</v>
      </c>
      <c r="H153">
        <v>303</v>
      </c>
      <c r="I153">
        <v>2</v>
      </c>
      <c r="J153">
        <v>2</v>
      </c>
    </row>
    <row r="154" spans="1:10" x14ac:dyDescent="0.3">
      <c r="A154">
        <v>87</v>
      </c>
      <c r="B154">
        <v>1</v>
      </c>
      <c r="C154">
        <v>1</v>
      </c>
      <c r="D154">
        <v>0</v>
      </c>
      <c r="E154">
        <v>1</v>
      </c>
      <c r="F154">
        <v>67</v>
      </c>
      <c r="G154">
        <v>0.89</v>
      </c>
      <c r="H154">
        <v>317</v>
      </c>
      <c r="I154">
        <v>1</v>
      </c>
      <c r="J154">
        <v>2</v>
      </c>
    </row>
    <row r="155" spans="1:10" x14ac:dyDescent="0.3">
      <c r="A155">
        <v>120</v>
      </c>
      <c r="B155">
        <v>5</v>
      </c>
      <c r="C155">
        <v>2</v>
      </c>
      <c r="D155">
        <v>2</v>
      </c>
      <c r="E155">
        <v>0</v>
      </c>
      <c r="F155">
        <v>62</v>
      </c>
      <c r="G155">
        <v>0.66</v>
      </c>
      <c r="H155">
        <v>349</v>
      </c>
      <c r="I155">
        <v>30</v>
      </c>
      <c r="J155">
        <v>6</v>
      </c>
    </row>
    <row r="156" spans="1:10" x14ac:dyDescent="0.3">
      <c r="A156">
        <v>72</v>
      </c>
      <c r="B156">
        <v>1</v>
      </c>
      <c r="C156">
        <v>1</v>
      </c>
      <c r="D156">
        <v>0</v>
      </c>
      <c r="E156">
        <v>1</v>
      </c>
      <c r="F156">
        <v>88</v>
      </c>
      <c r="G156">
        <v>0.93</v>
      </c>
      <c r="H156">
        <v>117</v>
      </c>
      <c r="I156">
        <v>30</v>
      </c>
      <c r="J156">
        <v>2</v>
      </c>
    </row>
    <row r="157" spans="1:10" x14ac:dyDescent="0.3">
      <c r="A157">
        <v>177</v>
      </c>
      <c r="B157">
        <v>1</v>
      </c>
      <c r="C157">
        <v>1</v>
      </c>
      <c r="D157">
        <v>2</v>
      </c>
      <c r="E157">
        <v>0</v>
      </c>
      <c r="F157">
        <v>208</v>
      </c>
      <c r="G157">
        <v>2.21</v>
      </c>
      <c r="H157">
        <v>233</v>
      </c>
      <c r="I157">
        <v>30</v>
      </c>
      <c r="J157">
        <v>3</v>
      </c>
    </row>
    <row r="158" spans="1:10" x14ac:dyDescent="0.3">
      <c r="A158">
        <v>65</v>
      </c>
      <c r="B158">
        <v>1</v>
      </c>
      <c r="C158">
        <v>2</v>
      </c>
      <c r="D158">
        <v>0</v>
      </c>
      <c r="E158">
        <v>1</v>
      </c>
      <c r="F158">
        <v>199</v>
      </c>
      <c r="G158">
        <v>2.13</v>
      </c>
      <c r="H158">
        <v>63</v>
      </c>
      <c r="I158">
        <v>30</v>
      </c>
      <c r="J158">
        <v>2</v>
      </c>
    </row>
    <row r="159" spans="1:10" x14ac:dyDescent="0.3">
      <c r="A159">
        <v>131</v>
      </c>
      <c r="B159">
        <v>1</v>
      </c>
      <c r="C159">
        <v>1</v>
      </c>
      <c r="D159">
        <v>4</v>
      </c>
      <c r="E159">
        <v>0</v>
      </c>
      <c r="F159">
        <v>21</v>
      </c>
      <c r="G159">
        <v>0.24</v>
      </c>
      <c r="H159">
        <v>334</v>
      </c>
      <c r="I159">
        <v>30</v>
      </c>
      <c r="J159">
        <v>2</v>
      </c>
    </row>
    <row r="160" spans="1:10" x14ac:dyDescent="0.3">
      <c r="A160">
        <v>52</v>
      </c>
      <c r="B160">
        <v>1</v>
      </c>
      <c r="C160">
        <v>2</v>
      </c>
      <c r="D160">
        <v>2</v>
      </c>
      <c r="E160">
        <v>1</v>
      </c>
      <c r="F160">
        <v>35</v>
      </c>
      <c r="G160">
        <v>0.38</v>
      </c>
      <c r="H160">
        <v>135</v>
      </c>
      <c r="I160">
        <v>30</v>
      </c>
      <c r="J160">
        <v>1</v>
      </c>
    </row>
    <row r="161" spans="1:10" x14ac:dyDescent="0.3">
      <c r="A161">
        <v>178</v>
      </c>
      <c r="B161">
        <v>1</v>
      </c>
      <c r="C161">
        <v>1</v>
      </c>
      <c r="D161">
        <v>4</v>
      </c>
      <c r="E161">
        <v>0</v>
      </c>
      <c r="F161">
        <v>36</v>
      </c>
      <c r="G161">
        <v>0.39</v>
      </c>
      <c r="H161">
        <v>243</v>
      </c>
      <c r="I161">
        <v>30</v>
      </c>
      <c r="J161">
        <v>2</v>
      </c>
    </row>
    <row r="162" spans="1:10" x14ac:dyDescent="0.3">
      <c r="A162">
        <v>85</v>
      </c>
      <c r="B162">
        <v>1</v>
      </c>
      <c r="C162">
        <v>1</v>
      </c>
      <c r="D162">
        <v>4</v>
      </c>
      <c r="E162">
        <v>1</v>
      </c>
      <c r="F162">
        <v>163</v>
      </c>
      <c r="G162">
        <v>1.77</v>
      </c>
      <c r="H162">
        <v>243</v>
      </c>
      <c r="I162">
        <v>30</v>
      </c>
      <c r="J162">
        <v>2</v>
      </c>
    </row>
    <row r="163" spans="1:10" x14ac:dyDescent="0.3">
      <c r="A163">
        <v>200</v>
      </c>
      <c r="B163">
        <v>2</v>
      </c>
      <c r="C163">
        <v>1</v>
      </c>
      <c r="D163">
        <v>4</v>
      </c>
      <c r="E163">
        <v>0</v>
      </c>
      <c r="F163">
        <v>68</v>
      </c>
      <c r="G163">
        <v>0.74</v>
      </c>
      <c r="H163">
        <v>364</v>
      </c>
      <c r="I163">
        <v>30</v>
      </c>
      <c r="J163">
        <v>2</v>
      </c>
    </row>
    <row r="164" spans="1:10" x14ac:dyDescent="0.3">
      <c r="A164">
        <v>58</v>
      </c>
      <c r="B164">
        <v>1</v>
      </c>
      <c r="C164">
        <v>1</v>
      </c>
      <c r="D164">
        <v>0</v>
      </c>
      <c r="E164">
        <v>1</v>
      </c>
      <c r="F164">
        <v>53</v>
      </c>
      <c r="G164">
        <v>0.57999999999999996</v>
      </c>
      <c r="H164">
        <v>125</v>
      </c>
      <c r="I164">
        <v>30</v>
      </c>
      <c r="J164">
        <v>1</v>
      </c>
    </row>
    <row r="165" spans="1:10" x14ac:dyDescent="0.3">
      <c r="A165">
        <v>143</v>
      </c>
      <c r="B165">
        <v>1</v>
      </c>
      <c r="C165">
        <v>1</v>
      </c>
      <c r="D165">
        <v>0</v>
      </c>
      <c r="E165">
        <v>1</v>
      </c>
      <c r="F165">
        <v>80</v>
      </c>
      <c r="G165">
        <v>0.94</v>
      </c>
      <c r="H165">
        <v>48</v>
      </c>
      <c r="I165">
        <v>7</v>
      </c>
      <c r="J165">
        <v>2</v>
      </c>
    </row>
    <row r="166" spans="1:10" x14ac:dyDescent="0.3">
      <c r="A166">
        <v>105</v>
      </c>
      <c r="B166">
        <v>1</v>
      </c>
      <c r="C166">
        <v>1</v>
      </c>
      <c r="D166">
        <v>4</v>
      </c>
      <c r="E166">
        <v>0</v>
      </c>
      <c r="F166">
        <v>92</v>
      </c>
      <c r="G166">
        <v>1.01</v>
      </c>
      <c r="H166">
        <v>86</v>
      </c>
      <c r="I166">
        <v>30</v>
      </c>
      <c r="J166">
        <v>2</v>
      </c>
    </row>
    <row r="167" spans="1:10" x14ac:dyDescent="0.3">
      <c r="A167">
        <v>190</v>
      </c>
      <c r="B167">
        <v>2</v>
      </c>
      <c r="C167">
        <v>1</v>
      </c>
      <c r="D167">
        <v>2</v>
      </c>
      <c r="E167">
        <v>0</v>
      </c>
      <c r="F167">
        <v>125</v>
      </c>
      <c r="G167">
        <v>1.4</v>
      </c>
      <c r="H167">
        <v>334</v>
      </c>
      <c r="I167">
        <v>30</v>
      </c>
      <c r="J167">
        <v>4</v>
      </c>
    </row>
    <row r="168" spans="1:10" x14ac:dyDescent="0.3">
      <c r="A168">
        <v>154</v>
      </c>
      <c r="B168">
        <v>2</v>
      </c>
      <c r="C168">
        <v>1</v>
      </c>
      <c r="D168">
        <v>2</v>
      </c>
      <c r="E168">
        <v>1</v>
      </c>
      <c r="F168">
        <v>82</v>
      </c>
      <c r="G168">
        <v>0.95</v>
      </c>
      <c r="H168">
        <v>98</v>
      </c>
      <c r="I168">
        <v>2</v>
      </c>
      <c r="J168">
        <v>2</v>
      </c>
    </row>
    <row r="169" spans="1:10" x14ac:dyDescent="0.3">
      <c r="A169">
        <v>80</v>
      </c>
      <c r="B169">
        <v>1</v>
      </c>
      <c r="C169">
        <v>1.5</v>
      </c>
      <c r="D169">
        <v>2</v>
      </c>
      <c r="E169">
        <v>1</v>
      </c>
      <c r="F169">
        <v>153</v>
      </c>
      <c r="G169">
        <v>1.69</v>
      </c>
      <c r="H169">
        <v>52</v>
      </c>
      <c r="I169">
        <v>30</v>
      </c>
      <c r="J169">
        <v>1</v>
      </c>
    </row>
    <row r="170" spans="1:10" x14ac:dyDescent="0.3">
      <c r="A170">
        <v>140</v>
      </c>
      <c r="B170">
        <v>5</v>
      </c>
      <c r="C170">
        <v>2</v>
      </c>
      <c r="D170">
        <v>0</v>
      </c>
      <c r="E170">
        <v>0</v>
      </c>
      <c r="F170">
        <v>288</v>
      </c>
      <c r="G170">
        <v>3.19</v>
      </c>
      <c r="H170">
        <v>180</v>
      </c>
      <c r="I170">
        <v>30</v>
      </c>
      <c r="J170">
        <v>7</v>
      </c>
    </row>
    <row r="171" spans="1:10" x14ac:dyDescent="0.3">
      <c r="A171">
        <v>51</v>
      </c>
      <c r="B171">
        <v>1</v>
      </c>
      <c r="C171">
        <v>1</v>
      </c>
      <c r="D171">
        <v>2</v>
      </c>
      <c r="E171">
        <v>1</v>
      </c>
      <c r="F171">
        <v>117</v>
      </c>
      <c r="G171">
        <v>1.34</v>
      </c>
      <c r="H171">
        <v>265</v>
      </c>
      <c r="I171">
        <v>30</v>
      </c>
      <c r="J171">
        <v>2</v>
      </c>
    </row>
    <row r="172" spans="1:10" x14ac:dyDescent="0.3">
      <c r="A172">
        <v>84</v>
      </c>
      <c r="B172">
        <v>1</v>
      </c>
      <c r="C172">
        <v>1</v>
      </c>
      <c r="D172">
        <v>2</v>
      </c>
      <c r="E172">
        <v>1</v>
      </c>
      <c r="F172">
        <v>124</v>
      </c>
      <c r="G172">
        <v>1.39</v>
      </c>
      <c r="H172">
        <v>349</v>
      </c>
      <c r="I172">
        <v>3</v>
      </c>
      <c r="J172">
        <v>1</v>
      </c>
    </row>
    <row r="173" spans="1:10" x14ac:dyDescent="0.3">
      <c r="A173">
        <v>75</v>
      </c>
      <c r="B173">
        <v>1</v>
      </c>
      <c r="C173">
        <v>1</v>
      </c>
      <c r="D173">
        <v>4</v>
      </c>
      <c r="E173">
        <v>0</v>
      </c>
      <c r="F173">
        <v>32</v>
      </c>
      <c r="G173">
        <v>0.36</v>
      </c>
      <c r="H173">
        <v>182</v>
      </c>
      <c r="I173">
        <v>30</v>
      </c>
      <c r="J173">
        <v>2</v>
      </c>
    </row>
    <row r="174" spans="1:10" x14ac:dyDescent="0.3">
      <c r="A174">
        <v>129</v>
      </c>
      <c r="B174">
        <v>1</v>
      </c>
      <c r="C174">
        <v>1</v>
      </c>
      <c r="D174">
        <v>4</v>
      </c>
      <c r="E174">
        <v>0</v>
      </c>
      <c r="F174">
        <v>33</v>
      </c>
      <c r="G174">
        <v>0.37</v>
      </c>
      <c r="H174">
        <v>331</v>
      </c>
      <c r="I174">
        <v>30</v>
      </c>
      <c r="J174">
        <v>2</v>
      </c>
    </row>
    <row r="175" spans="1:10" x14ac:dyDescent="0.3">
      <c r="A175">
        <v>127</v>
      </c>
      <c r="B175">
        <v>1</v>
      </c>
      <c r="C175">
        <v>1</v>
      </c>
      <c r="D175">
        <v>2</v>
      </c>
      <c r="E175">
        <v>0</v>
      </c>
      <c r="F175">
        <v>113</v>
      </c>
      <c r="G175">
        <v>1.29</v>
      </c>
      <c r="H175">
        <v>260</v>
      </c>
      <c r="I175">
        <v>30</v>
      </c>
      <c r="J175">
        <v>1</v>
      </c>
    </row>
    <row r="176" spans="1:10" x14ac:dyDescent="0.3">
      <c r="A176">
        <v>104</v>
      </c>
      <c r="B176">
        <v>1</v>
      </c>
      <c r="C176">
        <v>1</v>
      </c>
      <c r="D176">
        <v>4</v>
      </c>
      <c r="E176">
        <v>0</v>
      </c>
      <c r="F176">
        <v>418</v>
      </c>
      <c r="G176">
        <v>4.72</v>
      </c>
      <c r="H176">
        <v>272</v>
      </c>
      <c r="I176">
        <v>30</v>
      </c>
      <c r="J176">
        <v>2</v>
      </c>
    </row>
    <row r="177" spans="1:10" x14ac:dyDescent="0.3">
      <c r="A177">
        <v>56</v>
      </c>
      <c r="B177">
        <v>1</v>
      </c>
      <c r="C177">
        <v>1</v>
      </c>
      <c r="D177">
        <v>2</v>
      </c>
      <c r="E177">
        <v>0</v>
      </c>
      <c r="F177">
        <v>249</v>
      </c>
      <c r="G177">
        <v>2.82</v>
      </c>
      <c r="H177">
        <v>183</v>
      </c>
      <c r="I177">
        <v>30</v>
      </c>
      <c r="J177">
        <v>2</v>
      </c>
    </row>
    <row r="178" spans="1:10" x14ac:dyDescent="0.3">
      <c r="A178">
        <v>74</v>
      </c>
      <c r="B178">
        <v>1</v>
      </c>
      <c r="C178">
        <v>4</v>
      </c>
      <c r="D178">
        <v>4</v>
      </c>
      <c r="E178">
        <v>1</v>
      </c>
      <c r="F178">
        <v>17</v>
      </c>
      <c r="G178">
        <v>0.2</v>
      </c>
      <c r="H178">
        <v>300</v>
      </c>
      <c r="I178">
        <v>30</v>
      </c>
      <c r="J178">
        <v>1</v>
      </c>
    </row>
    <row r="179" spans="1:10" x14ac:dyDescent="0.3">
      <c r="A179">
        <v>192</v>
      </c>
      <c r="B179">
        <v>2</v>
      </c>
      <c r="C179">
        <v>1</v>
      </c>
      <c r="D179">
        <v>2</v>
      </c>
      <c r="E179">
        <v>0</v>
      </c>
      <c r="F179">
        <v>205</v>
      </c>
      <c r="G179">
        <v>2.3199999999999998</v>
      </c>
      <c r="H179">
        <v>224</v>
      </c>
      <c r="I179">
        <v>7</v>
      </c>
      <c r="J179">
        <v>2</v>
      </c>
    </row>
    <row r="180" spans="1:10" x14ac:dyDescent="0.3">
      <c r="A180">
        <v>103</v>
      </c>
      <c r="B180">
        <v>3</v>
      </c>
      <c r="C180">
        <v>1</v>
      </c>
      <c r="D180">
        <v>2</v>
      </c>
      <c r="E180">
        <v>0</v>
      </c>
      <c r="F180">
        <v>222</v>
      </c>
      <c r="G180">
        <v>2.5499999999999998</v>
      </c>
      <c r="H180">
        <v>299</v>
      </c>
      <c r="I180">
        <v>30</v>
      </c>
      <c r="J180">
        <v>2</v>
      </c>
    </row>
    <row r="181" spans="1:10" x14ac:dyDescent="0.3">
      <c r="A181">
        <v>55</v>
      </c>
      <c r="B181">
        <v>1</v>
      </c>
      <c r="C181">
        <v>1</v>
      </c>
      <c r="D181">
        <v>0</v>
      </c>
      <c r="E181">
        <v>1</v>
      </c>
      <c r="F181">
        <v>49</v>
      </c>
      <c r="G181">
        <v>0.56000000000000005</v>
      </c>
      <c r="H181">
        <v>60</v>
      </c>
      <c r="I181">
        <v>30</v>
      </c>
      <c r="J181">
        <v>1</v>
      </c>
    </row>
    <row r="182" spans="1:10" x14ac:dyDescent="0.3">
      <c r="A182">
        <v>130</v>
      </c>
      <c r="B182">
        <v>2</v>
      </c>
      <c r="C182">
        <v>1</v>
      </c>
      <c r="D182">
        <v>2</v>
      </c>
      <c r="E182">
        <v>0</v>
      </c>
      <c r="F182">
        <v>133</v>
      </c>
      <c r="G182">
        <v>1.54</v>
      </c>
      <c r="H182">
        <v>217</v>
      </c>
      <c r="I182">
        <v>30</v>
      </c>
      <c r="J182">
        <v>4</v>
      </c>
    </row>
    <row r="183" spans="1:10" x14ac:dyDescent="0.3">
      <c r="A183">
        <v>110</v>
      </c>
      <c r="B183">
        <v>1</v>
      </c>
      <c r="C183">
        <v>1</v>
      </c>
      <c r="D183">
        <v>2</v>
      </c>
      <c r="E183">
        <v>0</v>
      </c>
      <c r="F183">
        <v>197</v>
      </c>
      <c r="G183">
        <v>2.25</v>
      </c>
      <c r="H183">
        <v>62</v>
      </c>
      <c r="I183">
        <v>30</v>
      </c>
      <c r="J183">
        <v>1</v>
      </c>
    </row>
    <row r="184" spans="1:10" x14ac:dyDescent="0.3">
      <c r="A184">
        <v>100</v>
      </c>
      <c r="B184">
        <v>2</v>
      </c>
      <c r="C184">
        <v>1</v>
      </c>
      <c r="D184">
        <v>2</v>
      </c>
      <c r="E184">
        <v>0</v>
      </c>
      <c r="F184">
        <v>87</v>
      </c>
      <c r="G184">
        <v>1.01</v>
      </c>
      <c r="H184">
        <v>95</v>
      </c>
      <c r="I184">
        <v>30</v>
      </c>
      <c r="J184">
        <v>2</v>
      </c>
    </row>
    <row r="185" spans="1:10" x14ac:dyDescent="0.3">
      <c r="A185">
        <v>145</v>
      </c>
      <c r="B185">
        <v>2</v>
      </c>
      <c r="C185">
        <v>1</v>
      </c>
      <c r="D185">
        <v>2</v>
      </c>
      <c r="E185">
        <v>0</v>
      </c>
      <c r="F185">
        <v>153</v>
      </c>
      <c r="G185">
        <v>1.76</v>
      </c>
      <c r="H185">
        <v>114</v>
      </c>
      <c r="I185">
        <v>30</v>
      </c>
      <c r="J185">
        <v>3</v>
      </c>
    </row>
    <row r="186" spans="1:10" x14ac:dyDescent="0.3">
      <c r="A186">
        <v>250</v>
      </c>
      <c r="B186">
        <v>2</v>
      </c>
      <c r="C186">
        <v>2</v>
      </c>
      <c r="D186">
        <v>2</v>
      </c>
      <c r="E186">
        <v>0</v>
      </c>
      <c r="F186">
        <v>5</v>
      </c>
      <c r="G186">
        <v>0.06</v>
      </c>
      <c r="H186">
        <v>288</v>
      </c>
      <c r="I186">
        <v>30</v>
      </c>
      <c r="J186">
        <v>5</v>
      </c>
    </row>
    <row r="187" spans="1:10" x14ac:dyDescent="0.3">
      <c r="A187">
        <v>173</v>
      </c>
      <c r="B187">
        <v>2</v>
      </c>
      <c r="C187">
        <v>1</v>
      </c>
      <c r="D187">
        <v>4</v>
      </c>
      <c r="E187">
        <v>0</v>
      </c>
      <c r="F187">
        <v>11</v>
      </c>
      <c r="G187">
        <v>0.13</v>
      </c>
      <c r="H187">
        <v>120</v>
      </c>
      <c r="I187">
        <v>30</v>
      </c>
      <c r="J187">
        <v>2</v>
      </c>
    </row>
    <row r="188" spans="1:10" x14ac:dyDescent="0.3">
      <c r="A188">
        <v>80</v>
      </c>
      <c r="B188">
        <v>2</v>
      </c>
      <c r="C188">
        <v>1</v>
      </c>
      <c r="D188">
        <v>2</v>
      </c>
      <c r="E188">
        <v>0</v>
      </c>
      <c r="F188">
        <v>18</v>
      </c>
      <c r="G188">
        <v>0.26</v>
      </c>
      <c r="H188">
        <v>82</v>
      </c>
      <c r="I188">
        <v>30</v>
      </c>
      <c r="J188">
        <v>2</v>
      </c>
    </row>
    <row r="189" spans="1:10" x14ac:dyDescent="0.3">
      <c r="A189">
        <v>150</v>
      </c>
      <c r="B189">
        <v>2</v>
      </c>
      <c r="C189">
        <v>2</v>
      </c>
      <c r="D189">
        <v>0</v>
      </c>
      <c r="E189">
        <v>0</v>
      </c>
      <c r="F189">
        <v>11</v>
      </c>
      <c r="G189">
        <v>0.31</v>
      </c>
      <c r="H189">
        <v>71</v>
      </c>
      <c r="I189">
        <v>30</v>
      </c>
      <c r="J189">
        <v>4</v>
      </c>
    </row>
    <row r="190" spans="1:10" x14ac:dyDescent="0.3">
      <c r="A190">
        <v>76</v>
      </c>
      <c r="B190">
        <v>1</v>
      </c>
      <c r="C190">
        <v>4</v>
      </c>
      <c r="D190">
        <v>4</v>
      </c>
      <c r="E190">
        <v>1</v>
      </c>
      <c r="F190">
        <v>11</v>
      </c>
      <c r="G190">
        <v>0.16</v>
      </c>
      <c r="H190">
        <v>358</v>
      </c>
      <c r="I190">
        <v>30</v>
      </c>
      <c r="J190">
        <v>1</v>
      </c>
    </row>
    <row r="191" spans="1:10" x14ac:dyDescent="0.3">
      <c r="A191">
        <v>112</v>
      </c>
      <c r="B191">
        <v>1</v>
      </c>
      <c r="C191">
        <v>1</v>
      </c>
      <c r="D191">
        <v>2</v>
      </c>
      <c r="E191">
        <v>1</v>
      </c>
      <c r="F191">
        <v>40</v>
      </c>
      <c r="G191">
        <v>0.47</v>
      </c>
      <c r="H191">
        <v>239</v>
      </c>
      <c r="I191">
        <v>30</v>
      </c>
      <c r="J191">
        <v>2</v>
      </c>
    </row>
    <row r="192" spans="1:10" x14ac:dyDescent="0.3">
      <c r="A192">
        <v>119</v>
      </c>
      <c r="B192">
        <v>1</v>
      </c>
      <c r="C192">
        <v>1</v>
      </c>
      <c r="D192">
        <v>0</v>
      </c>
      <c r="E192">
        <v>0</v>
      </c>
      <c r="F192">
        <v>55</v>
      </c>
      <c r="G192">
        <v>0.65</v>
      </c>
      <c r="H192">
        <v>144</v>
      </c>
      <c r="I192">
        <v>30</v>
      </c>
      <c r="J192">
        <v>2</v>
      </c>
    </row>
    <row r="193" spans="1:10" x14ac:dyDescent="0.3">
      <c r="A193">
        <v>75</v>
      </c>
      <c r="B193">
        <v>2</v>
      </c>
      <c r="C193">
        <v>1</v>
      </c>
      <c r="D193">
        <v>2</v>
      </c>
      <c r="E193">
        <v>0</v>
      </c>
      <c r="F193">
        <v>77</v>
      </c>
      <c r="G193">
        <v>0.91</v>
      </c>
      <c r="H193">
        <v>106</v>
      </c>
      <c r="I193">
        <v>30</v>
      </c>
      <c r="J193">
        <v>2</v>
      </c>
    </row>
    <row r="194" spans="1:10" x14ac:dyDescent="0.3">
      <c r="A194">
        <v>280</v>
      </c>
      <c r="B194">
        <v>1</v>
      </c>
      <c r="C194">
        <v>1</v>
      </c>
      <c r="D194">
        <v>2</v>
      </c>
      <c r="E194">
        <v>0</v>
      </c>
      <c r="F194">
        <v>21</v>
      </c>
      <c r="G194">
        <v>0.26</v>
      </c>
      <c r="H194">
        <v>305</v>
      </c>
      <c r="I194">
        <v>30</v>
      </c>
      <c r="J194">
        <v>2</v>
      </c>
    </row>
    <row r="195" spans="1:10" x14ac:dyDescent="0.3">
      <c r="A195">
        <v>142</v>
      </c>
      <c r="B195">
        <v>2</v>
      </c>
      <c r="C195">
        <v>1</v>
      </c>
      <c r="D195">
        <v>0</v>
      </c>
      <c r="E195">
        <v>0</v>
      </c>
      <c r="F195">
        <v>82</v>
      </c>
      <c r="G195">
        <v>1.01</v>
      </c>
      <c r="H195">
        <v>321</v>
      </c>
      <c r="I195">
        <v>3</v>
      </c>
      <c r="J195">
        <v>4</v>
      </c>
    </row>
    <row r="196" spans="1:10" x14ac:dyDescent="0.3">
      <c r="A196">
        <v>147</v>
      </c>
      <c r="B196">
        <v>2</v>
      </c>
      <c r="C196">
        <v>1.5</v>
      </c>
      <c r="D196">
        <v>2</v>
      </c>
      <c r="E196">
        <v>0</v>
      </c>
      <c r="F196">
        <v>28</v>
      </c>
      <c r="G196">
        <v>0.33</v>
      </c>
      <c r="H196">
        <v>100</v>
      </c>
      <c r="I196">
        <v>30</v>
      </c>
      <c r="J196">
        <v>4</v>
      </c>
    </row>
    <row r="197" spans="1:10" x14ac:dyDescent="0.3">
      <c r="A197">
        <v>98</v>
      </c>
      <c r="B197">
        <v>4</v>
      </c>
      <c r="C197">
        <v>1</v>
      </c>
      <c r="D197">
        <v>4</v>
      </c>
      <c r="E197">
        <v>0</v>
      </c>
      <c r="F197">
        <v>3</v>
      </c>
      <c r="G197">
        <v>0.05</v>
      </c>
      <c r="H197">
        <v>331</v>
      </c>
      <c r="I197">
        <v>30</v>
      </c>
      <c r="J197">
        <v>4</v>
      </c>
    </row>
    <row r="198" spans="1:10" x14ac:dyDescent="0.3">
      <c r="A198">
        <v>252</v>
      </c>
      <c r="B198">
        <v>2</v>
      </c>
      <c r="C198">
        <v>2</v>
      </c>
      <c r="D198">
        <v>2</v>
      </c>
      <c r="E198">
        <v>0</v>
      </c>
      <c r="F198">
        <v>16</v>
      </c>
      <c r="G198">
        <v>0.19</v>
      </c>
      <c r="H198">
        <v>338</v>
      </c>
      <c r="I198">
        <v>30</v>
      </c>
      <c r="J198">
        <v>4</v>
      </c>
    </row>
    <row r="199" spans="1:10" x14ac:dyDescent="0.3">
      <c r="A199">
        <v>77</v>
      </c>
      <c r="B199">
        <v>1</v>
      </c>
      <c r="C199">
        <v>1</v>
      </c>
      <c r="D199">
        <v>2</v>
      </c>
      <c r="E199">
        <v>0</v>
      </c>
      <c r="F199">
        <v>53</v>
      </c>
      <c r="G199">
        <v>1.38</v>
      </c>
      <c r="H199">
        <v>129</v>
      </c>
      <c r="I199">
        <v>30</v>
      </c>
      <c r="J199">
        <v>2</v>
      </c>
    </row>
    <row r="200" spans="1:10" x14ac:dyDescent="0.3">
      <c r="A200">
        <v>50</v>
      </c>
      <c r="B200">
        <v>1</v>
      </c>
      <c r="C200">
        <v>1</v>
      </c>
      <c r="D200">
        <v>0</v>
      </c>
      <c r="E200">
        <v>1</v>
      </c>
      <c r="F200">
        <v>55</v>
      </c>
      <c r="G200">
        <v>0.65</v>
      </c>
      <c r="H200">
        <v>150</v>
      </c>
      <c r="I200">
        <v>30</v>
      </c>
      <c r="J200">
        <v>1</v>
      </c>
    </row>
    <row r="201" spans="1:10" x14ac:dyDescent="0.3">
      <c r="A201">
        <v>139</v>
      </c>
      <c r="B201">
        <v>1</v>
      </c>
      <c r="C201">
        <v>1</v>
      </c>
      <c r="D201">
        <v>0</v>
      </c>
      <c r="E201">
        <v>0</v>
      </c>
      <c r="F201">
        <v>73</v>
      </c>
      <c r="G201">
        <v>0.87</v>
      </c>
      <c r="H201">
        <v>122</v>
      </c>
      <c r="I201">
        <v>30</v>
      </c>
      <c r="J201">
        <v>2</v>
      </c>
    </row>
    <row r="202" spans="1:10" x14ac:dyDescent="0.3">
      <c r="A202">
        <v>120</v>
      </c>
      <c r="B202">
        <v>1</v>
      </c>
      <c r="C202">
        <v>1</v>
      </c>
      <c r="D202">
        <v>4</v>
      </c>
      <c r="E202">
        <v>0</v>
      </c>
      <c r="F202">
        <v>19</v>
      </c>
      <c r="G202">
        <v>0.25</v>
      </c>
      <c r="H202">
        <v>275</v>
      </c>
      <c r="I202">
        <v>30</v>
      </c>
      <c r="J202">
        <v>2</v>
      </c>
    </row>
    <row r="203" spans="1:10" x14ac:dyDescent="0.3">
      <c r="A203">
        <v>139</v>
      </c>
      <c r="B203">
        <v>2</v>
      </c>
      <c r="C203">
        <v>1</v>
      </c>
      <c r="D203">
        <v>2</v>
      </c>
      <c r="E203">
        <v>0</v>
      </c>
      <c r="F203">
        <v>97</v>
      </c>
      <c r="G203">
        <v>1.17</v>
      </c>
      <c r="H203">
        <v>260</v>
      </c>
      <c r="I203">
        <v>30</v>
      </c>
      <c r="J203">
        <v>3</v>
      </c>
    </row>
    <row r="204" spans="1:10" x14ac:dyDescent="0.3">
      <c r="A204">
        <v>186</v>
      </c>
      <c r="B204">
        <v>1</v>
      </c>
      <c r="C204">
        <v>1</v>
      </c>
      <c r="D204">
        <v>2</v>
      </c>
      <c r="E204">
        <v>1</v>
      </c>
      <c r="F204">
        <v>143</v>
      </c>
      <c r="G204">
        <v>1.73</v>
      </c>
      <c r="H204">
        <v>36</v>
      </c>
      <c r="I204">
        <v>5</v>
      </c>
      <c r="J204">
        <v>2</v>
      </c>
    </row>
    <row r="205" spans="1:10" x14ac:dyDescent="0.3">
      <c r="A205">
        <v>191</v>
      </c>
      <c r="B205">
        <v>2</v>
      </c>
      <c r="C205">
        <v>1</v>
      </c>
      <c r="D205">
        <v>2</v>
      </c>
      <c r="E205">
        <v>1</v>
      </c>
      <c r="F205">
        <v>96</v>
      </c>
      <c r="G205">
        <v>1.18</v>
      </c>
      <c r="H205">
        <v>170</v>
      </c>
      <c r="I205">
        <v>7</v>
      </c>
      <c r="J205">
        <v>2</v>
      </c>
    </row>
    <row r="206" spans="1:10" x14ac:dyDescent="0.3">
      <c r="A206">
        <v>50</v>
      </c>
      <c r="B206">
        <v>1</v>
      </c>
      <c r="C206">
        <v>1</v>
      </c>
      <c r="D206">
        <v>0</v>
      </c>
      <c r="E206">
        <v>1</v>
      </c>
      <c r="F206">
        <v>102</v>
      </c>
      <c r="G206">
        <v>1.24</v>
      </c>
      <c r="H206">
        <v>334</v>
      </c>
      <c r="I206">
        <v>30</v>
      </c>
      <c r="J206">
        <v>2</v>
      </c>
    </row>
    <row r="207" spans="1:10" x14ac:dyDescent="0.3">
      <c r="A207">
        <v>146</v>
      </c>
      <c r="B207">
        <v>4</v>
      </c>
      <c r="C207">
        <v>1</v>
      </c>
      <c r="D207">
        <v>0</v>
      </c>
      <c r="E207">
        <v>0</v>
      </c>
      <c r="F207">
        <v>143</v>
      </c>
      <c r="G207">
        <v>1.73</v>
      </c>
      <c r="H207">
        <v>202</v>
      </c>
      <c r="I207">
        <v>30</v>
      </c>
      <c r="J207">
        <v>6</v>
      </c>
    </row>
    <row r="208" spans="1:10" x14ac:dyDescent="0.3">
      <c r="A208">
        <v>125</v>
      </c>
      <c r="B208">
        <v>1</v>
      </c>
      <c r="C208">
        <v>1</v>
      </c>
      <c r="D208">
        <v>2</v>
      </c>
      <c r="E208">
        <v>0</v>
      </c>
      <c r="F208">
        <v>141</v>
      </c>
      <c r="G208">
        <v>1.73</v>
      </c>
      <c r="H208">
        <v>147</v>
      </c>
      <c r="I208">
        <v>30</v>
      </c>
      <c r="J208">
        <v>2</v>
      </c>
    </row>
    <row r="209" spans="1:10" x14ac:dyDescent="0.3">
      <c r="A209">
        <v>74</v>
      </c>
      <c r="B209">
        <v>1</v>
      </c>
      <c r="C209">
        <v>1</v>
      </c>
      <c r="D209">
        <v>2</v>
      </c>
      <c r="E209">
        <v>1</v>
      </c>
      <c r="F209">
        <v>28</v>
      </c>
      <c r="G209">
        <v>0.37</v>
      </c>
      <c r="H209">
        <v>136</v>
      </c>
      <c r="I209">
        <v>30</v>
      </c>
      <c r="J209">
        <v>2</v>
      </c>
    </row>
    <row r="210" spans="1:10" x14ac:dyDescent="0.3">
      <c r="A210">
        <v>50</v>
      </c>
      <c r="B210">
        <v>1</v>
      </c>
      <c r="C210">
        <v>1</v>
      </c>
      <c r="D210">
        <v>0</v>
      </c>
      <c r="E210">
        <v>1</v>
      </c>
      <c r="F210">
        <v>219</v>
      </c>
      <c r="G210">
        <v>2.77</v>
      </c>
      <c r="H210">
        <v>180</v>
      </c>
      <c r="I210">
        <v>30</v>
      </c>
      <c r="J210">
        <v>2</v>
      </c>
    </row>
    <row r="211" spans="1:10" x14ac:dyDescent="0.3">
      <c r="A211">
        <v>128</v>
      </c>
      <c r="B211">
        <v>1</v>
      </c>
      <c r="C211">
        <v>1.5</v>
      </c>
      <c r="D211">
        <v>2</v>
      </c>
      <c r="E211">
        <v>1</v>
      </c>
      <c r="F211">
        <v>16</v>
      </c>
      <c r="G211">
        <v>0.2</v>
      </c>
      <c r="H211">
        <v>363</v>
      </c>
      <c r="I211">
        <v>30</v>
      </c>
      <c r="J211">
        <v>1</v>
      </c>
    </row>
    <row r="212" spans="1:10" x14ac:dyDescent="0.3">
      <c r="A212">
        <v>305</v>
      </c>
      <c r="B212">
        <v>1</v>
      </c>
      <c r="C212">
        <v>1</v>
      </c>
      <c r="D212">
        <v>2</v>
      </c>
      <c r="E212">
        <v>0</v>
      </c>
      <c r="F212">
        <v>15</v>
      </c>
      <c r="G212">
        <v>0.18</v>
      </c>
      <c r="H212">
        <v>75</v>
      </c>
      <c r="I212">
        <v>30</v>
      </c>
      <c r="J212">
        <v>2</v>
      </c>
    </row>
    <row r="213" spans="1:10" x14ac:dyDescent="0.3">
      <c r="A213">
        <v>62</v>
      </c>
      <c r="B213">
        <v>1</v>
      </c>
      <c r="C213">
        <v>1</v>
      </c>
      <c r="D213">
        <v>4</v>
      </c>
      <c r="E213">
        <v>1</v>
      </c>
      <c r="F213">
        <v>20</v>
      </c>
      <c r="G213">
        <v>0.25</v>
      </c>
      <c r="H213">
        <v>356</v>
      </c>
      <c r="I213">
        <v>30</v>
      </c>
      <c r="J213">
        <v>1</v>
      </c>
    </row>
    <row r="214" spans="1:10" x14ac:dyDescent="0.3">
      <c r="A214">
        <v>124</v>
      </c>
      <c r="B214">
        <v>2</v>
      </c>
      <c r="C214">
        <v>1</v>
      </c>
      <c r="D214">
        <v>0</v>
      </c>
      <c r="E214">
        <v>0</v>
      </c>
      <c r="F214">
        <v>25</v>
      </c>
      <c r="G214">
        <v>0.32</v>
      </c>
      <c r="H214">
        <v>232</v>
      </c>
      <c r="I214">
        <v>30</v>
      </c>
      <c r="J214">
        <v>4</v>
      </c>
    </row>
    <row r="215" spans="1:10" x14ac:dyDescent="0.3">
      <c r="A215">
        <v>74</v>
      </c>
      <c r="B215">
        <v>1</v>
      </c>
      <c r="C215">
        <v>1</v>
      </c>
      <c r="D215">
        <v>0</v>
      </c>
      <c r="E215">
        <v>1</v>
      </c>
      <c r="F215">
        <v>133</v>
      </c>
      <c r="G215">
        <v>1.65</v>
      </c>
      <c r="H215">
        <v>364</v>
      </c>
      <c r="I215">
        <v>30</v>
      </c>
      <c r="J215">
        <v>2</v>
      </c>
    </row>
    <row r="216" spans="1:10" x14ac:dyDescent="0.3">
      <c r="A216">
        <v>100</v>
      </c>
      <c r="B216">
        <v>2</v>
      </c>
      <c r="C216">
        <v>1</v>
      </c>
      <c r="D216">
        <v>0</v>
      </c>
      <c r="E216">
        <v>1</v>
      </c>
      <c r="F216">
        <v>86</v>
      </c>
      <c r="G216">
        <v>1.07</v>
      </c>
      <c r="H216">
        <v>86</v>
      </c>
      <c r="I216">
        <v>1</v>
      </c>
      <c r="J216">
        <v>2</v>
      </c>
    </row>
    <row r="217" spans="1:10" x14ac:dyDescent="0.3">
      <c r="A217">
        <v>70</v>
      </c>
      <c r="B217">
        <v>1</v>
      </c>
      <c r="C217">
        <v>1.5</v>
      </c>
      <c r="D217">
        <v>2</v>
      </c>
      <c r="E217">
        <v>1</v>
      </c>
      <c r="F217">
        <v>46</v>
      </c>
      <c r="G217">
        <v>0.57999999999999996</v>
      </c>
      <c r="H217">
        <v>180</v>
      </c>
      <c r="I217">
        <v>30</v>
      </c>
      <c r="J217">
        <v>2</v>
      </c>
    </row>
    <row r="218" spans="1:10" x14ac:dyDescent="0.3">
      <c r="A218">
        <v>131</v>
      </c>
      <c r="B218">
        <v>1</v>
      </c>
      <c r="C218">
        <v>1</v>
      </c>
      <c r="D218">
        <v>2</v>
      </c>
      <c r="E218">
        <v>0</v>
      </c>
      <c r="F218">
        <v>66</v>
      </c>
      <c r="G218">
        <v>0.85</v>
      </c>
      <c r="H218">
        <v>85</v>
      </c>
      <c r="I218">
        <v>30</v>
      </c>
      <c r="J218">
        <v>2</v>
      </c>
    </row>
    <row r="219" spans="1:10" x14ac:dyDescent="0.3">
      <c r="A219">
        <v>105</v>
      </c>
      <c r="B219">
        <v>4</v>
      </c>
      <c r="C219">
        <v>1</v>
      </c>
      <c r="D219">
        <v>2</v>
      </c>
      <c r="E219">
        <v>0</v>
      </c>
      <c r="F219">
        <v>28</v>
      </c>
      <c r="G219">
        <v>0.35</v>
      </c>
      <c r="H219">
        <v>87</v>
      </c>
      <c r="I219">
        <v>30</v>
      </c>
      <c r="J219">
        <v>3</v>
      </c>
    </row>
    <row r="220" spans="1:10" x14ac:dyDescent="0.3">
      <c r="A220">
        <v>450</v>
      </c>
      <c r="B220">
        <v>1</v>
      </c>
      <c r="C220">
        <v>1</v>
      </c>
      <c r="D220">
        <v>4</v>
      </c>
      <c r="E220">
        <v>0</v>
      </c>
      <c r="F220">
        <v>119</v>
      </c>
      <c r="G220">
        <v>1.5</v>
      </c>
      <c r="H220">
        <v>179</v>
      </c>
      <c r="I220">
        <v>30</v>
      </c>
      <c r="J220">
        <v>3</v>
      </c>
    </row>
    <row r="221" spans="1:10" x14ac:dyDescent="0.3">
      <c r="A221">
        <v>293</v>
      </c>
      <c r="B221">
        <v>3</v>
      </c>
      <c r="C221">
        <v>1</v>
      </c>
      <c r="D221">
        <v>4</v>
      </c>
      <c r="E221">
        <v>0</v>
      </c>
      <c r="F221">
        <v>152</v>
      </c>
      <c r="G221">
        <v>1.98</v>
      </c>
      <c r="H221">
        <v>188</v>
      </c>
      <c r="I221">
        <v>2</v>
      </c>
      <c r="J221">
        <v>6</v>
      </c>
    </row>
    <row r="222" spans="1:10" x14ac:dyDescent="0.3">
      <c r="A222">
        <v>85</v>
      </c>
      <c r="B222">
        <v>1</v>
      </c>
      <c r="C222">
        <v>1</v>
      </c>
      <c r="D222">
        <v>2</v>
      </c>
      <c r="E222">
        <v>0</v>
      </c>
      <c r="F222">
        <v>229</v>
      </c>
      <c r="G222">
        <v>2.9</v>
      </c>
      <c r="H222">
        <v>94</v>
      </c>
      <c r="I222">
        <v>30</v>
      </c>
      <c r="J222">
        <v>2</v>
      </c>
    </row>
    <row r="223" spans="1:10" x14ac:dyDescent="0.3">
      <c r="A223">
        <v>247</v>
      </c>
      <c r="B223">
        <v>1</v>
      </c>
      <c r="C223">
        <v>1</v>
      </c>
      <c r="D223">
        <v>2</v>
      </c>
      <c r="E223">
        <v>0</v>
      </c>
      <c r="F223">
        <v>41</v>
      </c>
      <c r="G223">
        <v>0.54</v>
      </c>
      <c r="H223">
        <v>38</v>
      </c>
      <c r="I223">
        <v>30</v>
      </c>
      <c r="J223">
        <v>2</v>
      </c>
    </row>
    <row r="224" spans="1:10" x14ac:dyDescent="0.3">
      <c r="A224">
        <v>70</v>
      </c>
      <c r="B224">
        <v>1</v>
      </c>
      <c r="C224">
        <v>1</v>
      </c>
      <c r="D224">
        <v>2</v>
      </c>
      <c r="E224">
        <v>1</v>
      </c>
      <c r="F224">
        <v>24</v>
      </c>
      <c r="G224">
        <v>0.89</v>
      </c>
      <c r="H224">
        <v>78</v>
      </c>
      <c r="I224">
        <v>30</v>
      </c>
      <c r="J224">
        <v>1</v>
      </c>
    </row>
    <row r="225" spans="1:10" x14ac:dyDescent="0.3">
      <c r="A225">
        <v>86</v>
      </c>
      <c r="B225">
        <v>1</v>
      </c>
      <c r="C225">
        <v>1</v>
      </c>
      <c r="D225">
        <v>2</v>
      </c>
      <c r="E225">
        <v>1</v>
      </c>
      <c r="F225">
        <v>88</v>
      </c>
      <c r="G225">
        <v>1.31</v>
      </c>
      <c r="H225">
        <v>351</v>
      </c>
      <c r="I225">
        <v>3</v>
      </c>
      <c r="J225">
        <v>1</v>
      </c>
    </row>
    <row r="226" spans="1:10" x14ac:dyDescent="0.3">
      <c r="A226">
        <v>200</v>
      </c>
      <c r="B226">
        <v>3</v>
      </c>
      <c r="C226">
        <v>2</v>
      </c>
      <c r="D226">
        <v>4</v>
      </c>
      <c r="E226">
        <v>0</v>
      </c>
      <c r="F226">
        <v>6</v>
      </c>
      <c r="G226">
        <v>0.13</v>
      </c>
      <c r="H226">
        <v>165</v>
      </c>
      <c r="I226">
        <v>30</v>
      </c>
      <c r="J226">
        <v>4</v>
      </c>
    </row>
    <row r="227" spans="1:10" x14ac:dyDescent="0.3">
      <c r="A227">
        <v>100</v>
      </c>
      <c r="B227">
        <v>1</v>
      </c>
      <c r="C227">
        <v>1</v>
      </c>
      <c r="D227">
        <v>2</v>
      </c>
      <c r="E227">
        <v>1</v>
      </c>
      <c r="F227">
        <v>84</v>
      </c>
      <c r="G227">
        <v>1.1499999999999999</v>
      </c>
      <c r="H227">
        <v>220</v>
      </c>
      <c r="I227">
        <v>1</v>
      </c>
      <c r="J227">
        <v>2</v>
      </c>
    </row>
    <row r="228" spans="1:10" x14ac:dyDescent="0.3">
      <c r="A228">
        <v>54</v>
      </c>
      <c r="B228">
        <v>1</v>
      </c>
      <c r="C228">
        <v>1</v>
      </c>
      <c r="D228">
        <v>0</v>
      </c>
      <c r="E228">
        <v>1</v>
      </c>
      <c r="F228">
        <v>10</v>
      </c>
      <c r="G228">
        <v>0.13</v>
      </c>
      <c r="H228">
        <v>278</v>
      </c>
      <c r="I228">
        <v>30</v>
      </c>
      <c r="J228">
        <v>1</v>
      </c>
    </row>
    <row r="229" spans="1:10" x14ac:dyDescent="0.3">
      <c r="A229">
        <v>266</v>
      </c>
      <c r="B229">
        <v>3</v>
      </c>
      <c r="C229">
        <v>1</v>
      </c>
      <c r="D229">
        <v>4</v>
      </c>
      <c r="E229">
        <v>0</v>
      </c>
      <c r="F229">
        <v>167</v>
      </c>
      <c r="G229">
        <v>2.2400000000000002</v>
      </c>
      <c r="H229">
        <v>170</v>
      </c>
      <c r="I229">
        <v>2</v>
      </c>
      <c r="J229">
        <v>6</v>
      </c>
    </row>
    <row r="230" spans="1:10" x14ac:dyDescent="0.3">
      <c r="A230">
        <v>283</v>
      </c>
      <c r="B230">
        <v>2</v>
      </c>
      <c r="C230">
        <v>1</v>
      </c>
      <c r="D230">
        <v>4</v>
      </c>
      <c r="E230">
        <v>0</v>
      </c>
      <c r="F230">
        <v>35</v>
      </c>
      <c r="G230">
        <v>0.47</v>
      </c>
      <c r="H230">
        <v>98</v>
      </c>
      <c r="I230">
        <v>30</v>
      </c>
      <c r="J230">
        <v>2</v>
      </c>
    </row>
    <row r="231" spans="1:10" x14ac:dyDescent="0.3">
      <c r="A231">
        <v>416</v>
      </c>
      <c r="B231">
        <v>2</v>
      </c>
      <c r="C231">
        <v>1</v>
      </c>
      <c r="D231">
        <v>4</v>
      </c>
      <c r="E231">
        <v>0</v>
      </c>
      <c r="F231">
        <v>77</v>
      </c>
      <c r="G231">
        <v>1.03</v>
      </c>
      <c r="H231">
        <v>216</v>
      </c>
      <c r="I231">
        <v>1</v>
      </c>
      <c r="J231">
        <v>4</v>
      </c>
    </row>
    <row r="232" spans="1:10" x14ac:dyDescent="0.3">
      <c r="A232">
        <v>232</v>
      </c>
      <c r="B232">
        <v>6</v>
      </c>
      <c r="C232">
        <v>2</v>
      </c>
      <c r="D232">
        <v>4</v>
      </c>
      <c r="E232">
        <v>0</v>
      </c>
      <c r="F232">
        <v>20</v>
      </c>
      <c r="G232">
        <v>0.27</v>
      </c>
      <c r="H232">
        <v>365</v>
      </c>
      <c r="I232">
        <v>30</v>
      </c>
      <c r="J232">
        <v>8</v>
      </c>
    </row>
    <row r="233" spans="1:10" x14ac:dyDescent="0.3">
      <c r="A233">
        <v>70</v>
      </c>
      <c r="B233">
        <v>1</v>
      </c>
      <c r="C233">
        <v>1</v>
      </c>
      <c r="D233">
        <v>4</v>
      </c>
      <c r="E233">
        <v>1</v>
      </c>
      <c r="F233">
        <v>51</v>
      </c>
      <c r="G233">
        <v>1.75</v>
      </c>
      <c r="H233">
        <v>62</v>
      </c>
      <c r="I233">
        <v>30</v>
      </c>
      <c r="J233">
        <v>2</v>
      </c>
    </row>
    <row r="234" spans="1:10" x14ac:dyDescent="0.3">
      <c r="A234">
        <v>270</v>
      </c>
      <c r="B234">
        <v>4</v>
      </c>
      <c r="C234">
        <v>1.5</v>
      </c>
      <c r="D234">
        <v>0</v>
      </c>
      <c r="E234">
        <v>0</v>
      </c>
      <c r="F234">
        <v>56</v>
      </c>
      <c r="G234">
        <v>0.77</v>
      </c>
      <c r="H234">
        <v>241</v>
      </c>
      <c r="I234">
        <v>30</v>
      </c>
      <c r="J234">
        <v>8</v>
      </c>
    </row>
    <row r="235" spans="1:10" x14ac:dyDescent="0.3">
      <c r="A235">
        <v>110</v>
      </c>
      <c r="B235">
        <v>1</v>
      </c>
      <c r="C235">
        <v>1</v>
      </c>
      <c r="D235">
        <v>4</v>
      </c>
      <c r="E235">
        <v>0</v>
      </c>
      <c r="F235">
        <v>71</v>
      </c>
      <c r="G235">
        <v>0.98</v>
      </c>
      <c r="H235">
        <v>296</v>
      </c>
      <c r="I235">
        <v>30</v>
      </c>
      <c r="J235">
        <v>2</v>
      </c>
    </row>
    <row r="236" spans="1:10" x14ac:dyDescent="0.3">
      <c r="A236">
        <v>62</v>
      </c>
      <c r="B236">
        <v>1</v>
      </c>
      <c r="C236">
        <v>1</v>
      </c>
      <c r="D236">
        <v>2</v>
      </c>
      <c r="E236">
        <v>1</v>
      </c>
      <c r="F236">
        <v>20</v>
      </c>
      <c r="G236">
        <v>0.31</v>
      </c>
      <c r="H236">
        <v>360</v>
      </c>
      <c r="I236">
        <v>30</v>
      </c>
      <c r="J236">
        <v>2</v>
      </c>
    </row>
    <row r="237" spans="1:10" x14ac:dyDescent="0.3">
      <c r="A237">
        <v>82</v>
      </c>
      <c r="B237">
        <v>2</v>
      </c>
      <c r="C237">
        <v>1</v>
      </c>
      <c r="D237">
        <v>0</v>
      </c>
      <c r="E237">
        <v>0</v>
      </c>
      <c r="F237">
        <v>250</v>
      </c>
      <c r="G237">
        <v>3.45</v>
      </c>
      <c r="H237">
        <v>245</v>
      </c>
      <c r="I237">
        <v>30</v>
      </c>
      <c r="J237">
        <v>4</v>
      </c>
    </row>
    <row r="238" spans="1:10" x14ac:dyDescent="0.3">
      <c r="A238">
        <v>84</v>
      </c>
      <c r="B238">
        <v>2</v>
      </c>
      <c r="C238">
        <v>1</v>
      </c>
      <c r="D238">
        <v>2</v>
      </c>
      <c r="E238">
        <v>0</v>
      </c>
      <c r="F238">
        <v>290</v>
      </c>
      <c r="G238">
        <v>4.22</v>
      </c>
      <c r="H238">
        <v>238</v>
      </c>
      <c r="I238">
        <v>30</v>
      </c>
      <c r="J238">
        <v>2</v>
      </c>
    </row>
    <row r="239" spans="1:10" x14ac:dyDescent="0.3">
      <c r="A239">
        <v>69</v>
      </c>
      <c r="B239">
        <v>1</v>
      </c>
      <c r="C239">
        <v>1</v>
      </c>
      <c r="D239">
        <v>0</v>
      </c>
      <c r="E239">
        <v>1</v>
      </c>
      <c r="F239">
        <v>13</v>
      </c>
      <c r="G239">
        <v>0.2</v>
      </c>
      <c r="H239">
        <v>304</v>
      </c>
      <c r="I239">
        <v>30</v>
      </c>
      <c r="J239">
        <v>1</v>
      </c>
    </row>
    <row r="240" spans="1:10" x14ac:dyDescent="0.3">
      <c r="A240">
        <v>133</v>
      </c>
      <c r="B240">
        <v>1</v>
      </c>
      <c r="C240">
        <v>1</v>
      </c>
      <c r="D240">
        <v>4</v>
      </c>
      <c r="E240">
        <v>0</v>
      </c>
      <c r="F240">
        <v>17</v>
      </c>
      <c r="G240">
        <v>0.25</v>
      </c>
      <c r="H240">
        <v>339</v>
      </c>
      <c r="I240">
        <v>30</v>
      </c>
      <c r="J240">
        <v>2</v>
      </c>
    </row>
    <row r="241" spans="1:10" x14ac:dyDescent="0.3">
      <c r="A241">
        <v>100</v>
      </c>
      <c r="B241">
        <v>5</v>
      </c>
      <c r="C241">
        <v>1</v>
      </c>
      <c r="D241">
        <v>0</v>
      </c>
      <c r="E241">
        <v>0</v>
      </c>
      <c r="F241">
        <v>110</v>
      </c>
      <c r="G241">
        <v>1.59</v>
      </c>
      <c r="H241">
        <v>121</v>
      </c>
      <c r="I241">
        <v>30</v>
      </c>
      <c r="J241">
        <v>4</v>
      </c>
    </row>
    <row r="242" spans="1:10" x14ac:dyDescent="0.3">
      <c r="A242">
        <v>389</v>
      </c>
      <c r="B242">
        <v>2</v>
      </c>
      <c r="C242">
        <v>1</v>
      </c>
      <c r="D242">
        <v>4</v>
      </c>
      <c r="E242">
        <v>0</v>
      </c>
      <c r="F242">
        <v>15</v>
      </c>
      <c r="G242">
        <v>0.22</v>
      </c>
      <c r="H242">
        <v>153</v>
      </c>
      <c r="I242">
        <v>30</v>
      </c>
      <c r="J242">
        <v>4</v>
      </c>
    </row>
    <row r="243" spans="1:10" x14ac:dyDescent="0.3">
      <c r="A243">
        <v>117</v>
      </c>
      <c r="B243">
        <v>3</v>
      </c>
      <c r="C243">
        <v>1</v>
      </c>
      <c r="D243">
        <v>2</v>
      </c>
      <c r="E243">
        <v>0</v>
      </c>
      <c r="F243">
        <v>108</v>
      </c>
      <c r="G243">
        <v>1.49</v>
      </c>
      <c r="H243">
        <v>213</v>
      </c>
      <c r="I243">
        <v>30</v>
      </c>
      <c r="J243">
        <v>3</v>
      </c>
    </row>
    <row r="244" spans="1:10" x14ac:dyDescent="0.3">
      <c r="A244">
        <v>301</v>
      </c>
      <c r="B244">
        <v>1</v>
      </c>
      <c r="C244">
        <v>1</v>
      </c>
      <c r="D244">
        <v>4</v>
      </c>
      <c r="E244">
        <v>1</v>
      </c>
      <c r="F244">
        <v>123</v>
      </c>
      <c r="G244">
        <v>1.75</v>
      </c>
      <c r="H244">
        <v>285</v>
      </c>
      <c r="I244">
        <v>1</v>
      </c>
      <c r="J244">
        <v>2</v>
      </c>
    </row>
    <row r="245" spans="1:10" x14ac:dyDescent="0.3">
      <c r="A245">
        <v>75</v>
      </c>
      <c r="B245">
        <v>1</v>
      </c>
      <c r="C245">
        <v>1.5</v>
      </c>
      <c r="D245">
        <v>0</v>
      </c>
      <c r="E245">
        <v>1</v>
      </c>
      <c r="F245">
        <v>43</v>
      </c>
      <c r="G245">
        <v>0.62</v>
      </c>
      <c r="H245">
        <v>135</v>
      </c>
      <c r="I245">
        <v>7</v>
      </c>
      <c r="J245">
        <v>2</v>
      </c>
    </row>
    <row r="246" spans="1:10" x14ac:dyDescent="0.3">
      <c r="A246">
        <v>220</v>
      </c>
      <c r="B246">
        <v>3</v>
      </c>
      <c r="C246">
        <v>1</v>
      </c>
      <c r="D246">
        <v>4</v>
      </c>
      <c r="E246">
        <v>0</v>
      </c>
      <c r="F246">
        <v>17</v>
      </c>
      <c r="G246">
        <v>0.25</v>
      </c>
      <c r="H246">
        <v>235</v>
      </c>
      <c r="I246">
        <v>30</v>
      </c>
      <c r="J246">
        <v>4</v>
      </c>
    </row>
    <row r="247" spans="1:10" x14ac:dyDescent="0.3">
      <c r="A247">
        <v>143</v>
      </c>
      <c r="B247">
        <v>1</v>
      </c>
      <c r="C247">
        <v>1</v>
      </c>
      <c r="D247">
        <v>2</v>
      </c>
      <c r="E247">
        <v>0</v>
      </c>
      <c r="F247">
        <v>102</v>
      </c>
      <c r="G247">
        <v>1.41</v>
      </c>
      <c r="H247">
        <v>92</v>
      </c>
      <c r="I247">
        <v>30</v>
      </c>
      <c r="J247">
        <v>3</v>
      </c>
    </row>
    <row r="248" spans="1:10" x14ac:dyDescent="0.3">
      <c r="A248">
        <v>98</v>
      </c>
      <c r="B248">
        <v>1</v>
      </c>
      <c r="C248">
        <v>1</v>
      </c>
      <c r="D248">
        <v>2</v>
      </c>
      <c r="E248">
        <v>0</v>
      </c>
      <c r="F248">
        <v>217</v>
      </c>
      <c r="G248">
        <v>3.05</v>
      </c>
      <c r="H248">
        <v>274</v>
      </c>
      <c r="I248">
        <v>30</v>
      </c>
      <c r="J248">
        <v>2</v>
      </c>
    </row>
    <row r="249" spans="1:10" x14ac:dyDescent="0.3">
      <c r="A249">
        <v>234</v>
      </c>
      <c r="B249">
        <v>3</v>
      </c>
      <c r="C249">
        <v>1</v>
      </c>
      <c r="D249">
        <v>4</v>
      </c>
      <c r="E249">
        <v>0</v>
      </c>
      <c r="F249">
        <v>50</v>
      </c>
      <c r="G249">
        <v>0.7</v>
      </c>
      <c r="H249">
        <v>250</v>
      </c>
      <c r="I249">
        <v>3</v>
      </c>
      <c r="J249">
        <v>2</v>
      </c>
    </row>
    <row r="250" spans="1:10" x14ac:dyDescent="0.3">
      <c r="A250">
        <v>139</v>
      </c>
      <c r="B250">
        <v>3</v>
      </c>
      <c r="C250">
        <v>1</v>
      </c>
      <c r="D250">
        <v>2</v>
      </c>
      <c r="E250">
        <v>0</v>
      </c>
      <c r="F250">
        <v>139</v>
      </c>
      <c r="G250">
        <v>1.95</v>
      </c>
      <c r="H250">
        <v>293</v>
      </c>
      <c r="I250">
        <v>30</v>
      </c>
      <c r="J250">
        <v>4</v>
      </c>
    </row>
    <row r="251" spans="1:10" x14ac:dyDescent="0.3">
      <c r="A251">
        <v>113</v>
      </c>
      <c r="B251">
        <v>1</v>
      </c>
      <c r="C251">
        <v>1</v>
      </c>
      <c r="D251">
        <v>4</v>
      </c>
      <c r="E251">
        <v>0</v>
      </c>
      <c r="F251">
        <v>19</v>
      </c>
      <c r="G251">
        <v>0.27</v>
      </c>
      <c r="H251">
        <v>332</v>
      </c>
      <c r="I251">
        <v>30</v>
      </c>
      <c r="J251">
        <v>2</v>
      </c>
    </row>
    <row r="252" spans="1:10" x14ac:dyDescent="0.3">
      <c r="A252">
        <v>67</v>
      </c>
      <c r="B252">
        <v>1</v>
      </c>
      <c r="C252">
        <v>1</v>
      </c>
      <c r="D252">
        <v>0</v>
      </c>
      <c r="E252">
        <v>0</v>
      </c>
      <c r="F252">
        <v>74</v>
      </c>
      <c r="G252">
        <v>1.03</v>
      </c>
      <c r="H252">
        <v>331</v>
      </c>
      <c r="I252">
        <v>30</v>
      </c>
      <c r="J252">
        <v>2</v>
      </c>
    </row>
    <row r="253" spans="1:10" x14ac:dyDescent="0.3">
      <c r="A253">
        <v>264</v>
      </c>
      <c r="B253">
        <v>2</v>
      </c>
      <c r="C253">
        <v>1</v>
      </c>
      <c r="D253">
        <v>4</v>
      </c>
      <c r="E253">
        <v>1</v>
      </c>
      <c r="F253">
        <v>103</v>
      </c>
      <c r="G253">
        <v>1.95</v>
      </c>
      <c r="H253">
        <v>325</v>
      </c>
      <c r="I253">
        <v>1</v>
      </c>
      <c r="J253">
        <v>2</v>
      </c>
    </row>
    <row r="254" spans="1:10" x14ac:dyDescent="0.3">
      <c r="A254">
        <v>68</v>
      </c>
      <c r="B254">
        <v>1</v>
      </c>
      <c r="C254">
        <v>1</v>
      </c>
      <c r="D254">
        <v>0</v>
      </c>
      <c r="E254">
        <v>1</v>
      </c>
      <c r="F254">
        <v>14</v>
      </c>
      <c r="G254">
        <v>0.2</v>
      </c>
      <c r="H254">
        <v>111</v>
      </c>
      <c r="I254">
        <v>30</v>
      </c>
      <c r="J254">
        <v>1</v>
      </c>
    </row>
    <row r="255" spans="1:10" x14ac:dyDescent="0.3">
      <c r="A255">
        <v>70</v>
      </c>
      <c r="B255">
        <v>2</v>
      </c>
      <c r="C255">
        <v>1</v>
      </c>
      <c r="D255">
        <v>2</v>
      </c>
      <c r="E255">
        <v>1</v>
      </c>
      <c r="F255">
        <v>21</v>
      </c>
      <c r="G255">
        <v>0.28999999999999998</v>
      </c>
      <c r="H255">
        <v>180</v>
      </c>
      <c r="I255">
        <v>30</v>
      </c>
      <c r="J255">
        <v>3</v>
      </c>
    </row>
    <row r="256" spans="1:10" x14ac:dyDescent="0.3">
      <c r="A256">
        <v>183</v>
      </c>
      <c r="B256">
        <v>1</v>
      </c>
      <c r="C256">
        <v>1</v>
      </c>
      <c r="D256">
        <v>4</v>
      </c>
      <c r="E256">
        <v>0</v>
      </c>
      <c r="F256">
        <v>12</v>
      </c>
      <c r="G256">
        <v>0.17</v>
      </c>
      <c r="H256">
        <v>365</v>
      </c>
      <c r="I256">
        <v>30</v>
      </c>
      <c r="J256">
        <v>3</v>
      </c>
    </row>
    <row r="257" spans="1:10" x14ac:dyDescent="0.3">
      <c r="A257">
        <v>100</v>
      </c>
      <c r="B257">
        <v>2</v>
      </c>
      <c r="C257">
        <v>1</v>
      </c>
      <c r="D257">
        <v>0</v>
      </c>
      <c r="E257">
        <v>0</v>
      </c>
      <c r="F257">
        <v>75</v>
      </c>
      <c r="G257">
        <v>1.05</v>
      </c>
      <c r="H257">
        <v>199</v>
      </c>
      <c r="I257">
        <v>30</v>
      </c>
      <c r="J257">
        <v>2</v>
      </c>
    </row>
    <row r="258" spans="1:10" x14ac:dyDescent="0.3">
      <c r="A258">
        <v>159</v>
      </c>
      <c r="B258">
        <v>2</v>
      </c>
      <c r="C258">
        <v>1</v>
      </c>
      <c r="D258">
        <v>2</v>
      </c>
      <c r="E258">
        <v>0</v>
      </c>
      <c r="F258">
        <v>45</v>
      </c>
      <c r="G258">
        <v>0.63</v>
      </c>
      <c r="H258">
        <v>68</v>
      </c>
      <c r="I258">
        <v>30</v>
      </c>
      <c r="J258">
        <v>2</v>
      </c>
    </row>
    <row r="259" spans="1:10" x14ac:dyDescent="0.3">
      <c r="A259">
        <v>324</v>
      </c>
      <c r="B259">
        <v>2</v>
      </c>
      <c r="C259">
        <v>1</v>
      </c>
      <c r="D259">
        <v>4</v>
      </c>
      <c r="E259">
        <v>1</v>
      </c>
      <c r="F259">
        <v>37</v>
      </c>
      <c r="G259">
        <v>0.68</v>
      </c>
      <c r="H259">
        <v>298</v>
      </c>
      <c r="I259">
        <v>1</v>
      </c>
      <c r="J259">
        <v>4</v>
      </c>
    </row>
    <row r="260" spans="1:10" x14ac:dyDescent="0.3">
      <c r="A260">
        <v>310</v>
      </c>
      <c r="B260">
        <v>2</v>
      </c>
      <c r="C260">
        <v>1</v>
      </c>
      <c r="D260">
        <v>4</v>
      </c>
      <c r="E260">
        <v>1</v>
      </c>
      <c r="F260">
        <v>288</v>
      </c>
      <c r="G260">
        <v>4.28</v>
      </c>
      <c r="H260">
        <v>261</v>
      </c>
      <c r="I260">
        <v>1</v>
      </c>
      <c r="J260">
        <v>4</v>
      </c>
    </row>
    <row r="261" spans="1:10" x14ac:dyDescent="0.3">
      <c r="A261">
        <v>230</v>
      </c>
      <c r="B261">
        <v>1</v>
      </c>
      <c r="C261">
        <v>1</v>
      </c>
      <c r="D261">
        <v>4</v>
      </c>
      <c r="E261">
        <v>0</v>
      </c>
      <c r="F261">
        <v>8</v>
      </c>
      <c r="G261">
        <v>0.14000000000000001</v>
      </c>
      <c r="H261">
        <v>274</v>
      </c>
      <c r="I261">
        <v>30</v>
      </c>
      <c r="J261">
        <v>3</v>
      </c>
    </row>
    <row r="262" spans="1:10" x14ac:dyDescent="0.3">
      <c r="A262">
        <v>79</v>
      </c>
      <c r="B262">
        <v>1</v>
      </c>
      <c r="C262">
        <v>1</v>
      </c>
      <c r="D262">
        <v>4</v>
      </c>
      <c r="E262">
        <v>1</v>
      </c>
      <c r="F262">
        <v>56</v>
      </c>
      <c r="G262">
        <v>1.5</v>
      </c>
      <c r="H262">
        <v>190</v>
      </c>
      <c r="I262">
        <v>30</v>
      </c>
      <c r="J262">
        <v>1</v>
      </c>
    </row>
    <row r="263" spans="1:10" x14ac:dyDescent="0.3">
      <c r="A263">
        <v>203</v>
      </c>
      <c r="B263">
        <v>2</v>
      </c>
      <c r="C263">
        <v>1</v>
      </c>
      <c r="D263">
        <v>2</v>
      </c>
      <c r="E263">
        <v>0</v>
      </c>
      <c r="F263">
        <v>117</v>
      </c>
      <c r="G263">
        <v>1.67</v>
      </c>
      <c r="H263">
        <v>178</v>
      </c>
      <c r="I263">
        <v>30</v>
      </c>
      <c r="J263">
        <v>5</v>
      </c>
    </row>
    <row r="264" spans="1:10" x14ac:dyDescent="0.3">
      <c r="A264">
        <v>80</v>
      </c>
      <c r="B264">
        <v>1</v>
      </c>
      <c r="C264">
        <v>1</v>
      </c>
      <c r="D264">
        <v>2</v>
      </c>
      <c r="E264">
        <v>1</v>
      </c>
      <c r="F264">
        <v>97</v>
      </c>
      <c r="G264">
        <v>1.39</v>
      </c>
      <c r="H264">
        <v>119</v>
      </c>
      <c r="I264">
        <v>30</v>
      </c>
      <c r="J264">
        <v>2</v>
      </c>
    </row>
    <row r="265" spans="1:10" x14ac:dyDescent="0.3">
      <c r="A265">
        <v>92</v>
      </c>
      <c r="B265">
        <v>2</v>
      </c>
      <c r="C265">
        <v>1</v>
      </c>
      <c r="D265">
        <v>0</v>
      </c>
      <c r="E265">
        <v>1</v>
      </c>
      <c r="F265">
        <v>10</v>
      </c>
      <c r="G265">
        <v>0.21</v>
      </c>
      <c r="H265">
        <v>342</v>
      </c>
      <c r="I265">
        <v>2</v>
      </c>
      <c r="J265">
        <v>3</v>
      </c>
    </row>
    <row r="266" spans="1:10" x14ac:dyDescent="0.3">
      <c r="A266">
        <v>59</v>
      </c>
      <c r="B266">
        <v>1</v>
      </c>
      <c r="C266">
        <v>1</v>
      </c>
      <c r="D266">
        <v>0</v>
      </c>
      <c r="E266">
        <v>1</v>
      </c>
      <c r="F266">
        <v>66</v>
      </c>
      <c r="G266">
        <v>0.94</v>
      </c>
      <c r="H266">
        <v>362</v>
      </c>
      <c r="I266">
        <v>1</v>
      </c>
      <c r="J266">
        <v>1</v>
      </c>
    </row>
    <row r="267" spans="1:10" x14ac:dyDescent="0.3">
      <c r="A267">
        <v>145</v>
      </c>
      <c r="B267">
        <v>3</v>
      </c>
      <c r="C267">
        <v>1</v>
      </c>
      <c r="D267">
        <v>2</v>
      </c>
      <c r="E267">
        <v>0</v>
      </c>
      <c r="F267">
        <v>374</v>
      </c>
      <c r="G267">
        <v>5.33</v>
      </c>
      <c r="H267">
        <v>356</v>
      </c>
      <c r="I267">
        <v>30</v>
      </c>
      <c r="J267">
        <v>6</v>
      </c>
    </row>
    <row r="268" spans="1:10" x14ac:dyDescent="0.3">
      <c r="A268">
        <v>146</v>
      </c>
      <c r="B268">
        <v>3</v>
      </c>
      <c r="C268">
        <v>1</v>
      </c>
      <c r="D268">
        <v>4</v>
      </c>
      <c r="E268">
        <v>0</v>
      </c>
      <c r="F268">
        <v>8</v>
      </c>
      <c r="G268">
        <v>0.12</v>
      </c>
      <c r="H268">
        <v>362</v>
      </c>
      <c r="I268">
        <v>30</v>
      </c>
      <c r="J268">
        <v>4</v>
      </c>
    </row>
    <row r="269" spans="1:10" x14ac:dyDescent="0.3">
      <c r="A269">
        <v>157</v>
      </c>
      <c r="B269">
        <v>1</v>
      </c>
      <c r="C269">
        <v>1</v>
      </c>
      <c r="D269">
        <v>2</v>
      </c>
      <c r="E269">
        <v>0</v>
      </c>
      <c r="F269">
        <v>120</v>
      </c>
      <c r="G269">
        <v>1.71</v>
      </c>
      <c r="H269">
        <v>89</v>
      </c>
      <c r="I269">
        <v>30</v>
      </c>
      <c r="J269">
        <v>2</v>
      </c>
    </row>
    <row r="270" spans="1:10" x14ac:dyDescent="0.3">
      <c r="A270">
        <v>182</v>
      </c>
      <c r="B270">
        <v>1</v>
      </c>
      <c r="C270">
        <v>1</v>
      </c>
      <c r="D270">
        <v>4</v>
      </c>
      <c r="E270">
        <v>0</v>
      </c>
      <c r="F270">
        <v>14</v>
      </c>
      <c r="G270">
        <v>0.2</v>
      </c>
      <c r="H270">
        <v>179</v>
      </c>
      <c r="I270">
        <v>30</v>
      </c>
      <c r="J270">
        <v>3</v>
      </c>
    </row>
    <row r="271" spans="1:10" x14ac:dyDescent="0.3">
      <c r="A271">
        <v>284</v>
      </c>
      <c r="B271">
        <v>1</v>
      </c>
      <c r="C271">
        <v>1</v>
      </c>
      <c r="D271">
        <v>4</v>
      </c>
      <c r="E271">
        <v>1</v>
      </c>
      <c r="F271">
        <v>278</v>
      </c>
      <c r="G271">
        <v>4.24</v>
      </c>
      <c r="H271">
        <v>349</v>
      </c>
      <c r="I271">
        <v>1</v>
      </c>
      <c r="J271">
        <v>2</v>
      </c>
    </row>
    <row r="272" spans="1:10" x14ac:dyDescent="0.3">
      <c r="A272">
        <v>143</v>
      </c>
      <c r="B272">
        <v>1</v>
      </c>
      <c r="C272">
        <v>1</v>
      </c>
      <c r="D272">
        <v>2</v>
      </c>
      <c r="E272">
        <v>1</v>
      </c>
      <c r="F272">
        <v>29</v>
      </c>
      <c r="G272">
        <v>0.42</v>
      </c>
      <c r="H272">
        <v>356</v>
      </c>
      <c r="I272">
        <v>2</v>
      </c>
      <c r="J272">
        <v>2</v>
      </c>
    </row>
    <row r="273" spans="1:10" x14ac:dyDescent="0.3">
      <c r="A273">
        <v>245</v>
      </c>
      <c r="B273">
        <v>3</v>
      </c>
      <c r="C273">
        <v>2</v>
      </c>
      <c r="D273">
        <v>2</v>
      </c>
      <c r="E273">
        <v>0</v>
      </c>
      <c r="F273">
        <v>189</v>
      </c>
      <c r="G273">
        <v>2.72</v>
      </c>
      <c r="H273">
        <v>260</v>
      </c>
      <c r="I273">
        <v>3</v>
      </c>
      <c r="J273">
        <v>2</v>
      </c>
    </row>
    <row r="274" spans="1:10" x14ac:dyDescent="0.3">
      <c r="A274">
        <v>193</v>
      </c>
      <c r="B274">
        <v>2</v>
      </c>
      <c r="C274">
        <v>1</v>
      </c>
      <c r="D274">
        <v>4</v>
      </c>
      <c r="E274">
        <v>0</v>
      </c>
      <c r="F274">
        <v>14</v>
      </c>
      <c r="G274">
        <v>0.21</v>
      </c>
      <c r="H274">
        <v>339</v>
      </c>
      <c r="I274">
        <v>30</v>
      </c>
      <c r="J274">
        <v>4</v>
      </c>
    </row>
    <row r="275" spans="1:10" x14ac:dyDescent="0.3">
      <c r="A275">
        <v>298</v>
      </c>
      <c r="B275">
        <v>1</v>
      </c>
      <c r="C275">
        <v>1</v>
      </c>
      <c r="D275">
        <v>2</v>
      </c>
      <c r="E275">
        <v>1</v>
      </c>
      <c r="F275">
        <v>86</v>
      </c>
      <c r="G275">
        <v>2.65</v>
      </c>
      <c r="H275">
        <v>288</v>
      </c>
      <c r="I275">
        <v>2</v>
      </c>
      <c r="J275">
        <v>4</v>
      </c>
    </row>
    <row r="276" spans="1:10" x14ac:dyDescent="0.3">
      <c r="A276">
        <v>115</v>
      </c>
      <c r="B276">
        <v>1</v>
      </c>
      <c r="C276">
        <v>1</v>
      </c>
      <c r="D276">
        <v>4</v>
      </c>
      <c r="E276">
        <v>0</v>
      </c>
      <c r="F276">
        <v>13</v>
      </c>
      <c r="G276">
        <v>0.2</v>
      </c>
      <c r="H276">
        <v>265</v>
      </c>
      <c r="I276">
        <v>30</v>
      </c>
      <c r="J276">
        <v>2</v>
      </c>
    </row>
    <row r="277" spans="1:10" x14ac:dyDescent="0.3">
      <c r="A277">
        <v>120</v>
      </c>
      <c r="B277">
        <v>1</v>
      </c>
      <c r="C277">
        <v>1</v>
      </c>
      <c r="D277">
        <v>4</v>
      </c>
      <c r="E277">
        <v>0</v>
      </c>
      <c r="F277">
        <v>15</v>
      </c>
      <c r="G277">
        <v>0.23</v>
      </c>
      <c r="H277">
        <v>272</v>
      </c>
      <c r="I277">
        <v>30</v>
      </c>
      <c r="J277">
        <v>2</v>
      </c>
    </row>
    <row r="278" spans="1:10" x14ac:dyDescent="0.3">
      <c r="A278">
        <v>428</v>
      </c>
      <c r="B278">
        <v>3</v>
      </c>
      <c r="C278">
        <v>1</v>
      </c>
      <c r="D278">
        <v>2</v>
      </c>
      <c r="E278">
        <v>0</v>
      </c>
      <c r="F278">
        <v>19</v>
      </c>
      <c r="G278">
        <v>0.67</v>
      </c>
      <c r="H278">
        <v>279</v>
      </c>
      <c r="I278">
        <v>30</v>
      </c>
      <c r="J278">
        <v>6</v>
      </c>
    </row>
    <row r="279" spans="1:10" x14ac:dyDescent="0.3">
      <c r="A279">
        <v>74</v>
      </c>
      <c r="B279">
        <v>1</v>
      </c>
      <c r="C279">
        <v>1.5</v>
      </c>
      <c r="D279">
        <v>0</v>
      </c>
      <c r="E279">
        <v>1</v>
      </c>
      <c r="F279">
        <v>10</v>
      </c>
      <c r="G279">
        <v>0.15</v>
      </c>
      <c r="H279">
        <v>334</v>
      </c>
      <c r="I279">
        <v>30</v>
      </c>
      <c r="J279">
        <v>1</v>
      </c>
    </row>
    <row r="280" spans="1:10" x14ac:dyDescent="0.3">
      <c r="A280">
        <v>204</v>
      </c>
      <c r="B280">
        <v>2</v>
      </c>
      <c r="C280">
        <v>1</v>
      </c>
      <c r="D280">
        <v>0</v>
      </c>
      <c r="E280">
        <v>0</v>
      </c>
      <c r="F280">
        <v>161</v>
      </c>
      <c r="G280">
        <v>2.33</v>
      </c>
      <c r="H280">
        <v>330</v>
      </c>
      <c r="I280">
        <v>30</v>
      </c>
      <c r="J280">
        <v>4</v>
      </c>
    </row>
    <row r="281" spans="1:10" x14ac:dyDescent="0.3">
      <c r="A281">
        <v>213</v>
      </c>
      <c r="B281">
        <v>2</v>
      </c>
      <c r="C281">
        <v>1</v>
      </c>
      <c r="D281">
        <v>4</v>
      </c>
      <c r="E281">
        <v>0</v>
      </c>
      <c r="F281">
        <v>130</v>
      </c>
      <c r="G281">
        <v>1.92</v>
      </c>
      <c r="H281">
        <v>180</v>
      </c>
      <c r="I281">
        <v>2</v>
      </c>
      <c r="J281">
        <v>4</v>
      </c>
    </row>
    <row r="282" spans="1:10" x14ac:dyDescent="0.3">
      <c r="A282">
        <v>319</v>
      </c>
      <c r="B282">
        <v>2</v>
      </c>
      <c r="C282">
        <v>1</v>
      </c>
      <c r="D282">
        <v>4</v>
      </c>
      <c r="E282">
        <v>0</v>
      </c>
      <c r="F282">
        <v>109</v>
      </c>
      <c r="G282">
        <v>1.62</v>
      </c>
      <c r="H282">
        <v>251</v>
      </c>
      <c r="I282">
        <v>1</v>
      </c>
      <c r="J282">
        <v>4</v>
      </c>
    </row>
    <row r="283" spans="1:10" x14ac:dyDescent="0.3">
      <c r="A283">
        <v>158</v>
      </c>
      <c r="B283">
        <v>1</v>
      </c>
      <c r="C283">
        <v>1</v>
      </c>
      <c r="D283">
        <v>4</v>
      </c>
      <c r="E283">
        <v>0</v>
      </c>
      <c r="F283">
        <v>14</v>
      </c>
      <c r="G283">
        <v>0.21</v>
      </c>
      <c r="H283">
        <v>364</v>
      </c>
      <c r="I283">
        <v>30</v>
      </c>
      <c r="J283">
        <v>2</v>
      </c>
    </row>
    <row r="284" spans="1:10" x14ac:dyDescent="0.3">
      <c r="A284">
        <v>255</v>
      </c>
      <c r="B284">
        <v>2</v>
      </c>
      <c r="C284">
        <v>1</v>
      </c>
      <c r="D284">
        <v>4</v>
      </c>
      <c r="E284">
        <v>0</v>
      </c>
      <c r="F284">
        <v>10</v>
      </c>
      <c r="G284">
        <v>0.15</v>
      </c>
      <c r="H284">
        <v>192</v>
      </c>
      <c r="I284">
        <v>30</v>
      </c>
      <c r="J284">
        <v>3</v>
      </c>
    </row>
    <row r="285" spans="1:10" x14ac:dyDescent="0.3">
      <c r="A285">
        <v>53</v>
      </c>
      <c r="B285">
        <v>1</v>
      </c>
      <c r="C285">
        <v>2</v>
      </c>
      <c r="D285">
        <v>2</v>
      </c>
      <c r="E285">
        <v>1</v>
      </c>
      <c r="F285">
        <v>163</v>
      </c>
      <c r="G285">
        <v>2.39</v>
      </c>
      <c r="H285">
        <v>112</v>
      </c>
      <c r="I285">
        <v>30</v>
      </c>
      <c r="J285">
        <v>2</v>
      </c>
    </row>
    <row r="286" spans="1:10" x14ac:dyDescent="0.3">
      <c r="A286">
        <v>59</v>
      </c>
      <c r="B286">
        <v>1</v>
      </c>
      <c r="C286">
        <v>1</v>
      </c>
      <c r="D286">
        <v>0</v>
      </c>
      <c r="E286">
        <v>1</v>
      </c>
      <c r="F286">
        <v>87</v>
      </c>
      <c r="G286">
        <v>1.28</v>
      </c>
      <c r="H286">
        <v>240</v>
      </c>
      <c r="I286">
        <v>30</v>
      </c>
      <c r="J286">
        <v>2</v>
      </c>
    </row>
    <row r="287" spans="1:10" x14ac:dyDescent="0.3">
      <c r="A287">
        <v>211</v>
      </c>
      <c r="B287">
        <v>1</v>
      </c>
      <c r="C287">
        <v>1</v>
      </c>
      <c r="D287">
        <v>2</v>
      </c>
      <c r="E287">
        <v>0</v>
      </c>
      <c r="F287">
        <v>5</v>
      </c>
      <c r="G287">
        <v>0.56999999999999995</v>
      </c>
      <c r="H287">
        <v>193</v>
      </c>
      <c r="I287">
        <v>30</v>
      </c>
      <c r="J287">
        <v>2</v>
      </c>
    </row>
    <row r="288" spans="1:10" x14ac:dyDescent="0.3">
      <c r="A288">
        <v>186</v>
      </c>
      <c r="B288">
        <v>2</v>
      </c>
      <c r="C288">
        <v>1</v>
      </c>
      <c r="D288">
        <v>0</v>
      </c>
      <c r="E288">
        <v>0</v>
      </c>
      <c r="F288">
        <v>39</v>
      </c>
      <c r="G288">
        <v>0.57999999999999996</v>
      </c>
      <c r="H288">
        <v>270</v>
      </c>
      <c r="I288">
        <v>3</v>
      </c>
      <c r="J288">
        <v>4</v>
      </c>
    </row>
    <row r="289" spans="1:10" x14ac:dyDescent="0.3">
      <c r="A289">
        <v>67</v>
      </c>
      <c r="B289">
        <v>1</v>
      </c>
      <c r="C289">
        <v>1</v>
      </c>
      <c r="D289">
        <v>2</v>
      </c>
      <c r="E289">
        <v>1</v>
      </c>
      <c r="F289">
        <v>191</v>
      </c>
      <c r="G289">
        <v>2.86</v>
      </c>
      <c r="H289">
        <v>153</v>
      </c>
      <c r="I289">
        <v>30</v>
      </c>
      <c r="J289">
        <v>2</v>
      </c>
    </row>
    <row r="290" spans="1:10" x14ac:dyDescent="0.3">
      <c r="A290">
        <v>75</v>
      </c>
      <c r="B290">
        <v>1</v>
      </c>
      <c r="C290">
        <v>1</v>
      </c>
      <c r="D290">
        <v>4</v>
      </c>
      <c r="E290">
        <v>1</v>
      </c>
      <c r="F290">
        <v>78</v>
      </c>
      <c r="G290">
        <v>1.1499999999999999</v>
      </c>
      <c r="H290">
        <v>237</v>
      </c>
      <c r="I290">
        <v>30</v>
      </c>
      <c r="J290">
        <v>1</v>
      </c>
    </row>
    <row r="291" spans="1:10" x14ac:dyDescent="0.3">
      <c r="A291">
        <v>294</v>
      </c>
      <c r="B291">
        <v>1</v>
      </c>
      <c r="C291">
        <v>1</v>
      </c>
      <c r="D291">
        <v>4</v>
      </c>
      <c r="E291">
        <v>1</v>
      </c>
      <c r="F291">
        <v>48</v>
      </c>
      <c r="G291">
        <v>0.89</v>
      </c>
      <c r="H291">
        <v>262</v>
      </c>
      <c r="I291">
        <v>1</v>
      </c>
      <c r="J291">
        <v>2</v>
      </c>
    </row>
    <row r="292" spans="1:10" x14ac:dyDescent="0.3">
      <c r="A292">
        <v>305</v>
      </c>
      <c r="B292">
        <v>1</v>
      </c>
      <c r="C292">
        <v>1</v>
      </c>
      <c r="D292">
        <v>4</v>
      </c>
      <c r="E292">
        <v>1</v>
      </c>
      <c r="F292">
        <v>94</v>
      </c>
      <c r="G292">
        <v>1.61</v>
      </c>
      <c r="H292">
        <v>270</v>
      </c>
      <c r="I292">
        <v>1</v>
      </c>
      <c r="J292">
        <v>2</v>
      </c>
    </row>
    <row r="293" spans="1:10" x14ac:dyDescent="0.3">
      <c r="A293">
        <v>97</v>
      </c>
      <c r="B293">
        <v>1</v>
      </c>
      <c r="C293">
        <v>1</v>
      </c>
      <c r="D293">
        <v>4</v>
      </c>
      <c r="E293">
        <v>1</v>
      </c>
      <c r="F293">
        <v>45</v>
      </c>
      <c r="G293">
        <v>0.67</v>
      </c>
      <c r="H293">
        <v>317</v>
      </c>
      <c r="I293">
        <v>30</v>
      </c>
      <c r="J293">
        <v>1</v>
      </c>
    </row>
    <row r="294" spans="1:10" x14ac:dyDescent="0.3">
      <c r="A294">
        <v>58</v>
      </c>
      <c r="B294">
        <v>1</v>
      </c>
      <c r="C294">
        <v>1</v>
      </c>
      <c r="D294">
        <v>4</v>
      </c>
      <c r="E294">
        <v>1</v>
      </c>
      <c r="F294">
        <v>187</v>
      </c>
      <c r="G294">
        <v>2.81</v>
      </c>
      <c r="H294">
        <v>66</v>
      </c>
      <c r="I294">
        <v>30</v>
      </c>
      <c r="J294">
        <v>2</v>
      </c>
    </row>
    <row r="295" spans="1:10" x14ac:dyDescent="0.3">
      <c r="A295">
        <v>88</v>
      </c>
      <c r="B295">
        <v>1</v>
      </c>
      <c r="C295">
        <v>1</v>
      </c>
      <c r="D295">
        <v>2</v>
      </c>
      <c r="E295">
        <v>1</v>
      </c>
      <c r="F295">
        <v>72</v>
      </c>
      <c r="G295">
        <v>1.0900000000000001</v>
      </c>
      <c r="H295">
        <v>45</v>
      </c>
      <c r="I295">
        <v>1</v>
      </c>
      <c r="J295">
        <v>2</v>
      </c>
    </row>
    <row r="296" spans="1:10" x14ac:dyDescent="0.3">
      <c r="A296">
        <v>162</v>
      </c>
      <c r="B296">
        <v>1</v>
      </c>
      <c r="C296">
        <v>1</v>
      </c>
      <c r="D296">
        <v>4</v>
      </c>
      <c r="E296">
        <v>0</v>
      </c>
      <c r="F296">
        <v>14</v>
      </c>
      <c r="G296">
        <v>0.3</v>
      </c>
      <c r="H296">
        <v>291</v>
      </c>
      <c r="I296">
        <v>30</v>
      </c>
      <c r="J296">
        <v>1</v>
      </c>
    </row>
    <row r="297" spans="1:10" x14ac:dyDescent="0.3">
      <c r="A297">
        <v>165</v>
      </c>
      <c r="B297">
        <v>1</v>
      </c>
      <c r="C297">
        <v>1</v>
      </c>
      <c r="D297">
        <v>4</v>
      </c>
      <c r="E297">
        <v>1</v>
      </c>
      <c r="F297">
        <v>111</v>
      </c>
      <c r="G297">
        <v>1.7</v>
      </c>
      <c r="H297">
        <v>90</v>
      </c>
      <c r="I297">
        <v>30</v>
      </c>
      <c r="J297">
        <v>2</v>
      </c>
    </row>
    <row r="298" spans="1:10" x14ac:dyDescent="0.3">
      <c r="A298">
        <v>177</v>
      </c>
      <c r="B298">
        <v>2</v>
      </c>
      <c r="C298">
        <v>1</v>
      </c>
      <c r="D298">
        <v>2</v>
      </c>
      <c r="E298">
        <v>0</v>
      </c>
      <c r="F298">
        <v>87</v>
      </c>
      <c r="G298">
        <v>1.34</v>
      </c>
      <c r="H298">
        <v>38</v>
      </c>
      <c r="I298">
        <v>30</v>
      </c>
      <c r="J298">
        <v>3</v>
      </c>
    </row>
    <row r="299" spans="1:10" x14ac:dyDescent="0.3">
      <c r="A299">
        <v>94</v>
      </c>
      <c r="B299">
        <v>1</v>
      </c>
      <c r="C299">
        <v>1</v>
      </c>
      <c r="D299">
        <v>2</v>
      </c>
      <c r="E299">
        <v>0</v>
      </c>
      <c r="F299">
        <v>49</v>
      </c>
      <c r="G299">
        <v>0.75</v>
      </c>
      <c r="H299">
        <v>156</v>
      </c>
      <c r="I299">
        <v>30</v>
      </c>
      <c r="J299">
        <v>2</v>
      </c>
    </row>
    <row r="300" spans="1:10" x14ac:dyDescent="0.3">
      <c r="A300">
        <v>402</v>
      </c>
      <c r="B300">
        <v>4</v>
      </c>
      <c r="C300">
        <v>1</v>
      </c>
      <c r="D300">
        <v>4</v>
      </c>
      <c r="E300">
        <v>0</v>
      </c>
      <c r="F300">
        <v>89</v>
      </c>
      <c r="G300">
        <v>1.52</v>
      </c>
      <c r="H300">
        <v>92</v>
      </c>
      <c r="I300">
        <v>1</v>
      </c>
      <c r="J300">
        <v>6</v>
      </c>
    </row>
    <row r="301" spans="1:10" x14ac:dyDescent="0.3">
      <c r="A301">
        <v>210</v>
      </c>
      <c r="B301">
        <v>1</v>
      </c>
      <c r="C301">
        <v>1</v>
      </c>
      <c r="D301">
        <v>2</v>
      </c>
      <c r="E301">
        <v>0</v>
      </c>
      <c r="F301">
        <v>117</v>
      </c>
      <c r="G301">
        <v>1.81</v>
      </c>
      <c r="H301">
        <v>51</v>
      </c>
      <c r="I301">
        <v>5</v>
      </c>
      <c r="J301">
        <v>2</v>
      </c>
    </row>
    <row r="302" spans="1:10" x14ac:dyDescent="0.3">
      <c r="A302">
        <v>114</v>
      </c>
      <c r="B302">
        <v>2</v>
      </c>
      <c r="C302">
        <v>1</v>
      </c>
      <c r="D302">
        <v>4</v>
      </c>
      <c r="E302">
        <v>0</v>
      </c>
      <c r="F302">
        <v>54</v>
      </c>
      <c r="G302">
        <v>0.83</v>
      </c>
      <c r="H302">
        <v>106</v>
      </c>
      <c r="I302">
        <v>30</v>
      </c>
      <c r="J302">
        <v>2</v>
      </c>
    </row>
    <row r="303" spans="1:10" x14ac:dyDescent="0.3">
      <c r="A303">
        <v>245</v>
      </c>
      <c r="B303">
        <v>1</v>
      </c>
      <c r="C303">
        <v>1</v>
      </c>
      <c r="D303">
        <v>2</v>
      </c>
      <c r="E303">
        <v>0</v>
      </c>
      <c r="F303">
        <v>23</v>
      </c>
      <c r="G303">
        <v>0.54</v>
      </c>
      <c r="H303">
        <v>80</v>
      </c>
      <c r="I303">
        <v>30</v>
      </c>
      <c r="J303">
        <v>2</v>
      </c>
    </row>
    <row r="304" spans="1:10" x14ac:dyDescent="0.3">
      <c r="A304">
        <v>120</v>
      </c>
      <c r="B304">
        <v>1</v>
      </c>
      <c r="C304">
        <v>1</v>
      </c>
      <c r="D304">
        <v>2</v>
      </c>
      <c r="E304">
        <v>1</v>
      </c>
      <c r="F304">
        <v>150</v>
      </c>
      <c r="G304">
        <v>2.34</v>
      </c>
      <c r="H304">
        <v>46</v>
      </c>
      <c r="I304">
        <v>2</v>
      </c>
      <c r="J304">
        <v>2</v>
      </c>
    </row>
    <row r="305" spans="1:10" x14ac:dyDescent="0.3">
      <c r="A305">
        <v>161</v>
      </c>
      <c r="B305">
        <v>1</v>
      </c>
      <c r="C305">
        <v>1</v>
      </c>
      <c r="D305">
        <v>2</v>
      </c>
      <c r="E305">
        <v>0</v>
      </c>
      <c r="F305">
        <v>191</v>
      </c>
      <c r="G305">
        <v>2.99</v>
      </c>
      <c r="H305">
        <v>319</v>
      </c>
      <c r="I305">
        <v>2</v>
      </c>
      <c r="J305">
        <v>2</v>
      </c>
    </row>
    <row r="306" spans="1:10" x14ac:dyDescent="0.3">
      <c r="A306">
        <v>117</v>
      </c>
      <c r="B306">
        <v>2</v>
      </c>
      <c r="C306">
        <v>1</v>
      </c>
      <c r="D306">
        <v>4</v>
      </c>
      <c r="E306">
        <v>0</v>
      </c>
      <c r="F306">
        <v>11</v>
      </c>
      <c r="G306">
        <v>0.25</v>
      </c>
      <c r="H306">
        <v>365</v>
      </c>
      <c r="I306">
        <v>30</v>
      </c>
      <c r="J306">
        <v>2</v>
      </c>
    </row>
    <row r="307" spans="1:10" x14ac:dyDescent="0.3">
      <c r="A307">
        <v>67</v>
      </c>
      <c r="B307">
        <v>1</v>
      </c>
      <c r="C307">
        <v>1</v>
      </c>
      <c r="D307">
        <v>2</v>
      </c>
      <c r="E307">
        <v>1</v>
      </c>
      <c r="F307">
        <v>44</v>
      </c>
      <c r="G307">
        <v>0.7</v>
      </c>
      <c r="H307">
        <v>141</v>
      </c>
      <c r="I307">
        <v>30</v>
      </c>
      <c r="J307">
        <v>1</v>
      </c>
    </row>
    <row r="308" spans="1:10" x14ac:dyDescent="0.3">
      <c r="A308">
        <v>100</v>
      </c>
      <c r="B308">
        <v>4</v>
      </c>
      <c r="C308">
        <v>1</v>
      </c>
      <c r="D308">
        <v>0</v>
      </c>
      <c r="E308">
        <v>0</v>
      </c>
      <c r="F308">
        <v>76</v>
      </c>
      <c r="G308">
        <v>1.28</v>
      </c>
      <c r="H308">
        <v>351</v>
      </c>
      <c r="I308">
        <v>30</v>
      </c>
      <c r="J308">
        <v>6</v>
      </c>
    </row>
    <row r="309" spans="1:10" x14ac:dyDescent="0.3">
      <c r="A309">
        <v>90</v>
      </c>
      <c r="B309">
        <v>1</v>
      </c>
      <c r="C309">
        <v>1</v>
      </c>
      <c r="D309">
        <v>4</v>
      </c>
      <c r="E309">
        <v>0</v>
      </c>
      <c r="F309">
        <v>39</v>
      </c>
      <c r="G309">
        <v>0.62</v>
      </c>
      <c r="H309">
        <v>266</v>
      </c>
      <c r="I309">
        <v>30</v>
      </c>
      <c r="J309">
        <v>2</v>
      </c>
    </row>
    <row r="310" spans="1:10" x14ac:dyDescent="0.3">
      <c r="A310">
        <v>100</v>
      </c>
      <c r="B310">
        <v>2</v>
      </c>
      <c r="C310">
        <v>1</v>
      </c>
      <c r="D310">
        <v>2</v>
      </c>
      <c r="E310">
        <v>0</v>
      </c>
      <c r="F310">
        <v>20</v>
      </c>
      <c r="G310">
        <v>0.83</v>
      </c>
      <c r="H310">
        <v>150</v>
      </c>
      <c r="I310">
        <v>30</v>
      </c>
      <c r="J310">
        <v>2</v>
      </c>
    </row>
    <row r="311" spans="1:10" x14ac:dyDescent="0.3">
      <c r="A311">
        <v>150</v>
      </c>
      <c r="B311">
        <v>2</v>
      </c>
      <c r="C311">
        <v>1</v>
      </c>
      <c r="D311">
        <v>2</v>
      </c>
      <c r="E311">
        <v>0</v>
      </c>
      <c r="F311">
        <v>49</v>
      </c>
      <c r="G311">
        <v>0.78</v>
      </c>
      <c r="H311">
        <v>266</v>
      </c>
      <c r="I311">
        <v>30</v>
      </c>
      <c r="J311">
        <v>4</v>
      </c>
    </row>
    <row r="312" spans="1:10" x14ac:dyDescent="0.3">
      <c r="A312">
        <v>169</v>
      </c>
      <c r="B312">
        <v>1</v>
      </c>
      <c r="C312">
        <v>1</v>
      </c>
      <c r="D312">
        <v>4</v>
      </c>
      <c r="E312">
        <v>0</v>
      </c>
      <c r="F312">
        <v>65</v>
      </c>
      <c r="G312">
        <v>1.03</v>
      </c>
      <c r="H312">
        <v>38</v>
      </c>
      <c r="I312">
        <v>4</v>
      </c>
      <c r="J312">
        <v>2</v>
      </c>
    </row>
    <row r="313" spans="1:10" x14ac:dyDescent="0.3">
      <c r="A313">
        <v>82</v>
      </c>
      <c r="B313">
        <v>1</v>
      </c>
      <c r="C313">
        <v>4</v>
      </c>
      <c r="D313">
        <v>4</v>
      </c>
      <c r="E313">
        <v>1</v>
      </c>
      <c r="F313">
        <v>10</v>
      </c>
      <c r="G313">
        <v>0.23</v>
      </c>
      <c r="H313">
        <v>291</v>
      </c>
      <c r="I313">
        <v>30</v>
      </c>
      <c r="J313">
        <v>1</v>
      </c>
    </row>
    <row r="314" spans="1:10" x14ac:dyDescent="0.3">
      <c r="A314">
        <v>125</v>
      </c>
      <c r="B314">
        <v>2</v>
      </c>
      <c r="C314">
        <v>1</v>
      </c>
      <c r="D314">
        <v>4</v>
      </c>
      <c r="E314">
        <v>0</v>
      </c>
      <c r="F314">
        <v>4</v>
      </c>
      <c r="G314">
        <v>0.16</v>
      </c>
      <c r="H314">
        <v>260</v>
      </c>
      <c r="I314">
        <v>30</v>
      </c>
      <c r="J314">
        <v>3</v>
      </c>
    </row>
    <row r="315" spans="1:10" x14ac:dyDescent="0.3">
      <c r="A315">
        <v>90</v>
      </c>
      <c r="B315">
        <v>1</v>
      </c>
      <c r="C315">
        <v>4</v>
      </c>
      <c r="D315">
        <v>4</v>
      </c>
      <c r="E315">
        <v>1</v>
      </c>
      <c r="F315">
        <v>18</v>
      </c>
      <c r="G315">
        <v>0.42</v>
      </c>
      <c r="H315">
        <v>235</v>
      </c>
      <c r="I315">
        <v>30</v>
      </c>
      <c r="J315">
        <v>1</v>
      </c>
    </row>
    <row r="316" spans="1:10" x14ac:dyDescent="0.3">
      <c r="A316">
        <v>143</v>
      </c>
      <c r="B316">
        <v>3</v>
      </c>
      <c r="C316">
        <v>1</v>
      </c>
      <c r="D316">
        <v>4</v>
      </c>
      <c r="E316">
        <v>0</v>
      </c>
      <c r="F316">
        <v>4</v>
      </c>
      <c r="G316">
        <v>0.11</v>
      </c>
      <c r="H316">
        <v>365</v>
      </c>
      <c r="I316">
        <v>30</v>
      </c>
      <c r="J316">
        <v>4</v>
      </c>
    </row>
    <row r="317" spans="1:10" x14ac:dyDescent="0.3">
      <c r="A317">
        <v>330</v>
      </c>
      <c r="B317">
        <v>2</v>
      </c>
      <c r="C317">
        <v>2</v>
      </c>
      <c r="D317">
        <v>4</v>
      </c>
      <c r="E317">
        <v>0</v>
      </c>
      <c r="F317">
        <v>14</v>
      </c>
      <c r="G317">
        <v>0.22</v>
      </c>
      <c r="H317">
        <v>274</v>
      </c>
      <c r="I317">
        <v>30</v>
      </c>
      <c r="J317">
        <v>5</v>
      </c>
    </row>
    <row r="318" spans="1:10" x14ac:dyDescent="0.3">
      <c r="A318">
        <v>118</v>
      </c>
      <c r="B318">
        <v>1</v>
      </c>
      <c r="C318">
        <v>1</v>
      </c>
      <c r="D318">
        <v>2</v>
      </c>
      <c r="E318">
        <v>1</v>
      </c>
      <c r="F318">
        <v>68</v>
      </c>
      <c r="G318">
        <v>1.98</v>
      </c>
      <c r="H318">
        <v>167</v>
      </c>
      <c r="I318">
        <v>2</v>
      </c>
      <c r="J318">
        <v>1</v>
      </c>
    </row>
    <row r="319" spans="1:10" x14ac:dyDescent="0.3">
      <c r="A319">
        <v>170</v>
      </c>
      <c r="B319">
        <v>2</v>
      </c>
      <c r="C319">
        <v>1</v>
      </c>
      <c r="D319">
        <v>2</v>
      </c>
      <c r="E319">
        <v>0</v>
      </c>
      <c r="F319">
        <v>102</v>
      </c>
      <c r="G319">
        <v>1.71</v>
      </c>
      <c r="H319">
        <v>188</v>
      </c>
      <c r="I319">
        <v>30</v>
      </c>
      <c r="J319">
        <v>4</v>
      </c>
    </row>
    <row r="320" spans="1:10" x14ac:dyDescent="0.3">
      <c r="A320">
        <v>200</v>
      </c>
      <c r="B320">
        <v>1</v>
      </c>
      <c r="C320">
        <v>1</v>
      </c>
      <c r="D320">
        <v>4</v>
      </c>
      <c r="E320">
        <v>0</v>
      </c>
      <c r="F320">
        <v>42</v>
      </c>
      <c r="G320">
        <v>0.78</v>
      </c>
      <c r="H320">
        <v>57</v>
      </c>
      <c r="I320">
        <v>15</v>
      </c>
      <c r="J320">
        <v>2</v>
      </c>
    </row>
    <row r="321" spans="1:10" x14ac:dyDescent="0.3">
      <c r="A321">
        <v>227</v>
      </c>
      <c r="B321">
        <v>1</v>
      </c>
      <c r="C321">
        <v>1</v>
      </c>
      <c r="D321">
        <v>4</v>
      </c>
      <c r="E321">
        <v>0</v>
      </c>
      <c r="F321">
        <v>35</v>
      </c>
      <c r="G321">
        <v>0.57999999999999996</v>
      </c>
      <c r="H321">
        <v>89</v>
      </c>
      <c r="I321">
        <v>15</v>
      </c>
      <c r="J321">
        <v>2</v>
      </c>
    </row>
    <row r="322" spans="1:10" x14ac:dyDescent="0.3">
      <c r="A322">
        <v>204</v>
      </c>
      <c r="B322">
        <v>1</v>
      </c>
      <c r="C322">
        <v>1</v>
      </c>
      <c r="D322">
        <v>4</v>
      </c>
      <c r="E322">
        <v>0</v>
      </c>
      <c r="F322">
        <v>47</v>
      </c>
      <c r="G322">
        <v>0.79</v>
      </c>
      <c r="H322">
        <v>69</v>
      </c>
      <c r="I322">
        <v>15</v>
      </c>
      <c r="J322">
        <v>2</v>
      </c>
    </row>
    <row r="323" spans="1:10" x14ac:dyDescent="0.3">
      <c r="A323">
        <v>200</v>
      </c>
      <c r="B323">
        <v>1</v>
      </c>
      <c r="C323">
        <v>1</v>
      </c>
      <c r="D323">
        <v>4</v>
      </c>
      <c r="E323">
        <v>0</v>
      </c>
      <c r="F323">
        <v>27</v>
      </c>
      <c r="G323">
        <v>0.45</v>
      </c>
      <c r="H323">
        <v>73</v>
      </c>
      <c r="I323">
        <v>19</v>
      </c>
      <c r="J323">
        <v>2</v>
      </c>
    </row>
    <row r="324" spans="1:10" x14ac:dyDescent="0.3">
      <c r="A324">
        <v>200</v>
      </c>
      <c r="B324">
        <v>1</v>
      </c>
      <c r="C324">
        <v>1</v>
      </c>
      <c r="D324">
        <v>4</v>
      </c>
      <c r="E324">
        <v>1</v>
      </c>
      <c r="F324">
        <v>45</v>
      </c>
      <c r="G324">
        <v>0.81</v>
      </c>
      <c r="H324">
        <v>81</v>
      </c>
      <c r="I324">
        <v>15</v>
      </c>
      <c r="J324">
        <v>2</v>
      </c>
    </row>
    <row r="325" spans="1:10" x14ac:dyDescent="0.3">
      <c r="A325">
        <v>200</v>
      </c>
      <c r="B325">
        <v>1</v>
      </c>
      <c r="C325">
        <v>1</v>
      </c>
      <c r="D325">
        <v>4</v>
      </c>
      <c r="E325">
        <v>0</v>
      </c>
      <c r="F325">
        <v>56</v>
      </c>
      <c r="G325">
        <v>0.94</v>
      </c>
      <c r="H325">
        <v>62</v>
      </c>
      <c r="I325">
        <v>15</v>
      </c>
      <c r="J325">
        <v>2</v>
      </c>
    </row>
    <row r="326" spans="1:10" x14ac:dyDescent="0.3">
      <c r="A326">
        <v>200</v>
      </c>
      <c r="B326">
        <v>1</v>
      </c>
      <c r="C326">
        <v>1</v>
      </c>
      <c r="D326">
        <v>4</v>
      </c>
      <c r="E326">
        <v>0</v>
      </c>
      <c r="F326">
        <v>45</v>
      </c>
      <c r="G326">
        <v>0.89</v>
      </c>
      <c r="H326">
        <v>59</v>
      </c>
      <c r="I326">
        <v>15</v>
      </c>
      <c r="J326">
        <v>2</v>
      </c>
    </row>
    <row r="327" spans="1:10" x14ac:dyDescent="0.3">
      <c r="A327">
        <v>180</v>
      </c>
      <c r="B327">
        <v>2</v>
      </c>
      <c r="C327">
        <v>1</v>
      </c>
      <c r="D327">
        <v>2</v>
      </c>
      <c r="E327">
        <v>0</v>
      </c>
      <c r="F327">
        <v>42</v>
      </c>
      <c r="G327">
        <v>0.73</v>
      </c>
      <c r="H327">
        <v>285</v>
      </c>
      <c r="I327">
        <v>30</v>
      </c>
      <c r="J327">
        <v>4</v>
      </c>
    </row>
    <row r="328" spans="1:10" x14ac:dyDescent="0.3">
      <c r="A328">
        <v>200</v>
      </c>
      <c r="B328">
        <v>1</v>
      </c>
      <c r="C328">
        <v>1</v>
      </c>
      <c r="D328">
        <v>4</v>
      </c>
      <c r="E328">
        <v>0</v>
      </c>
      <c r="F328">
        <v>53</v>
      </c>
      <c r="G328">
        <v>0.96</v>
      </c>
      <c r="H328">
        <v>61</v>
      </c>
      <c r="I328">
        <v>15</v>
      </c>
      <c r="J328">
        <v>2</v>
      </c>
    </row>
    <row r="329" spans="1:10" x14ac:dyDescent="0.3">
      <c r="A329">
        <v>228</v>
      </c>
      <c r="B329">
        <v>1</v>
      </c>
      <c r="C329">
        <v>1</v>
      </c>
      <c r="D329">
        <v>4</v>
      </c>
      <c r="E329">
        <v>0</v>
      </c>
      <c r="F329">
        <v>53</v>
      </c>
      <c r="G329">
        <v>1.01</v>
      </c>
      <c r="H329">
        <v>58</v>
      </c>
      <c r="I329">
        <v>15</v>
      </c>
      <c r="J329">
        <v>2</v>
      </c>
    </row>
    <row r="330" spans="1:10" x14ac:dyDescent="0.3">
      <c r="A330">
        <v>100</v>
      </c>
      <c r="B330">
        <v>1</v>
      </c>
      <c r="C330">
        <v>1</v>
      </c>
      <c r="D330">
        <v>2</v>
      </c>
      <c r="E330">
        <v>1</v>
      </c>
      <c r="F330">
        <v>45</v>
      </c>
      <c r="G330">
        <v>0.82</v>
      </c>
      <c r="H330">
        <v>148</v>
      </c>
      <c r="I330">
        <v>30</v>
      </c>
      <c r="J330">
        <v>1</v>
      </c>
    </row>
    <row r="331" spans="1:10" x14ac:dyDescent="0.3">
      <c r="A331">
        <v>105</v>
      </c>
      <c r="B331">
        <v>1</v>
      </c>
      <c r="C331">
        <v>1</v>
      </c>
      <c r="D331">
        <v>2</v>
      </c>
      <c r="E331">
        <v>0</v>
      </c>
      <c r="F331">
        <v>58</v>
      </c>
      <c r="G331">
        <v>1</v>
      </c>
      <c r="H331">
        <v>310</v>
      </c>
      <c r="I331">
        <v>30</v>
      </c>
      <c r="J331">
        <v>2</v>
      </c>
    </row>
    <row r="332" spans="1:10" x14ac:dyDescent="0.3">
      <c r="A332">
        <v>248</v>
      </c>
      <c r="B332">
        <v>2</v>
      </c>
      <c r="C332">
        <v>1</v>
      </c>
      <c r="D332">
        <v>4</v>
      </c>
      <c r="E332">
        <v>0</v>
      </c>
      <c r="F332">
        <v>36</v>
      </c>
      <c r="G332">
        <v>0.6</v>
      </c>
      <c r="H332">
        <v>131</v>
      </c>
      <c r="I332">
        <v>30</v>
      </c>
      <c r="J332">
        <v>4</v>
      </c>
    </row>
    <row r="333" spans="1:10" x14ac:dyDescent="0.3">
      <c r="A333">
        <v>114</v>
      </c>
      <c r="B333">
        <v>2</v>
      </c>
      <c r="C333">
        <v>1</v>
      </c>
      <c r="D333">
        <v>4</v>
      </c>
      <c r="E333">
        <v>0</v>
      </c>
      <c r="F333">
        <v>6</v>
      </c>
      <c r="G333">
        <v>0.13</v>
      </c>
      <c r="H333">
        <v>364</v>
      </c>
      <c r="I333">
        <v>30</v>
      </c>
      <c r="J333">
        <v>3</v>
      </c>
    </row>
    <row r="334" spans="1:10" x14ac:dyDescent="0.3">
      <c r="A334">
        <v>132</v>
      </c>
      <c r="B334">
        <v>1</v>
      </c>
      <c r="C334">
        <v>1</v>
      </c>
      <c r="D334">
        <v>2</v>
      </c>
      <c r="E334">
        <v>1</v>
      </c>
      <c r="F334">
        <v>51</v>
      </c>
      <c r="G334">
        <v>1.43</v>
      </c>
      <c r="H334">
        <v>358</v>
      </c>
      <c r="I334">
        <v>4</v>
      </c>
      <c r="J334">
        <v>2</v>
      </c>
    </row>
    <row r="335" spans="1:10" x14ac:dyDescent="0.3">
      <c r="A335">
        <v>199</v>
      </c>
      <c r="B335">
        <v>2</v>
      </c>
      <c r="C335">
        <v>1</v>
      </c>
      <c r="D335">
        <v>4</v>
      </c>
      <c r="E335">
        <v>0</v>
      </c>
      <c r="F335">
        <v>47</v>
      </c>
      <c r="G335">
        <v>0.83</v>
      </c>
      <c r="H335">
        <v>76</v>
      </c>
      <c r="I335">
        <v>30</v>
      </c>
      <c r="J335">
        <v>3</v>
      </c>
    </row>
    <row r="336" spans="1:10" x14ac:dyDescent="0.3">
      <c r="A336">
        <v>80</v>
      </c>
      <c r="B336">
        <v>1</v>
      </c>
      <c r="C336">
        <v>1</v>
      </c>
      <c r="D336">
        <v>2</v>
      </c>
      <c r="E336">
        <v>0</v>
      </c>
      <c r="F336">
        <v>8</v>
      </c>
      <c r="G336">
        <v>0.36</v>
      </c>
      <c r="H336">
        <v>181</v>
      </c>
      <c r="I336">
        <v>30</v>
      </c>
      <c r="J336">
        <v>2</v>
      </c>
    </row>
    <row r="337" spans="1:10" x14ac:dyDescent="0.3">
      <c r="A337">
        <v>168</v>
      </c>
      <c r="B337">
        <v>2</v>
      </c>
      <c r="C337">
        <v>2</v>
      </c>
      <c r="D337">
        <v>2</v>
      </c>
      <c r="E337">
        <v>0</v>
      </c>
      <c r="F337">
        <v>52</v>
      </c>
      <c r="G337">
        <v>0.99</v>
      </c>
      <c r="H337">
        <v>103</v>
      </c>
      <c r="I337">
        <v>30</v>
      </c>
      <c r="J337">
        <v>5</v>
      </c>
    </row>
    <row r="338" spans="1:10" x14ac:dyDescent="0.3">
      <c r="A338">
        <v>205</v>
      </c>
      <c r="B338">
        <v>1</v>
      </c>
      <c r="C338">
        <v>1</v>
      </c>
      <c r="D338">
        <v>4</v>
      </c>
      <c r="E338">
        <v>0</v>
      </c>
      <c r="F338">
        <v>48</v>
      </c>
      <c r="G338">
        <v>1.02</v>
      </c>
      <c r="H338">
        <v>75</v>
      </c>
      <c r="I338">
        <v>15</v>
      </c>
      <c r="J338">
        <v>2</v>
      </c>
    </row>
    <row r="339" spans="1:10" x14ac:dyDescent="0.3">
      <c r="A339">
        <v>298</v>
      </c>
      <c r="B339">
        <v>5</v>
      </c>
      <c r="C339">
        <v>1</v>
      </c>
      <c r="D339">
        <v>0</v>
      </c>
      <c r="E339">
        <v>0</v>
      </c>
      <c r="F339">
        <v>63</v>
      </c>
      <c r="G339">
        <v>1.2</v>
      </c>
      <c r="H339">
        <v>365</v>
      </c>
      <c r="I339">
        <v>30</v>
      </c>
      <c r="J339">
        <v>7</v>
      </c>
    </row>
    <row r="340" spans="1:10" x14ac:dyDescent="0.3">
      <c r="A340">
        <v>110</v>
      </c>
      <c r="B340">
        <v>2</v>
      </c>
      <c r="C340">
        <v>1</v>
      </c>
      <c r="D340">
        <v>4</v>
      </c>
      <c r="E340">
        <v>0</v>
      </c>
      <c r="F340">
        <v>7</v>
      </c>
      <c r="G340">
        <v>0.22</v>
      </c>
      <c r="H340">
        <v>270</v>
      </c>
      <c r="I340">
        <v>30</v>
      </c>
      <c r="J340">
        <v>4</v>
      </c>
    </row>
    <row r="341" spans="1:10" x14ac:dyDescent="0.3">
      <c r="A341">
        <v>250</v>
      </c>
      <c r="B341">
        <v>1</v>
      </c>
      <c r="C341">
        <v>1</v>
      </c>
      <c r="D341">
        <v>4</v>
      </c>
      <c r="E341">
        <v>0</v>
      </c>
      <c r="F341">
        <v>64</v>
      </c>
      <c r="G341">
        <v>1.1000000000000001</v>
      </c>
      <c r="H341">
        <v>62</v>
      </c>
      <c r="I341">
        <v>15</v>
      </c>
      <c r="J341">
        <v>2</v>
      </c>
    </row>
    <row r="342" spans="1:10" x14ac:dyDescent="0.3">
      <c r="A342">
        <v>131</v>
      </c>
      <c r="B342">
        <v>1</v>
      </c>
      <c r="C342">
        <v>1</v>
      </c>
      <c r="D342">
        <v>4</v>
      </c>
      <c r="E342">
        <v>0</v>
      </c>
      <c r="F342">
        <v>6</v>
      </c>
      <c r="G342">
        <v>0.11</v>
      </c>
      <c r="H342">
        <v>217</v>
      </c>
      <c r="I342">
        <v>30</v>
      </c>
      <c r="J342">
        <v>2</v>
      </c>
    </row>
    <row r="343" spans="1:10" x14ac:dyDescent="0.3">
      <c r="A343">
        <v>213</v>
      </c>
      <c r="B343">
        <v>2</v>
      </c>
      <c r="C343">
        <v>2.5</v>
      </c>
      <c r="D343">
        <v>4</v>
      </c>
      <c r="E343">
        <v>0</v>
      </c>
      <c r="F343">
        <v>4</v>
      </c>
      <c r="G343">
        <v>7.0000000000000007E-2</v>
      </c>
      <c r="H343">
        <v>304</v>
      </c>
      <c r="I343">
        <v>30</v>
      </c>
      <c r="J343">
        <v>4</v>
      </c>
    </row>
    <row r="344" spans="1:10" x14ac:dyDescent="0.3">
      <c r="A344">
        <v>200</v>
      </c>
      <c r="B344">
        <v>1</v>
      </c>
      <c r="C344">
        <v>1</v>
      </c>
      <c r="D344">
        <v>4</v>
      </c>
      <c r="E344">
        <v>0</v>
      </c>
      <c r="F344">
        <v>35</v>
      </c>
      <c r="G344">
        <v>0.8</v>
      </c>
      <c r="H344">
        <v>66</v>
      </c>
      <c r="I344">
        <v>15</v>
      </c>
      <c r="J344">
        <v>2</v>
      </c>
    </row>
    <row r="345" spans="1:10" x14ac:dyDescent="0.3">
      <c r="A345">
        <v>175</v>
      </c>
      <c r="B345">
        <v>1</v>
      </c>
      <c r="C345">
        <v>1</v>
      </c>
      <c r="D345">
        <v>2</v>
      </c>
      <c r="E345">
        <v>1</v>
      </c>
      <c r="F345">
        <v>9</v>
      </c>
      <c r="G345">
        <v>0.16</v>
      </c>
      <c r="H345">
        <v>88</v>
      </c>
      <c r="I345">
        <v>30</v>
      </c>
      <c r="J345">
        <v>1</v>
      </c>
    </row>
    <row r="346" spans="1:10" x14ac:dyDescent="0.3">
      <c r="A346">
        <v>206</v>
      </c>
      <c r="B346">
        <v>1</v>
      </c>
      <c r="C346">
        <v>1</v>
      </c>
      <c r="D346">
        <v>2</v>
      </c>
      <c r="E346">
        <v>0</v>
      </c>
      <c r="F346">
        <v>160</v>
      </c>
      <c r="G346">
        <v>2.82</v>
      </c>
      <c r="H346">
        <v>226</v>
      </c>
      <c r="I346">
        <v>1</v>
      </c>
      <c r="J346">
        <v>2</v>
      </c>
    </row>
    <row r="347" spans="1:10" x14ac:dyDescent="0.3">
      <c r="A347">
        <v>159</v>
      </c>
      <c r="B347">
        <v>1</v>
      </c>
      <c r="C347">
        <v>1</v>
      </c>
      <c r="D347">
        <v>4</v>
      </c>
      <c r="E347">
        <v>0</v>
      </c>
      <c r="F347">
        <v>14</v>
      </c>
      <c r="G347">
        <v>0.3</v>
      </c>
      <c r="H347">
        <v>290</v>
      </c>
      <c r="I347">
        <v>30</v>
      </c>
      <c r="J347">
        <v>2</v>
      </c>
    </row>
    <row r="348" spans="1:10" x14ac:dyDescent="0.3">
      <c r="A348">
        <v>218</v>
      </c>
      <c r="B348">
        <v>1</v>
      </c>
      <c r="C348">
        <v>1</v>
      </c>
      <c r="D348">
        <v>4</v>
      </c>
      <c r="E348">
        <v>0</v>
      </c>
      <c r="F348">
        <v>5</v>
      </c>
      <c r="G348">
        <v>0.52</v>
      </c>
      <c r="H348">
        <v>331</v>
      </c>
      <c r="I348">
        <v>30</v>
      </c>
      <c r="J348">
        <v>2</v>
      </c>
    </row>
    <row r="349" spans="1:10" x14ac:dyDescent="0.3">
      <c r="A349">
        <v>120</v>
      </c>
      <c r="B349">
        <v>1</v>
      </c>
      <c r="C349">
        <v>1</v>
      </c>
      <c r="D349">
        <v>4</v>
      </c>
      <c r="E349">
        <v>1</v>
      </c>
      <c r="F349">
        <v>36</v>
      </c>
      <c r="G349">
        <v>0.66</v>
      </c>
      <c r="H349">
        <v>33</v>
      </c>
      <c r="I349">
        <v>4</v>
      </c>
      <c r="J349">
        <v>2</v>
      </c>
    </row>
    <row r="350" spans="1:10" x14ac:dyDescent="0.3">
      <c r="A350">
        <v>125</v>
      </c>
      <c r="B350">
        <v>1</v>
      </c>
      <c r="C350">
        <v>1</v>
      </c>
      <c r="D350">
        <v>4</v>
      </c>
      <c r="E350">
        <v>0</v>
      </c>
      <c r="F350">
        <v>11</v>
      </c>
      <c r="G350">
        <v>0.21</v>
      </c>
      <c r="H350">
        <v>273</v>
      </c>
      <c r="I350">
        <v>30</v>
      </c>
      <c r="J350">
        <v>2</v>
      </c>
    </row>
    <row r="351" spans="1:10" x14ac:dyDescent="0.3">
      <c r="A351">
        <v>332</v>
      </c>
      <c r="B351">
        <v>2</v>
      </c>
      <c r="C351">
        <v>1</v>
      </c>
      <c r="D351">
        <v>4</v>
      </c>
      <c r="E351">
        <v>1</v>
      </c>
      <c r="F351">
        <v>10</v>
      </c>
      <c r="G351">
        <v>0.49</v>
      </c>
      <c r="H351">
        <v>313</v>
      </c>
      <c r="I351">
        <v>1</v>
      </c>
      <c r="J351">
        <v>4</v>
      </c>
    </row>
    <row r="352" spans="1:10" x14ac:dyDescent="0.3">
      <c r="A352">
        <v>205</v>
      </c>
      <c r="B352">
        <v>1</v>
      </c>
      <c r="C352">
        <v>1</v>
      </c>
      <c r="D352">
        <v>4</v>
      </c>
      <c r="E352">
        <v>0</v>
      </c>
      <c r="F352">
        <v>49</v>
      </c>
      <c r="G352">
        <v>1.02</v>
      </c>
      <c r="H352">
        <v>49</v>
      </c>
      <c r="I352">
        <v>15</v>
      </c>
      <c r="J352">
        <v>2</v>
      </c>
    </row>
    <row r="353" spans="1:10" x14ac:dyDescent="0.3">
      <c r="A353">
        <v>220</v>
      </c>
      <c r="B353">
        <v>1</v>
      </c>
      <c r="C353">
        <v>1</v>
      </c>
      <c r="D353">
        <v>4</v>
      </c>
      <c r="E353">
        <v>0</v>
      </c>
      <c r="F353">
        <v>44</v>
      </c>
      <c r="G353">
        <v>0.81</v>
      </c>
      <c r="H353">
        <v>71</v>
      </c>
      <c r="I353">
        <v>15</v>
      </c>
      <c r="J353">
        <v>2</v>
      </c>
    </row>
    <row r="354" spans="1:10" x14ac:dyDescent="0.3">
      <c r="A354">
        <v>132</v>
      </c>
      <c r="B354">
        <v>3</v>
      </c>
      <c r="C354">
        <v>1</v>
      </c>
      <c r="D354">
        <v>0</v>
      </c>
      <c r="E354">
        <v>0</v>
      </c>
      <c r="F354">
        <v>186</v>
      </c>
      <c r="G354">
        <v>3.35</v>
      </c>
      <c r="H354">
        <v>233</v>
      </c>
      <c r="I354">
        <v>30</v>
      </c>
      <c r="J354">
        <v>6</v>
      </c>
    </row>
    <row r="355" spans="1:10" x14ac:dyDescent="0.3">
      <c r="A355">
        <v>200</v>
      </c>
      <c r="B355">
        <v>1</v>
      </c>
      <c r="C355">
        <v>1</v>
      </c>
      <c r="D355">
        <v>4</v>
      </c>
      <c r="E355">
        <v>0</v>
      </c>
      <c r="F355">
        <v>60</v>
      </c>
      <c r="G355">
        <v>1.08</v>
      </c>
      <c r="H355">
        <v>47</v>
      </c>
      <c r="I355">
        <v>15</v>
      </c>
      <c r="J355">
        <v>2</v>
      </c>
    </row>
    <row r="356" spans="1:10" x14ac:dyDescent="0.3">
      <c r="A356">
        <v>120</v>
      </c>
      <c r="B356">
        <v>1</v>
      </c>
      <c r="C356">
        <v>1</v>
      </c>
      <c r="D356">
        <v>4</v>
      </c>
      <c r="E356">
        <v>0</v>
      </c>
      <c r="F356">
        <v>18</v>
      </c>
      <c r="G356">
        <v>0.35</v>
      </c>
      <c r="H356">
        <v>335</v>
      </c>
      <c r="I356">
        <v>30</v>
      </c>
      <c r="J356">
        <v>2</v>
      </c>
    </row>
    <row r="357" spans="1:10" x14ac:dyDescent="0.3">
      <c r="A357">
        <v>77</v>
      </c>
      <c r="B357">
        <v>1</v>
      </c>
      <c r="C357">
        <v>1</v>
      </c>
      <c r="D357">
        <v>2</v>
      </c>
      <c r="E357">
        <v>0</v>
      </c>
      <c r="F357">
        <v>111</v>
      </c>
      <c r="G357">
        <v>2.36</v>
      </c>
      <c r="H357">
        <v>135</v>
      </c>
      <c r="I357">
        <v>30</v>
      </c>
      <c r="J357">
        <v>2</v>
      </c>
    </row>
    <row r="358" spans="1:10" x14ac:dyDescent="0.3">
      <c r="A358">
        <v>200</v>
      </c>
      <c r="B358">
        <v>1</v>
      </c>
      <c r="C358">
        <v>1</v>
      </c>
      <c r="D358">
        <v>4</v>
      </c>
      <c r="E358">
        <v>0</v>
      </c>
      <c r="F358">
        <v>55</v>
      </c>
      <c r="G358">
        <v>1.04</v>
      </c>
      <c r="H358">
        <v>77</v>
      </c>
      <c r="I358">
        <v>15</v>
      </c>
      <c r="J358">
        <v>2</v>
      </c>
    </row>
    <row r="359" spans="1:10" x14ac:dyDescent="0.3">
      <c r="A359">
        <v>120</v>
      </c>
      <c r="B359">
        <v>2</v>
      </c>
      <c r="C359">
        <v>1</v>
      </c>
      <c r="D359">
        <v>4</v>
      </c>
      <c r="E359">
        <v>0</v>
      </c>
      <c r="F359">
        <v>9</v>
      </c>
      <c r="G359">
        <v>0.2</v>
      </c>
      <c r="H359">
        <v>221</v>
      </c>
      <c r="I359">
        <v>30</v>
      </c>
      <c r="J359">
        <v>2</v>
      </c>
    </row>
    <row r="360" spans="1:10" x14ac:dyDescent="0.3">
      <c r="A360">
        <v>212</v>
      </c>
      <c r="B360">
        <v>1</v>
      </c>
      <c r="C360">
        <v>1</v>
      </c>
      <c r="D360">
        <v>4</v>
      </c>
      <c r="E360">
        <v>0</v>
      </c>
      <c r="F360">
        <v>9</v>
      </c>
      <c r="G360">
        <v>0.2</v>
      </c>
      <c r="H360">
        <v>323</v>
      </c>
      <c r="I360">
        <v>30</v>
      </c>
      <c r="J360">
        <v>2</v>
      </c>
    </row>
    <row r="361" spans="1:10" x14ac:dyDescent="0.3">
      <c r="A361">
        <v>177</v>
      </c>
      <c r="B361">
        <v>3</v>
      </c>
      <c r="C361">
        <v>1</v>
      </c>
      <c r="D361">
        <v>2</v>
      </c>
      <c r="E361">
        <v>0</v>
      </c>
      <c r="F361">
        <v>65</v>
      </c>
      <c r="G361">
        <v>1.21</v>
      </c>
      <c r="H361">
        <v>87</v>
      </c>
      <c r="I361">
        <v>30</v>
      </c>
      <c r="J361">
        <v>3</v>
      </c>
    </row>
    <row r="362" spans="1:10" x14ac:dyDescent="0.3">
      <c r="A362">
        <v>122</v>
      </c>
      <c r="B362">
        <v>1</v>
      </c>
      <c r="C362">
        <v>1</v>
      </c>
      <c r="D362">
        <v>4</v>
      </c>
      <c r="E362">
        <v>1</v>
      </c>
      <c r="F362">
        <v>65</v>
      </c>
      <c r="G362">
        <v>1.19</v>
      </c>
      <c r="H362">
        <v>33</v>
      </c>
      <c r="I362">
        <v>3</v>
      </c>
      <c r="J362">
        <v>2</v>
      </c>
    </row>
    <row r="363" spans="1:10" x14ac:dyDescent="0.3">
      <c r="A363">
        <v>137</v>
      </c>
      <c r="B363">
        <v>1</v>
      </c>
      <c r="C363">
        <v>1</v>
      </c>
      <c r="D363">
        <v>4</v>
      </c>
      <c r="E363">
        <v>0</v>
      </c>
      <c r="F363">
        <v>7</v>
      </c>
      <c r="G363">
        <v>0.15</v>
      </c>
      <c r="H363">
        <v>271</v>
      </c>
      <c r="I363">
        <v>30</v>
      </c>
      <c r="J363">
        <v>3</v>
      </c>
    </row>
    <row r="364" spans="1:10" x14ac:dyDescent="0.3">
      <c r="A364">
        <v>90</v>
      </c>
      <c r="B364">
        <v>1</v>
      </c>
      <c r="C364">
        <v>1</v>
      </c>
      <c r="D364">
        <v>2</v>
      </c>
      <c r="E364">
        <v>0</v>
      </c>
      <c r="F364">
        <v>28</v>
      </c>
      <c r="G364">
        <v>0.92</v>
      </c>
      <c r="H364">
        <v>179</v>
      </c>
      <c r="I364">
        <v>30</v>
      </c>
      <c r="J364">
        <v>8</v>
      </c>
    </row>
    <row r="365" spans="1:10" x14ac:dyDescent="0.3">
      <c r="A365">
        <v>99</v>
      </c>
      <c r="B365">
        <v>1</v>
      </c>
      <c r="C365">
        <v>1</v>
      </c>
      <c r="D365">
        <v>2</v>
      </c>
      <c r="E365">
        <v>1</v>
      </c>
      <c r="F365">
        <v>27</v>
      </c>
      <c r="G365">
        <v>0.5</v>
      </c>
      <c r="H365">
        <v>73</v>
      </c>
      <c r="I365">
        <v>30</v>
      </c>
      <c r="J365">
        <v>1</v>
      </c>
    </row>
    <row r="366" spans="1:10" x14ac:dyDescent="0.3">
      <c r="A366">
        <v>107</v>
      </c>
      <c r="B366">
        <v>3</v>
      </c>
      <c r="C366">
        <v>1</v>
      </c>
      <c r="D366">
        <v>4</v>
      </c>
      <c r="E366">
        <v>0</v>
      </c>
      <c r="F366">
        <v>15</v>
      </c>
      <c r="G366">
        <v>0.31</v>
      </c>
      <c r="H366">
        <v>270</v>
      </c>
      <c r="I366">
        <v>30</v>
      </c>
      <c r="J366">
        <v>4</v>
      </c>
    </row>
    <row r="367" spans="1:10" x14ac:dyDescent="0.3">
      <c r="A367">
        <v>129</v>
      </c>
      <c r="B367">
        <v>3</v>
      </c>
      <c r="C367">
        <v>1</v>
      </c>
      <c r="D367">
        <v>2</v>
      </c>
      <c r="E367">
        <v>0</v>
      </c>
      <c r="F367">
        <v>87</v>
      </c>
      <c r="G367">
        <v>1.65</v>
      </c>
      <c r="H367">
        <v>108</v>
      </c>
      <c r="I367">
        <v>30</v>
      </c>
      <c r="J367">
        <v>6</v>
      </c>
    </row>
    <row r="368" spans="1:10" x14ac:dyDescent="0.3">
      <c r="A368">
        <v>209</v>
      </c>
      <c r="B368">
        <v>1</v>
      </c>
      <c r="C368">
        <v>1</v>
      </c>
      <c r="D368">
        <v>4</v>
      </c>
      <c r="E368">
        <v>0</v>
      </c>
      <c r="F368">
        <v>15</v>
      </c>
      <c r="G368">
        <v>0.71</v>
      </c>
      <c r="H368">
        <v>84</v>
      </c>
      <c r="I368">
        <v>15</v>
      </c>
      <c r="J368">
        <v>2</v>
      </c>
    </row>
    <row r="369" spans="1:10" x14ac:dyDescent="0.3">
      <c r="A369">
        <v>227</v>
      </c>
      <c r="B369">
        <v>5</v>
      </c>
      <c r="C369">
        <v>1</v>
      </c>
      <c r="D369">
        <v>2</v>
      </c>
      <c r="E369">
        <v>0</v>
      </c>
      <c r="F369">
        <v>166</v>
      </c>
      <c r="G369">
        <v>3.22</v>
      </c>
      <c r="H369">
        <v>349</v>
      </c>
      <c r="I369">
        <v>30</v>
      </c>
      <c r="J369">
        <v>6</v>
      </c>
    </row>
    <row r="370" spans="1:10" x14ac:dyDescent="0.3">
      <c r="A370">
        <v>100</v>
      </c>
      <c r="B370">
        <v>1</v>
      </c>
      <c r="C370">
        <v>1</v>
      </c>
      <c r="D370">
        <v>0</v>
      </c>
      <c r="E370">
        <v>0</v>
      </c>
      <c r="F370">
        <v>13</v>
      </c>
      <c r="G370">
        <v>0.26</v>
      </c>
      <c r="H370">
        <v>196</v>
      </c>
      <c r="I370">
        <v>30</v>
      </c>
      <c r="J370">
        <v>1</v>
      </c>
    </row>
    <row r="371" spans="1:10" x14ac:dyDescent="0.3">
      <c r="A371">
        <v>140</v>
      </c>
      <c r="B371">
        <v>2</v>
      </c>
      <c r="C371">
        <v>1</v>
      </c>
      <c r="D371">
        <v>4</v>
      </c>
      <c r="E371">
        <v>0</v>
      </c>
      <c r="F371">
        <v>7</v>
      </c>
      <c r="G371">
        <v>0.15</v>
      </c>
      <c r="H371">
        <v>314</v>
      </c>
      <c r="I371">
        <v>30</v>
      </c>
      <c r="J371">
        <v>4</v>
      </c>
    </row>
    <row r="372" spans="1:10" x14ac:dyDescent="0.3">
      <c r="A372">
        <v>169</v>
      </c>
      <c r="B372">
        <v>1</v>
      </c>
      <c r="C372">
        <v>1</v>
      </c>
      <c r="D372">
        <v>2</v>
      </c>
      <c r="E372">
        <v>0</v>
      </c>
      <c r="F372">
        <v>13</v>
      </c>
      <c r="G372">
        <v>0.25</v>
      </c>
      <c r="H372">
        <v>149</v>
      </c>
      <c r="I372">
        <v>30</v>
      </c>
      <c r="J372">
        <v>2</v>
      </c>
    </row>
    <row r="373" spans="1:10" x14ac:dyDescent="0.3">
      <c r="A373">
        <v>209</v>
      </c>
      <c r="B373">
        <v>2</v>
      </c>
      <c r="C373">
        <v>1</v>
      </c>
      <c r="D373">
        <v>4</v>
      </c>
      <c r="E373">
        <v>0</v>
      </c>
      <c r="F373">
        <v>38</v>
      </c>
      <c r="G373">
        <v>0.73</v>
      </c>
      <c r="H373">
        <v>239</v>
      </c>
      <c r="I373">
        <v>1</v>
      </c>
      <c r="J373">
        <v>4</v>
      </c>
    </row>
    <row r="374" spans="1:10" x14ac:dyDescent="0.3">
      <c r="A374">
        <v>170</v>
      </c>
      <c r="B374">
        <v>2</v>
      </c>
      <c r="C374">
        <v>1</v>
      </c>
      <c r="D374">
        <v>4</v>
      </c>
      <c r="E374">
        <v>0</v>
      </c>
      <c r="F374">
        <v>14</v>
      </c>
      <c r="G374">
        <v>0.28000000000000003</v>
      </c>
      <c r="H374">
        <v>280</v>
      </c>
      <c r="I374">
        <v>30</v>
      </c>
      <c r="J374">
        <v>4</v>
      </c>
    </row>
    <row r="375" spans="1:10" x14ac:dyDescent="0.3">
      <c r="A375">
        <v>267</v>
      </c>
      <c r="B375">
        <v>3</v>
      </c>
      <c r="C375">
        <v>1</v>
      </c>
      <c r="D375">
        <v>4</v>
      </c>
      <c r="E375">
        <v>0</v>
      </c>
      <c r="F375">
        <v>79</v>
      </c>
      <c r="G375">
        <v>1.5</v>
      </c>
      <c r="H375">
        <v>333</v>
      </c>
      <c r="I375">
        <v>1</v>
      </c>
      <c r="J375">
        <v>6</v>
      </c>
    </row>
    <row r="376" spans="1:10" x14ac:dyDescent="0.3">
      <c r="A376">
        <v>62</v>
      </c>
      <c r="B376">
        <v>2</v>
      </c>
      <c r="C376">
        <v>2</v>
      </c>
      <c r="D376">
        <v>0</v>
      </c>
      <c r="E376">
        <v>1</v>
      </c>
      <c r="F376">
        <v>156</v>
      </c>
      <c r="G376">
        <v>2.96</v>
      </c>
      <c r="H376">
        <v>117</v>
      </c>
      <c r="I376">
        <v>30</v>
      </c>
      <c r="J376">
        <v>2</v>
      </c>
    </row>
    <row r="377" spans="1:10" x14ac:dyDescent="0.3">
      <c r="A377">
        <v>209</v>
      </c>
      <c r="B377">
        <v>2</v>
      </c>
      <c r="C377">
        <v>1</v>
      </c>
      <c r="D377">
        <v>4</v>
      </c>
      <c r="E377">
        <v>0</v>
      </c>
      <c r="F377">
        <v>11</v>
      </c>
      <c r="G377">
        <v>0.24</v>
      </c>
      <c r="H377">
        <v>365</v>
      </c>
      <c r="I377">
        <v>30</v>
      </c>
      <c r="J377">
        <v>4</v>
      </c>
    </row>
    <row r="378" spans="1:10" x14ac:dyDescent="0.3">
      <c r="A378">
        <v>248</v>
      </c>
      <c r="B378">
        <v>1</v>
      </c>
      <c r="C378">
        <v>1</v>
      </c>
      <c r="D378">
        <v>4</v>
      </c>
      <c r="E378">
        <v>0</v>
      </c>
      <c r="F378">
        <v>14</v>
      </c>
      <c r="G378">
        <v>0.28000000000000003</v>
      </c>
      <c r="H378">
        <v>152</v>
      </c>
      <c r="I378">
        <v>30</v>
      </c>
      <c r="J378">
        <v>4</v>
      </c>
    </row>
    <row r="379" spans="1:10" x14ac:dyDescent="0.3">
      <c r="A379">
        <v>80</v>
      </c>
      <c r="B379">
        <v>1</v>
      </c>
      <c r="C379">
        <v>1</v>
      </c>
      <c r="D379">
        <v>0</v>
      </c>
      <c r="E379">
        <v>1</v>
      </c>
      <c r="F379">
        <v>27</v>
      </c>
      <c r="G379">
        <v>0.57999999999999996</v>
      </c>
      <c r="H379">
        <v>336</v>
      </c>
      <c r="I379">
        <v>2</v>
      </c>
      <c r="J379">
        <v>1</v>
      </c>
    </row>
    <row r="380" spans="1:10" x14ac:dyDescent="0.3">
      <c r="A380">
        <v>120</v>
      </c>
      <c r="B380">
        <v>1</v>
      </c>
      <c r="C380">
        <v>1</v>
      </c>
      <c r="D380">
        <v>2</v>
      </c>
      <c r="E380">
        <v>0</v>
      </c>
      <c r="F380">
        <v>54</v>
      </c>
      <c r="G380">
        <v>1.1100000000000001</v>
      </c>
      <c r="H380">
        <v>114</v>
      </c>
      <c r="I380">
        <v>30</v>
      </c>
      <c r="J380">
        <v>2</v>
      </c>
    </row>
    <row r="381" spans="1:10" x14ac:dyDescent="0.3">
      <c r="A381">
        <v>120</v>
      </c>
      <c r="B381">
        <v>1</v>
      </c>
      <c r="C381">
        <v>1</v>
      </c>
      <c r="D381">
        <v>4</v>
      </c>
      <c r="E381">
        <v>0</v>
      </c>
      <c r="F381">
        <v>12</v>
      </c>
      <c r="G381">
        <v>0.24</v>
      </c>
      <c r="H381">
        <v>288</v>
      </c>
      <c r="I381">
        <v>30</v>
      </c>
      <c r="J381">
        <v>2</v>
      </c>
    </row>
    <row r="382" spans="1:10" x14ac:dyDescent="0.3">
      <c r="A382">
        <v>96</v>
      </c>
      <c r="B382">
        <v>1</v>
      </c>
      <c r="C382">
        <v>1</v>
      </c>
      <c r="D382">
        <v>2</v>
      </c>
      <c r="E382">
        <v>0</v>
      </c>
      <c r="F382">
        <v>55</v>
      </c>
      <c r="G382">
        <v>1.1000000000000001</v>
      </c>
      <c r="H382">
        <v>89</v>
      </c>
      <c r="I382">
        <v>30</v>
      </c>
      <c r="J382">
        <v>2</v>
      </c>
    </row>
    <row r="383" spans="1:10" x14ac:dyDescent="0.3">
      <c r="A383">
        <v>120</v>
      </c>
      <c r="B383">
        <v>1</v>
      </c>
      <c r="C383">
        <v>1</v>
      </c>
      <c r="D383">
        <v>4</v>
      </c>
      <c r="E383">
        <v>0</v>
      </c>
      <c r="F383">
        <v>15</v>
      </c>
      <c r="G383">
        <v>0.3</v>
      </c>
      <c r="H383">
        <v>337</v>
      </c>
      <c r="I383">
        <v>30</v>
      </c>
      <c r="J383">
        <v>2</v>
      </c>
    </row>
    <row r="384" spans="1:10" x14ac:dyDescent="0.3">
      <c r="A384">
        <v>65</v>
      </c>
      <c r="B384">
        <v>1</v>
      </c>
      <c r="C384">
        <v>1</v>
      </c>
      <c r="D384">
        <v>0</v>
      </c>
      <c r="E384">
        <v>0</v>
      </c>
      <c r="F384">
        <v>16</v>
      </c>
      <c r="G384">
        <v>0.33</v>
      </c>
      <c r="H384">
        <v>189</v>
      </c>
      <c r="I384">
        <v>30</v>
      </c>
      <c r="J384">
        <v>2</v>
      </c>
    </row>
    <row r="385" spans="1:10" x14ac:dyDescent="0.3">
      <c r="A385">
        <v>356</v>
      </c>
      <c r="B385">
        <v>1</v>
      </c>
      <c r="C385">
        <v>1</v>
      </c>
      <c r="D385">
        <v>4</v>
      </c>
      <c r="E385">
        <v>1</v>
      </c>
      <c r="F385">
        <v>18</v>
      </c>
      <c r="G385">
        <v>0.38</v>
      </c>
      <c r="H385">
        <v>299</v>
      </c>
      <c r="I385">
        <v>1</v>
      </c>
      <c r="J385">
        <v>2</v>
      </c>
    </row>
    <row r="386" spans="1:10" x14ac:dyDescent="0.3">
      <c r="A386">
        <v>381</v>
      </c>
      <c r="B386">
        <v>1</v>
      </c>
      <c r="C386">
        <v>1</v>
      </c>
      <c r="D386">
        <v>4</v>
      </c>
      <c r="E386">
        <v>1</v>
      </c>
      <c r="F386">
        <v>101</v>
      </c>
      <c r="G386">
        <v>2.0299999999999998</v>
      </c>
      <c r="H386">
        <v>324</v>
      </c>
      <c r="I386">
        <v>1</v>
      </c>
      <c r="J386">
        <v>2</v>
      </c>
    </row>
    <row r="387" spans="1:10" x14ac:dyDescent="0.3">
      <c r="A387">
        <v>56</v>
      </c>
      <c r="B387">
        <v>1</v>
      </c>
      <c r="C387">
        <v>1</v>
      </c>
      <c r="D387">
        <v>4</v>
      </c>
      <c r="E387">
        <v>1</v>
      </c>
      <c r="F387">
        <v>13</v>
      </c>
      <c r="G387">
        <v>0.27</v>
      </c>
      <c r="H387">
        <v>214</v>
      </c>
      <c r="I387">
        <v>30</v>
      </c>
      <c r="J387">
        <v>1</v>
      </c>
    </row>
    <row r="388" spans="1:10" x14ac:dyDescent="0.3">
      <c r="A388">
        <v>421</v>
      </c>
      <c r="B388">
        <v>1</v>
      </c>
      <c r="C388">
        <v>1</v>
      </c>
      <c r="D388">
        <v>4</v>
      </c>
      <c r="E388">
        <v>1</v>
      </c>
      <c r="F388">
        <v>53</v>
      </c>
      <c r="G388">
        <v>1.25</v>
      </c>
      <c r="H388">
        <v>283</v>
      </c>
      <c r="I388">
        <v>1</v>
      </c>
      <c r="J388">
        <v>2</v>
      </c>
    </row>
    <row r="389" spans="1:10" x14ac:dyDescent="0.3">
      <c r="A389">
        <v>230</v>
      </c>
      <c r="B389">
        <v>2</v>
      </c>
      <c r="C389">
        <v>1</v>
      </c>
      <c r="D389">
        <v>2</v>
      </c>
      <c r="E389">
        <v>0</v>
      </c>
      <c r="F389">
        <v>72</v>
      </c>
      <c r="G389">
        <v>1.44</v>
      </c>
      <c r="H389">
        <v>324</v>
      </c>
      <c r="I389">
        <v>30</v>
      </c>
      <c r="J389">
        <v>4</v>
      </c>
    </row>
    <row r="390" spans="1:10" x14ac:dyDescent="0.3">
      <c r="A390">
        <v>236</v>
      </c>
      <c r="B390">
        <v>2</v>
      </c>
      <c r="C390">
        <v>1</v>
      </c>
      <c r="D390">
        <v>0</v>
      </c>
      <c r="E390">
        <v>0</v>
      </c>
      <c r="F390">
        <v>73</v>
      </c>
      <c r="G390">
        <v>1.47</v>
      </c>
      <c r="H390">
        <v>276</v>
      </c>
      <c r="I390">
        <v>30</v>
      </c>
      <c r="J390">
        <v>3</v>
      </c>
    </row>
    <row r="391" spans="1:10" x14ac:dyDescent="0.3">
      <c r="A391">
        <v>140</v>
      </c>
      <c r="B391">
        <v>1</v>
      </c>
      <c r="C391">
        <v>1</v>
      </c>
      <c r="D391">
        <v>2</v>
      </c>
      <c r="E391">
        <v>0</v>
      </c>
      <c r="F391">
        <v>84</v>
      </c>
      <c r="G391">
        <v>1.73</v>
      </c>
      <c r="H391">
        <v>124</v>
      </c>
      <c r="I391">
        <v>30</v>
      </c>
      <c r="J391">
        <v>2</v>
      </c>
    </row>
    <row r="392" spans="1:10" x14ac:dyDescent="0.3">
      <c r="A392">
        <v>119</v>
      </c>
      <c r="B392">
        <v>1</v>
      </c>
      <c r="C392">
        <v>1</v>
      </c>
      <c r="D392">
        <v>4</v>
      </c>
      <c r="E392">
        <v>0</v>
      </c>
      <c r="F392">
        <v>23</v>
      </c>
      <c r="G392">
        <v>0.51</v>
      </c>
      <c r="H392">
        <v>362</v>
      </c>
      <c r="I392">
        <v>30</v>
      </c>
      <c r="J392">
        <v>3</v>
      </c>
    </row>
    <row r="393" spans="1:10" x14ac:dyDescent="0.3">
      <c r="A393">
        <v>210</v>
      </c>
      <c r="B393">
        <v>3</v>
      </c>
      <c r="C393">
        <v>1</v>
      </c>
      <c r="D393">
        <v>2</v>
      </c>
      <c r="E393">
        <v>0</v>
      </c>
      <c r="F393">
        <v>22</v>
      </c>
      <c r="G393">
        <v>0.45</v>
      </c>
      <c r="H393">
        <v>365</v>
      </c>
      <c r="I393">
        <v>30</v>
      </c>
      <c r="J393">
        <v>6</v>
      </c>
    </row>
    <row r="394" spans="1:10" x14ac:dyDescent="0.3">
      <c r="A394">
        <v>78</v>
      </c>
      <c r="B394">
        <v>1</v>
      </c>
      <c r="C394">
        <v>1</v>
      </c>
      <c r="D394">
        <v>2</v>
      </c>
      <c r="E394">
        <v>1</v>
      </c>
      <c r="F394">
        <v>6</v>
      </c>
      <c r="G394">
        <v>0.15</v>
      </c>
      <c r="H394">
        <v>332</v>
      </c>
      <c r="I394">
        <v>30</v>
      </c>
      <c r="J394">
        <v>1</v>
      </c>
    </row>
    <row r="395" spans="1:10" x14ac:dyDescent="0.3">
      <c r="A395">
        <v>289</v>
      </c>
      <c r="B395">
        <v>1</v>
      </c>
      <c r="C395">
        <v>1</v>
      </c>
      <c r="D395">
        <v>4</v>
      </c>
      <c r="E395">
        <v>1</v>
      </c>
      <c r="F395">
        <v>21</v>
      </c>
      <c r="G395">
        <v>0.48</v>
      </c>
      <c r="H395">
        <v>39</v>
      </c>
      <c r="I395">
        <v>1</v>
      </c>
      <c r="J395">
        <v>2</v>
      </c>
    </row>
    <row r="396" spans="1:10" x14ac:dyDescent="0.3">
      <c r="A396">
        <v>207</v>
      </c>
      <c r="B396">
        <v>1</v>
      </c>
      <c r="C396">
        <v>0</v>
      </c>
      <c r="D396">
        <v>4</v>
      </c>
      <c r="E396">
        <v>1</v>
      </c>
      <c r="F396">
        <v>2</v>
      </c>
      <c r="G396">
        <v>0.71</v>
      </c>
      <c r="H396">
        <v>304</v>
      </c>
      <c r="I396">
        <v>1</v>
      </c>
      <c r="J396">
        <v>1</v>
      </c>
    </row>
    <row r="397" spans="1:10" x14ac:dyDescent="0.3">
      <c r="A397">
        <v>178</v>
      </c>
      <c r="B397">
        <v>2</v>
      </c>
      <c r="C397">
        <v>1</v>
      </c>
      <c r="D397">
        <v>2</v>
      </c>
      <c r="E397">
        <v>0</v>
      </c>
      <c r="F397">
        <v>85</v>
      </c>
      <c r="G397">
        <v>1.79</v>
      </c>
      <c r="H397">
        <v>264</v>
      </c>
      <c r="I397">
        <v>30</v>
      </c>
      <c r="J397">
        <v>4</v>
      </c>
    </row>
    <row r="398" spans="1:10" x14ac:dyDescent="0.3">
      <c r="A398">
        <v>135</v>
      </c>
      <c r="B398">
        <v>2</v>
      </c>
      <c r="C398">
        <v>1</v>
      </c>
      <c r="D398">
        <v>0</v>
      </c>
      <c r="E398">
        <v>0</v>
      </c>
      <c r="F398">
        <v>10</v>
      </c>
      <c r="G398">
        <v>0.22</v>
      </c>
      <c r="H398">
        <v>290</v>
      </c>
      <c r="I398">
        <v>30</v>
      </c>
      <c r="J398">
        <v>4</v>
      </c>
    </row>
    <row r="399" spans="1:10" x14ac:dyDescent="0.3">
      <c r="A399">
        <v>365</v>
      </c>
      <c r="B399">
        <v>1</v>
      </c>
      <c r="C399">
        <v>1.5</v>
      </c>
      <c r="D399">
        <v>4</v>
      </c>
      <c r="E399">
        <v>0</v>
      </c>
      <c r="F399">
        <v>86</v>
      </c>
      <c r="G399">
        <v>1.76</v>
      </c>
      <c r="H399">
        <v>115</v>
      </c>
      <c r="I399">
        <v>30</v>
      </c>
      <c r="J399">
        <v>2</v>
      </c>
    </row>
    <row r="400" spans="1:10" x14ac:dyDescent="0.3">
      <c r="A400">
        <v>249</v>
      </c>
      <c r="B400">
        <v>3</v>
      </c>
      <c r="C400">
        <v>1</v>
      </c>
      <c r="D400">
        <v>2</v>
      </c>
      <c r="E400">
        <v>0</v>
      </c>
      <c r="F400">
        <v>104</v>
      </c>
      <c r="G400">
        <v>2.21</v>
      </c>
      <c r="H400">
        <v>86</v>
      </c>
      <c r="I400">
        <v>30</v>
      </c>
      <c r="J400">
        <v>6</v>
      </c>
    </row>
    <row r="401" spans="1:10" x14ac:dyDescent="0.3">
      <c r="A401">
        <v>90</v>
      </c>
      <c r="B401">
        <v>1</v>
      </c>
      <c r="C401">
        <v>1</v>
      </c>
      <c r="D401">
        <v>0</v>
      </c>
      <c r="E401">
        <v>0</v>
      </c>
      <c r="F401">
        <v>87</v>
      </c>
      <c r="G401">
        <v>1.8</v>
      </c>
      <c r="H401">
        <v>149</v>
      </c>
      <c r="I401">
        <v>30</v>
      </c>
      <c r="J401">
        <v>3</v>
      </c>
    </row>
    <row r="402" spans="1:10" x14ac:dyDescent="0.3">
      <c r="A402">
        <v>194</v>
      </c>
      <c r="B402">
        <v>1</v>
      </c>
      <c r="C402">
        <v>1</v>
      </c>
      <c r="D402">
        <v>4</v>
      </c>
      <c r="E402">
        <v>0</v>
      </c>
      <c r="F402">
        <v>3</v>
      </c>
      <c r="G402">
        <v>0.08</v>
      </c>
      <c r="H402">
        <v>359</v>
      </c>
      <c r="I402">
        <v>30</v>
      </c>
      <c r="J402">
        <v>3</v>
      </c>
    </row>
    <row r="403" spans="1:10" x14ac:dyDescent="0.3">
      <c r="A403">
        <v>179</v>
      </c>
      <c r="B403">
        <v>2</v>
      </c>
      <c r="C403">
        <v>1</v>
      </c>
      <c r="D403">
        <v>0</v>
      </c>
      <c r="E403">
        <v>0</v>
      </c>
      <c r="F403">
        <v>11</v>
      </c>
      <c r="G403">
        <v>0.25</v>
      </c>
      <c r="H403">
        <v>303</v>
      </c>
      <c r="I403">
        <v>30</v>
      </c>
      <c r="J403">
        <v>4</v>
      </c>
    </row>
    <row r="404" spans="1:10" x14ac:dyDescent="0.3">
      <c r="A404">
        <v>105</v>
      </c>
      <c r="B404">
        <v>1</v>
      </c>
      <c r="C404">
        <v>1</v>
      </c>
      <c r="D404">
        <v>2</v>
      </c>
      <c r="E404">
        <v>0</v>
      </c>
      <c r="F404">
        <v>94</v>
      </c>
      <c r="G404">
        <v>2.02</v>
      </c>
      <c r="H404">
        <v>84</v>
      </c>
      <c r="I404">
        <v>30</v>
      </c>
      <c r="J404">
        <v>2</v>
      </c>
    </row>
    <row r="405" spans="1:10" x14ac:dyDescent="0.3">
      <c r="A405">
        <v>57</v>
      </c>
      <c r="B405">
        <v>1</v>
      </c>
      <c r="C405">
        <v>1.5</v>
      </c>
      <c r="D405">
        <v>4</v>
      </c>
      <c r="E405">
        <v>1</v>
      </c>
      <c r="F405">
        <v>14</v>
      </c>
      <c r="G405">
        <v>0.3</v>
      </c>
      <c r="H405">
        <v>305</v>
      </c>
      <c r="I405">
        <v>30</v>
      </c>
      <c r="J405">
        <v>1</v>
      </c>
    </row>
    <row r="406" spans="1:10" x14ac:dyDescent="0.3">
      <c r="A406">
        <v>51</v>
      </c>
      <c r="B406">
        <v>1</v>
      </c>
      <c r="C406">
        <v>1</v>
      </c>
      <c r="D406">
        <v>4</v>
      </c>
      <c r="E406">
        <v>1</v>
      </c>
      <c r="F406">
        <v>24</v>
      </c>
      <c r="G406">
        <v>0.84</v>
      </c>
      <c r="H406">
        <v>159</v>
      </c>
      <c r="I406">
        <v>30</v>
      </c>
      <c r="J406">
        <v>2</v>
      </c>
    </row>
    <row r="407" spans="1:10" x14ac:dyDescent="0.3">
      <c r="A407">
        <v>245</v>
      </c>
      <c r="B407">
        <v>4</v>
      </c>
      <c r="C407">
        <v>2</v>
      </c>
      <c r="D407">
        <v>4</v>
      </c>
      <c r="E407">
        <v>0</v>
      </c>
      <c r="F407">
        <v>4</v>
      </c>
      <c r="G407">
        <v>0.09</v>
      </c>
      <c r="H407">
        <v>365</v>
      </c>
      <c r="I407">
        <v>30</v>
      </c>
      <c r="J407">
        <v>8</v>
      </c>
    </row>
    <row r="408" spans="1:10" x14ac:dyDescent="0.3">
      <c r="A408">
        <v>80</v>
      </c>
      <c r="B408">
        <v>1</v>
      </c>
      <c r="C408">
        <v>1</v>
      </c>
      <c r="D408">
        <v>2</v>
      </c>
      <c r="E408">
        <v>1</v>
      </c>
      <c r="F408">
        <v>41</v>
      </c>
      <c r="G408">
        <v>0.92</v>
      </c>
      <c r="H408">
        <v>156</v>
      </c>
      <c r="I408">
        <v>30</v>
      </c>
      <c r="J408">
        <v>2</v>
      </c>
    </row>
    <row r="409" spans="1:10" x14ac:dyDescent="0.3">
      <c r="A409">
        <v>132</v>
      </c>
      <c r="B409">
        <v>1</v>
      </c>
      <c r="C409">
        <v>1</v>
      </c>
      <c r="D409">
        <v>4</v>
      </c>
      <c r="E409">
        <v>0</v>
      </c>
      <c r="F409">
        <v>7</v>
      </c>
      <c r="G409">
        <v>0.15</v>
      </c>
      <c r="H409">
        <v>274</v>
      </c>
      <c r="I409">
        <v>30</v>
      </c>
      <c r="J409">
        <v>2</v>
      </c>
    </row>
    <row r="410" spans="1:10" x14ac:dyDescent="0.3">
      <c r="A410">
        <v>132</v>
      </c>
      <c r="B410">
        <v>1</v>
      </c>
      <c r="C410">
        <v>1</v>
      </c>
      <c r="D410">
        <v>4</v>
      </c>
      <c r="E410">
        <v>0</v>
      </c>
      <c r="F410">
        <v>7</v>
      </c>
      <c r="G410">
        <v>0.25</v>
      </c>
      <c r="H410">
        <v>327</v>
      </c>
      <c r="I410">
        <v>30</v>
      </c>
      <c r="J410">
        <v>2</v>
      </c>
    </row>
    <row r="411" spans="1:10" x14ac:dyDescent="0.3">
      <c r="A411">
        <v>79</v>
      </c>
      <c r="B411">
        <v>1</v>
      </c>
      <c r="C411">
        <v>1</v>
      </c>
      <c r="D411">
        <v>0</v>
      </c>
      <c r="E411">
        <v>1</v>
      </c>
      <c r="F411">
        <v>24</v>
      </c>
      <c r="G411">
        <v>0.52</v>
      </c>
      <c r="H411">
        <v>90</v>
      </c>
      <c r="I411">
        <v>30</v>
      </c>
      <c r="J411">
        <v>1</v>
      </c>
    </row>
    <row r="412" spans="1:10" x14ac:dyDescent="0.3">
      <c r="A412">
        <v>143</v>
      </c>
      <c r="B412">
        <v>2</v>
      </c>
      <c r="C412">
        <v>1</v>
      </c>
      <c r="D412">
        <v>2</v>
      </c>
      <c r="E412">
        <v>1</v>
      </c>
      <c r="F412">
        <v>127</v>
      </c>
      <c r="G412">
        <v>2.7</v>
      </c>
      <c r="H412">
        <v>190</v>
      </c>
      <c r="I412">
        <v>4</v>
      </c>
      <c r="J412">
        <v>2</v>
      </c>
    </row>
    <row r="413" spans="1:10" x14ac:dyDescent="0.3">
      <c r="A413">
        <v>76</v>
      </c>
      <c r="B413">
        <v>1</v>
      </c>
      <c r="C413">
        <v>1</v>
      </c>
      <c r="D413">
        <v>2</v>
      </c>
      <c r="E413">
        <v>1</v>
      </c>
      <c r="F413">
        <v>5</v>
      </c>
      <c r="G413">
        <v>0.11</v>
      </c>
      <c r="H413">
        <v>257</v>
      </c>
      <c r="I413">
        <v>30</v>
      </c>
      <c r="J413">
        <v>1</v>
      </c>
    </row>
    <row r="414" spans="1:10" x14ac:dyDescent="0.3">
      <c r="A414">
        <v>185</v>
      </c>
      <c r="B414">
        <v>1</v>
      </c>
      <c r="C414">
        <v>1</v>
      </c>
      <c r="D414">
        <v>2</v>
      </c>
      <c r="E414">
        <v>0</v>
      </c>
      <c r="F414">
        <v>23</v>
      </c>
      <c r="G414">
        <v>0.51</v>
      </c>
      <c r="H414">
        <v>58</v>
      </c>
      <c r="I414">
        <v>30</v>
      </c>
      <c r="J414">
        <v>3</v>
      </c>
    </row>
    <row r="415" spans="1:10" x14ac:dyDescent="0.3">
      <c r="A415">
        <v>332</v>
      </c>
      <c r="B415">
        <v>2</v>
      </c>
      <c r="C415">
        <v>1</v>
      </c>
      <c r="D415">
        <v>4</v>
      </c>
      <c r="E415">
        <v>1</v>
      </c>
      <c r="F415">
        <v>43</v>
      </c>
      <c r="G415">
        <v>0.91</v>
      </c>
      <c r="H415">
        <v>39</v>
      </c>
      <c r="I415">
        <v>1</v>
      </c>
      <c r="J415">
        <v>4</v>
      </c>
    </row>
    <row r="416" spans="1:10" x14ac:dyDescent="0.3">
      <c r="A416">
        <v>106</v>
      </c>
      <c r="B416">
        <v>1</v>
      </c>
      <c r="C416">
        <v>1</v>
      </c>
      <c r="D416">
        <v>4</v>
      </c>
      <c r="E416">
        <v>0</v>
      </c>
      <c r="F416">
        <v>11</v>
      </c>
      <c r="G416">
        <v>0.27</v>
      </c>
      <c r="H416">
        <v>320</v>
      </c>
      <c r="I416">
        <v>30</v>
      </c>
      <c r="J416">
        <v>2</v>
      </c>
    </row>
    <row r="417" spans="1:10" x14ac:dyDescent="0.3">
      <c r="A417">
        <v>198</v>
      </c>
      <c r="B417">
        <v>1</v>
      </c>
      <c r="C417">
        <v>1</v>
      </c>
      <c r="D417">
        <v>2</v>
      </c>
      <c r="E417">
        <v>0</v>
      </c>
      <c r="F417">
        <v>11</v>
      </c>
      <c r="G417">
        <v>0.24</v>
      </c>
      <c r="H417">
        <v>166</v>
      </c>
      <c r="I417">
        <v>30</v>
      </c>
      <c r="J417">
        <v>2</v>
      </c>
    </row>
    <row r="418" spans="1:10" x14ac:dyDescent="0.3">
      <c r="A418">
        <v>81</v>
      </c>
      <c r="B418">
        <v>1</v>
      </c>
      <c r="C418">
        <v>1</v>
      </c>
      <c r="D418">
        <v>2</v>
      </c>
      <c r="E418">
        <v>1</v>
      </c>
      <c r="F418">
        <v>56</v>
      </c>
      <c r="G418">
        <v>1.23</v>
      </c>
      <c r="H418">
        <v>58</v>
      </c>
      <c r="I418">
        <v>30</v>
      </c>
      <c r="J418">
        <v>1</v>
      </c>
    </row>
    <row r="419" spans="1:10" x14ac:dyDescent="0.3">
      <c r="A419">
        <v>87</v>
      </c>
      <c r="B419">
        <v>1</v>
      </c>
      <c r="C419">
        <v>1</v>
      </c>
      <c r="D419">
        <v>2</v>
      </c>
      <c r="E419">
        <v>1</v>
      </c>
      <c r="F419">
        <v>118</v>
      </c>
      <c r="G419">
        <v>2.5299999999999998</v>
      </c>
      <c r="H419">
        <v>158</v>
      </c>
      <c r="I419">
        <v>2</v>
      </c>
      <c r="J419">
        <v>2</v>
      </c>
    </row>
    <row r="420" spans="1:10" x14ac:dyDescent="0.3">
      <c r="A420">
        <v>146</v>
      </c>
      <c r="B420">
        <v>3</v>
      </c>
      <c r="C420">
        <v>1</v>
      </c>
      <c r="D420">
        <v>2</v>
      </c>
      <c r="E420">
        <v>1</v>
      </c>
      <c r="F420">
        <v>116</v>
      </c>
      <c r="G420">
        <v>2.66</v>
      </c>
      <c r="H420">
        <v>318</v>
      </c>
      <c r="I420">
        <v>3</v>
      </c>
      <c r="J420">
        <v>2</v>
      </c>
    </row>
    <row r="421" spans="1:10" x14ac:dyDescent="0.3">
      <c r="A421">
        <v>417</v>
      </c>
      <c r="B421">
        <v>1</v>
      </c>
      <c r="C421">
        <v>1</v>
      </c>
      <c r="D421">
        <v>4</v>
      </c>
      <c r="E421">
        <v>0</v>
      </c>
      <c r="F421">
        <v>135</v>
      </c>
      <c r="G421">
        <v>2.94</v>
      </c>
      <c r="H421">
        <v>262</v>
      </c>
      <c r="I421">
        <v>1</v>
      </c>
      <c r="J421">
        <v>2</v>
      </c>
    </row>
    <row r="422" spans="1:10" x14ac:dyDescent="0.3">
      <c r="A422">
        <v>97</v>
      </c>
      <c r="B422">
        <v>1</v>
      </c>
      <c r="C422">
        <v>1</v>
      </c>
      <c r="D422">
        <v>4</v>
      </c>
      <c r="E422">
        <v>1</v>
      </c>
      <c r="F422">
        <v>46</v>
      </c>
      <c r="G422">
        <v>1.01</v>
      </c>
      <c r="H422">
        <v>107</v>
      </c>
      <c r="I422">
        <v>30</v>
      </c>
      <c r="J422">
        <v>2</v>
      </c>
    </row>
    <row r="423" spans="1:10" x14ac:dyDescent="0.3">
      <c r="A423">
        <v>133</v>
      </c>
      <c r="B423">
        <v>1</v>
      </c>
      <c r="C423">
        <v>1</v>
      </c>
      <c r="D423">
        <v>4</v>
      </c>
      <c r="E423">
        <v>0</v>
      </c>
      <c r="F423">
        <v>15</v>
      </c>
      <c r="G423">
        <v>0.33</v>
      </c>
      <c r="H423">
        <v>250</v>
      </c>
      <c r="I423">
        <v>30</v>
      </c>
      <c r="J423">
        <v>2</v>
      </c>
    </row>
    <row r="424" spans="1:10" x14ac:dyDescent="0.3">
      <c r="A424">
        <v>125</v>
      </c>
      <c r="B424">
        <v>2</v>
      </c>
      <c r="C424">
        <v>1</v>
      </c>
      <c r="D424">
        <v>4</v>
      </c>
      <c r="E424">
        <v>0</v>
      </c>
      <c r="F424">
        <v>158</v>
      </c>
      <c r="G424">
        <v>3.44</v>
      </c>
      <c r="H424">
        <v>64</v>
      </c>
      <c r="I424">
        <v>1</v>
      </c>
      <c r="J424">
        <v>2</v>
      </c>
    </row>
    <row r="425" spans="1:10" x14ac:dyDescent="0.3">
      <c r="A425">
        <v>179</v>
      </c>
      <c r="B425">
        <v>1</v>
      </c>
      <c r="C425">
        <v>1</v>
      </c>
      <c r="D425">
        <v>4</v>
      </c>
      <c r="E425">
        <v>0</v>
      </c>
      <c r="F425">
        <v>24</v>
      </c>
      <c r="G425">
        <v>0.69</v>
      </c>
      <c r="H425">
        <v>33</v>
      </c>
      <c r="I425">
        <v>4</v>
      </c>
      <c r="J425">
        <v>2</v>
      </c>
    </row>
    <row r="426" spans="1:10" x14ac:dyDescent="0.3">
      <c r="A426">
        <v>118</v>
      </c>
      <c r="B426">
        <v>1</v>
      </c>
      <c r="C426">
        <v>1</v>
      </c>
      <c r="D426">
        <v>4</v>
      </c>
      <c r="E426">
        <v>1</v>
      </c>
      <c r="F426">
        <v>23</v>
      </c>
      <c r="G426">
        <v>0.5</v>
      </c>
      <c r="H426">
        <v>33</v>
      </c>
      <c r="I426">
        <v>3</v>
      </c>
      <c r="J426">
        <v>2</v>
      </c>
    </row>
    <row r="427" spans="1:10" x14ac:dyDescent="0.3">
      <c r="A427">
        <v>81</v>
      </c>
      <c r="B427">
        <v>5</v>
      </c>
      <c r="C427">
        <v>1</v>
      </c>
      <c r="D427">
        <v>0</v>
      </c>
      <c r="E427">
        <v>0</v>
      </c>
      <c r="F427">
        <v>50</v>
      </c>
      <c r="G427">
        <v>1.1200000000000001</v>
      </c>
      <c r="H427">
        <v>164</v>
      </c>
      <c r="I427">
        <v>30</v>
      </c>
      <c r="J427">
        <v>4</v>
      </c>
    </row>
    <row r="428" spans="1:10" x14ac:dyDescent="0.3">
      <c r="A428">
        <v>161</v>
      </c>
      <c r="B428">
        <v>1</v>
      </c>
      <c r="C428">
        <v>1</v>
      </c>
      <c r="D428">
        <v>4</v>
      </c>
      <c r="E428">
        <v>0</v>
      </c>
      <c r="F428">
        <v>157</v>
      </c>
      <c r="G428">
        <v>3.45</v>
      </c>
      <c r="H428">
        <v>218</v>
      </c>
      <c r="I428">
        <v>30</v>
      </c>
      <c r="J428">
        <v>4</v>
      </c>
    </row>
    <row r="429" spans="1:10" x14ac:dyDescent="0.3">
      <c r="A429">
        <v>118</v>
      </c>
      <c r="B429">
        <v>1</v>
      </c>
      <c r="C429">
        <v>1</v>
      </c>
      <c r="D429">
        <v>4</v>
      </c>
      <c r="E429">
        <v>0</v>
      </c>
      <c r="F429">
        <v>10</v>
      </c>
      <c r="G429">
        <v>0.22</v>
      </c>
      <c r="H429">
        <v>336</v>
      </c>
      <c r="I429">
        <v>30</v>
      </c>
      <c r="J429">
        <v>2</v>
      </c>
    </row>
    <row r="430" spans="1:10" x14ac:dyDescent="0.3">
      <c r="A430">
        <v>183</v>
      </c>
      <c r="B430">
        <v>1</v>
      </c>
      <c r="C430">
        <v>1</v>
      </c>
      <c r="D430">
        <v>4</v>
      </c>
      <c r="E430">
        <v>0</v>
      </c>
      <c r="F430">
        <v>7</v>
      </c>
      <c r="G430">
        <v>0.17</v>
      </c>
      <c r="H430">
        <v>303</v>
      </c>
      <c r="I430">
        <v>30</v>
      </c>
      <c r="J430">
        <v>2</v>
      </c>
    </row>
    <row r="431" spans="1:10" x14ac:dyDescent="0.3">
      <c r="A431">
        <v>65</v>
      </c>
      <c r="B431">
        <v>1</v>
      </c>
      <c r="C431">
        <v>1</v>
      </c>
      <c r="D431">
        <v>2</v>
      </c>
      <c r="E431">
        <v>1</v>
      </c>
      <c r="F431">
        <v>11</v>
      </c>
      <c r="G431">
        <v>0.25</v>
      </c>
      <c r="H431">
        <v>365</v>
      </c>
      <c r="I431">
        <v>30</v>
      </c>
      <c r="J431">
        <v>2</v>
      </c>
    </row>
    <row r="432" spans="1:10" x14ac:dyDescent="0.3">
      <c r="A432">
        <v>200</v>
      </c>
      <c r="B432">
        <v>2</v>
      </c>
      <c r="C432">
        <v>1</v>
      </c>
      <c r="D432">
        <v>4</v>
      </c>
      <c r="E432">
        <v>0</v>
      </c>
      <c r="F432">
        <v>6</v>
      </c>
      <c r="G432">
        <v>0.22</v>
      </c>
      <c r="H432">
        <v>265</v>
      </c>
      <c r="I432">
        <v>30</v>
      </c>
      <c r="J432">
        <v>4</v>
      </c>
    </row>
    <row r="433" spans="1:10" x14ac:dyDescent="0.3">
      <c r="A433">
        <v>90</v>
      </c>
      <c r="B433">
        <v>1</v>
      </c>
      <c r="C433">
        <v>1</v>
      </c>
      <c r="D433">
        <v>2</v>
      </c>
      <c r="E433">
        <v>0</v>
      </c>
      <c r="F433">
        <v>84</v>
      </c>
      <c r="G433">
        <v>1.86</v>
      </c>
      <c r="H433">
        <v>293</v>
      </c>
      <c r="I433">
        <v>30</v>
      </c>
      <c r="J433">
        <v>2</v>
      </c>
    </row>
    <row r="434" spans="1:10" x14ac:dyDescent="0.3">
      <c r="A434">
        <v>120</v>
      </c>
      <c r="B434">
        <v>2</v>
      </c>
      <c r="C434">
        <v>1</v>
      </c>
      <c r="D434">
        <v>2</v>
      </c>
      <c r="E434">
        <v>0</v>
      </c>
      <c r="F434">
        <v>15</v>
      </c>
      <c r="G434">
        <v>0.34</v>
      </c>
      <c r="H434">
        <v>250</v>
      </c>
      <c r="I434">
        <v>30</v>
      </c>
      <c r="J434">
        <v>3</v>
      </c>
    </row>
    <row r="435" spans="1:10" x14ac:dyDescent="0.3">
      <c r="A435">
        <v>149</v>
      </c>
      <c r="B435">
        <v>2</v>
      </c>
      <c r="C435">
        <v>1</v>
      </c>
      <c r="D435">
        <v>4</v>
      </c>
      <c r="E435">
        <v>0</v>
      </c>
      <c r="F435">
        <v>48</v>
      </c>
      <c r="G435">
        <v>1.38</v>
      </c>
      <c r="H435">
        <v>283</v>
      </c>
      <c r="I435">
        <v>4</v>
      </c>
      <c r="J435">
        <v>3</v>
      </c>
    </row>
    <row r="436" spans="1:10" x14ac:dyDescent="0.3">
      <c r="A436">
        <v>108</v>
      </c>
      <c r="B436">
        <v>1</v>
      </c>
      <c r="C436">
        <v>1</v>
      </c>
      <c r="D436">
        <v>4</v>
      </c>
      <c r="E436">
        <v>0</v>
      </c>
      <c r="F436">
        <v>10</v>
      </c>
      <c r="G436">
        <v>0.23</v>
      </c>
      <c r="H436">
        <v>279</v>
      </c>
      <c r="I436">
        <v>30</v>
      </c>
      <c r="J436">
        <v>3</v>
      </c>
    </row>
    <row r="437" spans="1:10" x14ac:dyDescent="0.3">
      <c r="A437">
        <v>118</v>
      </c>
      <c r="B437">
        <v>3</v>
      </c>
      <c r="C437">
        <v>1</v>
      </c>
      <c r="D437">
        <v>2</v>
      </c>
      <c r="E437">
        <v>0</v>
      </c>
      <c r="F437">
        <v>41</v>
      </c>
      <c r="G437">
        <v>0.93</v>
      </c>
      <c r="H437">
        <v>347</v>
      </c>
      <c r="I437">
        <v>30</v>
      </c>
      <c r="J437">
        <v>4</v>
      </c>
    </row>
    <row r="438" spans="1:10" x14ac:dyDescent="0.3">
      <c r="A438">
        <v>124</v>
      </c>
      <c r="B438">
        <v>3</v>
      </c>
      <c r="C438">
        <v>2</v>
      </c>
      <c r="D438">
        <v>0</v>
      </c>
      <c r="E438">
        <v>0</v>
      </c>
      <c r="F438">
        <v>63</v>
      </c>
      <c r="G438">
        <v>1.42</v>
      </c>
      <c r="H438">
        <v>124</v>
      </c>
      <c r="I438">
        <v>30</v>
      </c>
      <c r="J438">
        <v>4</v>
      </c>
    </row>
    <row r="439" spans="1:10" x14ac:dyDescent="0.3">
      <c r="A439">
        <v>310</v>
      </c>
      <c r="B439">
        <v>1</v>
      </c>
      <c r="C439">
        <v>1</v>
      </c>
      <c r="D439">
        <v>4</v>
      </c>
      <c r="E439">
        <v>0</v>
      </c>
      <c r="F439">
        <v>121</v>
      </c>
      <c r="G439">
        <v>2.79</v>
      </c>
      <c r="H439">
        <v>336</v>
      </c>
      <c r="I439">
        <v>1</v>
      </c>
      <c r="J439">
        <v>2</v>
      </c>
    </row>
    <row r="440" spans="1:10" x14ac:dyDescent="0.3">
      <c r="A440">
        <v>231</v>
      </c>
      <c r="B440">
        <v>3</v>
      </c>
      <c r="C440">
        <v>1</v>
      </c>
      <c r="D440">
        <v>4</v>
      </c>
      <c r="E440">
        <v>1</v>
      </c>
      <c r="F440">
        <v>70</v>
      </c>
      <c r="G440">
        <v>1.61</v>
      </c>
      <c r="H440">
        <v>284</v>
      </c>
      <c r="I440">
        <v>1</v>
      </c>
      <c r="J440">
        <v>5</v>
      </c>
    </row>
    <row r="441" spans="1:10" x14ac:dyDescent="0.3">
      <c r="A441">
        <v>405</v>
      </c>
      <c r="B441">
        <v>2</v>
      </c>
      <c r="C441">
        <v>1</v>
      </c>
      <c r="D441">
        <v>4</v>
      </c>
      <c r="E441">
        <v>1</v>
      </c>
      <c r="F441">
        <v>60</v>
      </c>
      <c r="G441">
        <v>1.43</v>
      </c>
      <c r="H441">
        <v>306</v>
      </c>
      <c r="I441">
        <v>1</v>
      </c>
      <c r="J441">
        <v>4</v>
      </c>
    </row>
    <row r="442" spans="1:10" x14ac:dyDescent="0.3">
      <c r="A442">
        <v>334</v>
      </c>
      <c r="B442">
        <v>2</v>
      </c>
      <c r="C442">
        <v>1</v>
      </c>
      <c r="D442">
        <v>4</v>
      </c>
      <c r="E442">
        <v>1</v>
      </c>
      <c r="F442">
        <v>28</v>
      </c>
      <c r="G442">
        <v>0.7</v>
      </c>
      <c r="H442">
        <v>139</v>
      </c>
      <c r="I442">
        <v>1</v>
      </c>
      <c r="J442">
        <v>4</v>
      </c>
    </row>
    <row r="443" spans="1:10" x14ac:dyDescent="0.3">
      <c r="A443">
        <v>170</v>
      </c>
      <c r="B443">
        <v>1</v>
      </c>
      <c r="C443">
        <v>1</v>
      </c>
      <c r="D443">
        <v>4</v>
      </c>
      <c r="E443">
        <v>0</v>
      </c>
      <c r="F443">
        <v>12</v>
      </c>
      <c r="G443">
        <v>0.3</v>
      </c>
      <c r="H443">
        <v>364</v>
      </c>
      <c r="I443">
        <v>30</v>
      </c>
      <c r="J443">
        <v>2</v>
      </c>
    </row>
    <row r="444" spans="1:10" x14ac:dyDescent="0.3">
      <c r="A444">
        <v>350</v>
      </c>
      <c r="B444">
        <v>1</v>
      </c>
      <c r="C444">
        <v>2</v>
      </c>
      <c r="D444">
        <v>2</v>
      </c>
      <c r="E444">
        <v>0</v>
      </c>
      <c r="F444">
        <v>14</v>
      </c>
      <c r="G444">
        <v>0.34</v>
      </c>
      <c r="H444">
        <v>69</v>
      </c>
      <c r="I444">
        <v>30</v>
      </c>
      <c r="J444">
        <v>2</v>
      </c>
    </row>
    <row r="445" spans="1:10" x14ac:dyDescent="0.3">
      <c r="A445">
        <v>149</v>
      </c>
      <c r="B445">
        <v>2</v>
      </c>
      <c r="C445">
        <v>1</v>
      </c>
      <c r="D445">
        <v>2</v>
      </c>
      <c r="E445">
        <v>0</v>
      </c>
      <c r="F445">
        <v>48</v>
      </c>
      <c r="G445">
        <v>1.28</v>
      </c>
      <c r="H445">
        <v>128</v>
      </c>
      <c r="I445">
        <v>30</v>
      </c>
      <c r="J445">
        <v>4</v>
      </c>
    </row>
    <row r="446" spans="1:10" x14ac:dyDescent="0.3">
      <c r="A446">
        <v>261</v>
      </c>
      <c r="B446">
        <v>1</v>
      </c>
      <c r="C446">
        <v>1</v>
      </c>
      <c r="D446">
        <v>4</v>
      </c>
      <c r="E446">
        <v>0</v>
      </c>
      <c r="F446">
        <v>169</v>
      </c>
      <c r="G446">
        <v>3.87</v>
      </c>
      <c r="H446">
        <v>355</v>
      </c>
      <c r="I446">
        <v>1</v>
      </c>
      <c r="J446">
        <v>2</v>
      </c>
    </row>
    <row r="447" spans="1:10" x14ac:dyDescent="0.3">
      <c r="A447">
        <v>145</v>
      </c>
      <c r="B447">
        <v>2</v>
      </c>
      <c r="C447">
        <v>1</v>
      </c>
      <c r="D447">
        <v>0</v>
      </c>
      <c r="E447">
        <v>0</v>
      </c>
      <c r="F447">
        <v>88</v>
      </c>
      <c r="G447">
        <v>2.0299999999999998</v>
      </c>
      <c r="H447">
        <v>276</v>
      </c>
      <c r="I447">
        <v>30</v>
      </c>
      <c r="J447">
        <v>4</v>
      </c>
    </row>
    <row r="448" spans="1:10" x14ac:dyDescent="0.3">
      <c r="A448">
        <v>179</v>
      </c>
      <c r="B448">
        <v>1</v>
      </c>
      <c r="C448">
        <v>1</v>
      </c>
      <c r="D448">
        <v>2</v>
      </c>
      <c r="E448">
        <v>0</v>
      </c>
      <c r="F448">
        <v>96</v>
      </c>
      <c r="G448">
        <v>2.2000000000000002</v>
      </c>
      <c r="H448">
        <v>278</v>
      </c>
      <c r="I448">
        <v>30</v>
      </c>
      <c r="J448">
        <v>4</v>
      </c>
    </row>
    <row r="449" spans="1:10" x14ac:dyDescent="0.3">
      <c r="A449">
        <v>224</v>
      </c>
      <c r="B449">
        <v>1</v>
      </c>
      <c r="C449">
        <v>1</v>
      </c>
      <c r="D449">
        <v>4</v>
      </c>
      <c r="E449">
        <v>0</v>
      </c>
      <c r="F449">
        <v>13</v>
      </c>
      <c r="G449">
        <v>0.31</v>
      </c>
      <c r="H449">
        <v>286</v>
      </c>
      <c r="I449">
        <v>30</v>
      </c>
      <c r="J449">
        <v>3</v>
      </c>
    </row>
    <row r="450" spans="1:10" x14ac:dyDescent="0.3">
      <c r="A450">
        <v>70</v>
      </c>
      <c r="B450">
        <v>1</v>
      </c>
      <c r="C450">
        <v>1</v>
      </c>
      <c r="D450">
        <v>2</v>
      </c>
      <c r="E450">
        <v>1</v>
      </c>
      <c r="F450">
        <v>54</v>
      </c>
      <c r="G450">
        <v>1.23</v>
      </c>
      <c r="H450">
        <v>273</v>
      </c>
      <c r="I450">
        <v>2</v>
      </c>
      <c r="J450">
        <v>1</v>
      </c>
    </row>
    <row r="451" spans="1:10" x14ac:dyDescent="0.3">
      <c r="A451">
        <v>137</v>
      </c>
      <c r="B451">
        <v>2</v>
      </c>
      <c r="C451">
        <v>1</v>
      </c>
      <c r="D451">
        <v>4</v>
      </c>
      <c r="E451">
        <v>0</v>
      </c>
      <c r="F451">
        <v>14</v>
      </c>
      <c r="G451">
        <v>0.44</v>
      </c>
      <c r="H451">
        <v>258</v>
      </c>
      <c r="I451">
        <v>30</v>
      </c>
      <c r="J451">
        <v>4</v>
      </c>
    </row>
    <row r="452" spans="1:10" x14ac:dyDescent="0.3">
      <c r="A452">
        <v>151</v>
      </c>
      <c r="B452">
        <v>1</v>
      </c>
      <c r="C452">
        <v>1</v>
      </c>
      <c r="D452">
        <v>4</v>
      </c>
      <c r="E452">
        <v>0</v>
      </c>
      <c r="F452">
        <v>5</v>
      </c>
      <c r="G452">
        <v>0.16</v>
      </c>
      <c r="H452">
        <v>268</v>
      </c>
      <c r="I452">
        <v>30</v>
      </c>
      <c r="J452">
        <v>2</v>
      </c>
    </row>
    <row r="453" spans="1:10" x14ac:dyDescent="0.3">
      <c r="A453">
        <v>57</v>
      </c>
      <c r="B453">
        <v>1</v>
      </c>
      <c r="C453">
        <v>1</v>
      </c>
      <c r="D453">
        <v>0</v>
      </c>
      <c r="E453">
        <v>1</v>
      </c>
      <c r="F453">
        <v>30</v>
      </c>
      <c r="G453">
        <v>0.7</v>
      </c>
      <c r="H453">
        <v>137</v>
      </c>
      <c r="I453">
        <v>30</v>
      </c>
      <c r="J453">
        <v>1</v>
      </c>
    </row>
    <row r="454" spans="1:10" x14ac:dyDescent="0.3">
      <c r="A454">
        <v>106</v>
      </c>
      <c r="B454">
        <v>2</v>
      </c>
      <c r="C454">
        <v>1</v>
      </c>
      <c r="D454">
        <v>0</v>
      </c>
      <c r="E454">
        <v>0</v>
      </c>
      <c r="F454">
        <v>200</v>
      </c>
      <c r="G454">
        <v>4.74</v>
      </c>
      <c r="H454">
        <v>184</v>
      </c>
      <c r="I454">
        <v>30</v>
      </c>
      <c r="J454">
        <v>4</v>
      </c>
    </row>
    <row r="455" spans="1:10" x14ac:dyDescent="0.3">
      <c r="A455">
        <v>193</v>
      </c>
      <c r="B455">
        <v>2</v>
      </c>
      <c r="C455">
        <v>1</v>
      </c>
      <c r="D455">
        <v>2</v>
      </c>
      <c r="E455">
        <v>0</v>
      </c>
      <c r="F455">
        <v>179</v>
      </c>
      <c r="G455">
        <v>4.2</v>
      </c>
      <c r="H455">
        <v>185</v>
      </c>
      <c r="I455">
        <v>30</v>
      </c>
      <c r="J455">
        <v>5</v>
      </c>
    </row>
    <row r="456" spans="1:10" x14ac:dyDescent="0.3">
      <c r="A456">
        <v>120</v>
      </c>
      <c r="B456">
        <v>1</v>
      </c>
      <c r="C456">
        <v>1</v>
      </c>
      <c r="D456">
        <v>4</v>
      </c>
      <c r="E456">
        <v>0</v>
      </c>
      <c r="F456">
        <v>5</v>
      </c>
      <c r="G456">
        <v>0.26</v>
      </c>
      <c r="H456">
        <v>238</v>
      </c>
      <c r="I456">
        <v>30</v>
      </c>
      <c r="J456">
        <v>4</v>
      </c>
    </row>
    <row r="457" spans="1:10" x14ac:dyDescent="0.3">
      <c r="A457">
        <v>101</v>
      </c>
      <c r="B457">
        <v>2</v>
      </c>
      <c r="C457">
        <v>1</v>
      </c>
      <c r="D457">
        <v>0</v>
      </c>
      <c r="E457">
        <v>0</v>
      </c>
      <c r="F457">
        <v>145</v>
      </c>
      <c r="G457">
        <v>3.43</v>
      </c>
      <c r="H457">
        <v>278</v>
      </c>
      <c r="I457">
        <v>30</v>
      </c>
      <c r="J457">
        <v>3</v>
      </c>
    </row>
    <row r="458" spans="1:10" x14ac:dyDescent="0.3">
      <c r="A458">
        <v>116</v>
      </c>
      <c r="B458">
        <v>1</v>
      </c>
      <c r="C458">
        <v>1</v>
      </c>
      <c r="D458">
        <v>2</v>
      </c>
      <c r="E458">
        <v>0</v>
      </c>
      <c r="F458">
        <v>12</v>
      </c>
      <c r="G458">
        <v>0.28999999999999998</v>
      </c>
      <c r="H458">
        <v>148</v>
      </c>
      <c r="I458">
        <v>30</v>
      </c>
      <c r="J458">
        <v>4</v>
      </c>
    </row>
    <row r="459" spans="1:10" x14ac:dyDescent="0.3">
      <c r="A459">
        <v>208</v>
      </c>
      <c r="B459">
        <v>2</v>
      </c>
      <c r="C459">
        <v>1</v>
      </c>
      <c r="D459">
        <v>4</v>
      </c>
      <c r="E459">
        <v>0</v>
      </c>
      <c r="F459">
        <v>5</v>
      </c>
      <c r="G459">
        <v>0.17</v>
      </c>
      <c r="H459">
        <v>273</v>
      </c>
      <c r="I459">
        <v>30</v>
      </c>
      <c r="J459">
        <v>4</v>
      </c>
    </row>
    <row r="460" spans="1:10" x14ac:dyDescent="0.3">
      <c r="A460">
        <v>115</v>
      </c>
      <c r="B460">
        <v>1</v>
      </c>
      <c r="C460">
        <v>1</v>
      </c>
      <c r="D460">
        <v>2</v>
      </c>
      <c r="E460">
        <v>0</v>
      </c>
      <c r="F460">
        <v>48</v>
      </c>
      <c r="G460">
        <v>1.1399999999999999</v>
      </c>
      <c r="H460">
        <v>238</v>
      </c>
      <c r="I460">
        <v>30</v>
      </c>
      <c r="J460">
        <v>2</v>
      </c>
    </row>
    <row r="461" spans="1:10" x14ac:dyDescent="0.3">
      <c r="A461">
        <v>331</v>
      </c>
      <c r="B461">
        <v>1</v>
      </c>
      <c r="C461">
        <v>1</v>
      </c>
      <c r="D461">
        <v>4</v>
      </c>
      <c r="E461">
        <v>0</v>
      </c>
      <c r="F461">
        <v>86</v>
      </c>
      <c r="G461">
        <v>2.0299999999999998</v>
      </c>
      <c r="H461">
        <v>362</v>
      </c>
      <c r="I461">
        <v>1</v>
      </c>
      <c r="J461">
        <v>2</v>
      </c>
    </row>
    <row r="462" spans="1:10" x14ac:dyDescent="0.3">
      <c r="A462">
        <v>82</v>
      </c>
      <c r="B462">
        <v>1</v>
      </c>
      <c r="C462">
        <v>2</v>
      </c>
      <c r="D462">
        <v>4</v>
      </c>
      <c r="E462">
        <v>1</v>
      </c>
      <c r="F462">
        <v>105</v>
      </c>
      <c r="G462">
        <v>2.4700000000000002</v>
      </c>
      <c r="H462">
        <v>351</v>
      </c>
      <c r="I462">
        <v>30</v>
      </c>
      <c r="J462">
        <v>2</v>
      </c>
    </row>
    <row r="463" spans="1:10" x14ac:dyDescent="0.3">
      <c r="A463">
        <v>85</v>
      </c>
      <c r="B463">
        <v>1</v>
      </c>
      <c r="C463">
        <v>1</v>
      </c>
      <c r="D463">
        <v>2</v>
      </c>
      <c r="E463">
        <v>0</v>
      </c>
      <c r="F463">
        <v>108</v>
      </c>
      <c r="G463">
        <v>2.5299999999999998</v>
      </c>
      <c r="H463">
        <v>169</v>
      </c>
      <c r="I463">
        <v>30</v>
      </c>
      <c r="J463">
        <v>2</v>
      </c>
    </row>
    <row r="464" spans="1:10" x14ac:dyDescent="0.3">
      <c r="A464">
        <v>137</v>
      </c>
      <c r="B464">
        <v>6</v>
      </c>
      <c r="C464">
        <v>2</v>
      </c>
      <c r="D464">
        <v>0</v>
      </c>
      <c r="E464">
        <v>0</v>
      </c>
      <c r="F464">
        <v>14</v>
      </c>
      <c r="G464">
        <v>0.34</v>
      </c>
      <c r="H464">
        <v>142</v>
      </c>
      <c r="I464">
        <v>30</v>
      </c>
      <c r="J464">
        <v>12</v>
      </c>
    </row>
    <row r="465" spans="1:10" x14ac:dyDescent="0.3">
      <c r="A465">
        <v>185</v>
      </c>
      <c r="B465">
        <v>2</v>
      </c>
      <c r="C465">
        <v>1</v>
      </c>
      <c r="D465">
        <v>2</v>
      </c>
      <c r="E465">
        <v>0</v>
      </c>
      <c r="F465">
        <v>139</v>
      </c>
      <c r="G465">
        <v>3.31</v>
      </c>
      <c r="H465">
        <v>200</v>
      </c>
      <c r="I465">
        <v>2</v>
      </c>
      <c r="J465">
        <v>2</v>
      </c>
    </row>
    <row r="466" spans="1:10" x14ac:dyDescent="0.3">
      <c r="A466">
        <v>330</v>
      </c>
      <c r="B466">
        <v>2</v>
      </c>
      <c r="C466">
        <v>1</v>
      </c>
      <c r="D466">
        <v>4</v>
      </c>
      <c r="E466">
        <v>0</v>
      </c>
      <c r="F466">
        <v>72</v>
      </c>
      <c r="G466">
        <v>1.74</v>
      </c>
      <c r="H466">
        <v>111</v>
      </c>
      <c r="I466">
        <v>30</v>
      </c>
      <c r="J466">
        <v>4</v>
      </c>
    </row>
    <row r="467" spans="1:10" x14ac:dyDescent="0.3">
      <c r="A467">
        <v>175</v>
      </c>
      <c r="B467">
        <v>1</v>
      </c>
      <c r="C467">
        <v>1</v>
      </c>
      <c r="D467">
        <v>0</v>
      </c>
      <c r="E467">
        <v>0</v>
      </c>
      <c r="F467">
        <v>76</v>
      </c>
      <c r="G467">
        <v>1.84</v>
      </c>
      <c r="H467">
        <v>148</v>
      </c>
      <c r="I467">
        <v>30</v>
      </c>
      <c r="J467">
        <v>4</v>
      </c>
    </row>
    <row r="468" spans="1:10" x14ac:dyDescent="0.3">
      <c r="A468">
        <v>165</v>
      </c>
      <c r="B468">
        <v>1</v>
      </c>
      <c r="C468">
        <v>1</v>
      </c>
      <c r="D468">
        <v>0</v>
      </c>
      <c r="E468">
        <v>1</v>
      </c>
      <c r="F468">
        <v>93</v>
      </c>
      <c r="G468">
        <v>2.4500000000000002</v>
      </c>
      <c r="H468">
        <v>347</v>
      </c>
      <c r="I468">
        <v>2</v>
      </c>
      <c r="J468">
        <v>2</v>
      </c>
    </row>
    <row r="469" spans="1:10" x14ac:dyDescent="0.3">
      <c r="A469">
        <v>86</v>
      </c>
      <c r="B469">
        <v>1</v>
      </c>
      <c r="C469">
        <v>1</v>
      </c>
      <c r="D469">
        <v>0</v>
      </c>
      <c r="E469">
        <v>0</v>
      </c>
      <c r="F469">
        <v>46</v>
      </c>
      <c r="G469">
        <v>1.29</v>
      </c>
      <c r="H469">
        <v>239</v>
      </c>
      <c r="I469">
        <v>30</v>
      </c>
      <c r="J469">
        <v>2</v>
      </c>
    </row>
    <row r="470" spans="1:10" x14ac:dyDescent="0.3">
      <c r="A470">
        <v>214</v>
      </c>
      <c r="B470">
        <v>1</v>
      </c>
      <c r="C470">
        <v>1</v>
      </c>
      <c r="D470">
        <v>4</v>
      </c>
      <c r="E470">
        <v>0</v>
      </c>
      <c r="F470">
        <v>54</v>
      </c>
      <c r="G470">
        <v>1.46</v>
      </c>
      <c r="H470">
        <v>277</v>
      </c>
      <c r="I470">
        <v>30</v>
      </c>
      <c r="J470">
        <v>2</v>
      </c>
    </row>
    <row r="471" spans="1:10" x14ac:dyDescent="0.3">
      <c r="A471">
        <v>90</v>
      </c>
      <c r="B471">
        <v>3</v>
      </c>
      <c r="C471">
        <v>1</v>
      </c>
      <c r="D471">
        <v>0</v>
      </c>
      <c r="E471">
        <v>0</v>
      </c>
      <c r="F471">
        <v>38</v>
      </c>
      <c r="G471">
        <v>1.04</v>
      </c>
      <c r="H471">
        <v>173</v>
      </c>
      <c r="I471">
        <v>30</v>
      </c>
      <c r="J471">
        <v>4</v>
      </c>
    </row>
    <row r="472" spans="1:10" x14ac:dyDescent="0.3">
      <c r="A472">
        <v>134</v>
      </c>
      <c r="B472">
        <v>2</v>
      </c>
      <c r="C472">
        <v>0</v>
      </c>
      <c r="D472">
        <v>4</v>
      </c>
      <c r="E472">
        <v>1</v>
      </c>
      <c r="F472">
        <v>42</v>
      </c>
      <c r="G472">
        <v>1.08</v>
      </c>
      <c r="H472">
        <v>286</v>
      </c>
      <c r="I472">
        <v>1</v>
      </c>
      <c r="J472">
        <v>4</v>
      </c>
    </row>
    <row r="473" spans="1:10" x14ac:dyDescent="0.3">
      <c r="A473">
        <v>134</v>
      </c>
      <c r="B473">
        <v>2</v>
      </c>
      <c r="C473">
        <v>0</v>
      </c>
      <c r="D473">
        <v>4</v>
      </c>
      <c r="E473">
        <v>1</v>
      </c>
      <c r="F473">
        <v>52</v>
      </c>
      <c r="G473">
        <v>1.32</v>
      </c>
      <c r="H473">
        <v>295</v>
      </c>
      <c r="I473">
        <v>1</v>
      </c>
      <c r="J473">
        <v>4</v>
      </c>
    </row>
    <row r="474" spans="1:10" x14ac:dyDescent="0.3">
      <c r="A474">
        <v>145</v>
      </c>
      <c r="B474">
        <v>1</v>
      </c>
      <c r="C474">
        <v>1</v>
      </c>
      <c r="D474">
        <v>2</v>
      </c>
      <c r="E474">
        <v>0</v>
      </c>
      <c r="F474">
        <v>58</v>
      </c>
      <c r="G474">
        <v>1.4</v>
      </c>
      <c r="H474">
        <v>265</v>
      </c>
      <c r="I474">
        <v>30</v>
      </c>
      <c r="J474">
        <v>2</v>
      </c>
    </row>
    <row r="475" spans="1:10" x14ac:dyDescent="0.3">
      <c r="A475">
        <v>205</v>
      </c>
      <c r="B475">
        <v>1</v>
      </c>
      <c r="C475">
        <v>1</v>
      </c>
      <c r="D475">
        <v>4</v>
      </c>
      <c r="E475">
        <v>0</v>
      </c>
      <c r="F475">
        <v>12</v>
      </c>
      <c r="G475">
        <v>0.28999999999999998</v>
      </c>
      <c r="H475">
        <v>263</v>
      </c>
      <c r="I475">
        <v>30</v>
      </c>
      <c r="J475">
        <v>3</v>
      </c>
    </row>
    <row r="476" spans="1:10" x14ac:dyDescent="0.3">
      <c r="A476">
        <v>220</v>
      </c>
      <c r="B476">
        <v>1</v>
      </c>
      <c r="C476">
        <v>1</v>
      </c>
      <c r="D476">
        <v>2</v>
      </c>
      <c r="E476">
        <v>0</v>
      </c>
      <c r="F476">
        <v>36</v>
      </c>
      <c r="G476">
        <v>0.89</v>
      </c>
      <c r="H476">
        <v>75</v>
      </c>
      <c r="I476">
        <v>30</v>
      </c>
      <c r="J476">
        <v>2</v>
      </c>
    </row>
    <row r="477" spans="1:10" x14ac:dyDescent="0.3">
      <c r="A477">
        <v>203</v>
      </c>
      <c r="B477">
        <v>1</v>
      </c>
      <c r="C477">
        <v>1</v>
      </c>
      <c r="D477">
        <v>4</v>
      </c>
      <c r="E477">
        <v>0</v>
      </c>
      <c r="F477">
        <v>28</v>
      </c>
      <c r="G477">
        <v>0.68</v>
      </c>
      <c r="H477">
        <v>50</v>
      </c>
      <c r="I477">
        <v>30</v>
      </c>
      <c r="J477">
        <v>1</v>
      </c>
    </row>
    <row r="478" spans="1:10" x14ac:dyDescent="0.3">
      <c r="A478">
        <v>65</v>
      </c>
      <c r="B478">
        <v>1</v>
      </c>
      <c r="C478">
        <v>1</v>
      </c>
      <c r="D478">
        <v>0</v>
      </c>
      <c r="E478">
        <v>0</v>
      </c>
      <c r="F478">
        <v>8</v>
      </c>
      <c r="G478">
        <v>0.24</v>
      </c>
      <c r="H478">
        <v>179</v>
      </c>
      <c r="I478">
        <v>30</v>
      </c>
      <c r="J478">
        <v>1</v>
      </c>
    </row>
    <row r="479" spans="1:10" x14ac:dyDescent="0.3">
      <c r="A479">
        <v>170</v>
      </c>
      <c r="B479">
        <v>1</v>
      </c>
      <c r="C479">
        <v>1</v>
      </c>
      <c r="D479">
        <v>4</v>
      </c>
      <c r="E479">
        <v>0</v>
      </c>
      <c r="F479">
        <v>8</v>
      </c>
      <c r="G479">
        <v>0.34</v>
      </c>
      <c r="H479">
        <v>243</v>
      </c>
      <c r="I479">
        <v>30</v>
      </c>
      <c r="J479">
        <v>2</v>
      </c>
    </row>
    <row r="480" spans="1:10" x14ac:dyDescent="0.3">
      <c r="A480">
        <v>120</v>
      </c>
      <c r="B480">
        <v>1</v>
      </c>
      <c r="C480">
        <v>1</v>
      </c>
      <c r="D480">
        <v>2</v>
      </c>
      <c r="E480">
        <v>0</v>
      </c>
      <c r="F480">
        <v>41</v>
      </c>
      <c r="G480">
        <v>1.05</v>
      </c>
      <c r="H480">
        <v>180</v>
      </c>
      <c r="I480">
        <v>30</v>
      </c>
      <c r="J480">
        <v>4</v>
      </c>
    </row>
    <row r="481" spans="1:10" x14ac:dyDescent="0.3">
      <c r="A481">
        <v>185</v>
      </c>
      <c r="B481">
        <v>1</v>
      </c>
      <c r="C481">
        <v>1</v>
      </c>
      <c r="D481">
        <v>4</v>
      </c>
      <c r="E481">
        <v>1</v>
      </c>
      <c r="F481">
        <v>66</v>
      </c>
      <c r="G481">
        <v>1.61</v>
      </c>
      <c r="H481">
        <v>228</v>
      </c>
      <c r="I481">
        <v>1</v>
      </c>
      <c r="J481">
        <v>1</v>
      </c>
    </row>
    <row r="482" spans="1:10" x14ac:dyDescent="0.3">
      <c r="A482">
        <v>179</v>
      </c>
      <c r="B482">
        <v>1</v>
      </c>
      <c r="C482">
        <v>1</v>
      </c>
      <c r="D482">
        <v>2</v>
      </c>
      <c r="E482">
        <v>0</v>
      </c>
      <c r="F482">
        <v>7</v>
      </c>
      <c r="G482">
        <v>0.2</v>
      </c>
      <c r="H482">
        <v>63</v>
      </c>
      <c r="I482">
        <v>30</v>
      </c>
      <c r="J482">
        <v>2</v>
      </c>
    </row>
    <row r="483" spans="1:10" x14ac:dyDescent="0.3">
      <c r="A483">
        <v>126</v>
      </c>
      <c r="B483">
        <v>1</v>
      </c>
      <c r="C483">
        <v>1</v>
      </c>
      <c r="D483">
        <v>4</v>
      </c>
      <c r="E483">
        <v>0</v>
      </c>
      <c r="F483">
        <v>12</v>
      </c>
      <c r="G483">
        <v>0.45</v>
      </c>
      <c r="H483">
        <v>185</v>
      </c>
      <c r="I483">
        <v>30</v>
      </c>
      <c r="J483">
        <v>2</v>
      </c>
    </row>
    <row r="484" spans="1:10" x14ac:dyDescent="0.3">
      <c r="A484">
        <v>120</v>
      </c>
      <c r="B484">
        <v>1</v>
      </c>
      <c r="C484">
        <v>1</v>
      </c>
      <c r="D484">
        <v>2</v>
      </c>
      <c r="E484">
        <v>1</v>
      </c>
      <c r="F484">
        <v>45</v>
      </c>
      <c r="G484">
        <v>1.1599999999999999</v>
      </c>
      <c r="H484">
        <v>211</v>
      </c>
      <c r="I484">
        <v>3</v>
      </c>
      <c r="J484">
        <v>1</v>
      </c>
    </row>
    <row r="485" spans="1:10" x14ac:dyDescent="0.3">
      <c r="A485">
        <v>75</v>
      </c>
      <c r="B485">
        <v>1</v>
      </c>
      <c r="C485">
        <v>1</v>
      </c>
      <c r="D485">
        <v>2</v>
      </c>
      <c r="E485">
        <v>1</v>
      </c>
      <c r="F485">
        <v>1</v>
      </c>
      <c r="G485">
        <v>0.48</v>
      </c>
      <c r="H485">
        <v>278</v>
      </c>
      <c r="I485">
        <v>30</v>
      </c>
      <c r="J485">
        <v>2</v>
      </c>
    </row>
    <row r="486" spans="1:10" x14ac:dyDescent="0.3">
      <c r="A486">
        <v>77</v>
      </c>
      <c r="B486">
        <v>1</v>
      </c>
      <c r="C486">
        <v>1</v>
      </c>
      <c r="D486">
        <v>2</v>
      </c>
      <c r="E486">
        <v>1</v>
      </c>
      <c r="F486">
        <v>4</v>
      </c>
      <c r="G486">
        <v>0.11</v>
      </c>
      <c r="H486">
        <v>322</v>
      </c>
      <c r="I486">
        <v>30</v>
      </c>
      <c r="J486">
        <v>2</v>
      </c>
    </row>
    <row r="487" spans="1:10" x14ac:dyDescent="0.3">
      <c r="A487">
        <v>242</v>
      </c>
      <c r="B487">
        <v>1</v>
      </c>
      <c r="C487">
        <v>1</v>
      </c>
      <c r="D487">
        <v>4</v>
      </c>
      <c r="E487">
        <v>0</v>
      </c>
      <c r="F487">
        <v>6</v>
      </c>
      <c r="G487">
        <v>0.16</v>
      </c>
      <c r="H487">
        <v>278</v>
      </c>
      <c r="I487">
        <v>30</v>
      </c>
      <c r="J487">
        <v>3</v>
      </c>
    </row>
    <row r="488" spans="1:10" x14ac:dyDescent="0.3">
      <c r="A488">
        <v>115</v>
      </c>
      <c r="B488">
        <v>1</v>
      </c>
      <c r="C488">
        <v>1</v>
      </c>
      <c r="D488">
        <v>4</v>
      </c>
      <c r="E488">
        <v>0</v>
      </c>
      <c r="F488">
        <v>10</v>
      </c>
      <c r="G488">
        <v>0.28000000000000003</v>
      </c>
      <c r="H488">
        <v>230</v>
      </c>
      <c r="I488">
        <v>30</v>
      </c>
      <c r="J488">
        <v>2</v>
      </c>
    </row>
    <row r="489" spans="1:10" x14ac:dyDescent="0.3">
      <c r="A489">
        <v>100</v>
      </c>
      <c r="B489">
        <v>1</v>
      </c>
      <c r="C489">
        <v>1</v>
      </c>
      <c r="D489">
        <v>2</v>
      </c>
      <c r="E489">
        <v>0</v>
      </c>
      <c r="F489">
        <v>12</v>
      </c>
      <c r="G489">
        <v>0.32</v>
      </c>
      <c r="H489">
        <v>275</v>
      </c>
      <c r="I489">
        <v>30</v>
      </c>
      <c r="J489">
        <v>3</v>
      </c>
    </row>
    <row r="490" spans="1:10" x14ac:dyDescent="0.3">
      <c r="A490">
        <v>150</v>
      </c>
      <c r="B490">
        <v>2</v>
      </c>
      <c r="C490">
        <v>2</v>
      </c>
      <c r="D490">
        <v>4</v>
      </c>
      <c r="E490">
        <v>0</v>
      </c>
      <c r="F490">
        <v>8</v>
      </c>
      <c r="G490">
        <v>0.22</v>
      </c>
      <c r="H490">
        <v>176</v>
      </c>
      <c r="I490">
        <v>30</v>
      </c>
      <c r="J490">
        <v>4</v>
      </c>
    </row>
    <row r="491" spans="1:10" x14ac:dyDescent="0.3">
      <c r="A491">
        <v>98</v>
      </c>
      <c r="B491">
        <v>2</v>
      </c>
      <c r="C491">
        <v>1</v>
      </c>
      <c r="D491">
        <v>2</v>
      </c>
      <c r="E491">
        <v>0</v>
      </c>
      <c r="F491">
        <v>12</v>
      </c>
      <c r="G491">
        <v>0.39</v>
      </c>
      <c r="H491">
        <v>55</v>
      </c>
      <c r="I491">
        <v>30</v>
      </c>
      <c r="J491">
        <v>2</v>
      </c>
    </row>
    <row r="492" spans="1:10" x14ac:dyDescent="0.3">
      <c r="A492">
        <v>155</v>
      </c>
      <c r="B492">
        <v>1</v>
      </c>
      <c r="C492">
        <v>1</v>
      </c>
      <c r="D492">
        <v>4</v>
      </c>
      <c r="E492">
        <v>0</v>
      </c>
      <c r="F492">
        <v>19</v>
      </c>
      <c r="G492">
        <v>0.5</v>
      </c>
      <c r="H492">
        <v>305</v>
      </c>
      <c r="I492">
        <v>30</v>
      </c>
      <c r="J492">
        <v>2</v>
      </c>
    </row>
    <row r="493" spans="1:10" x14ac:dyDescent="0.3">
      <c r="A493">
        <v>135</v>
      </c>
      <c r="B493">
        <v>1</v>
      </c>
      <c r="C493">
        <v>1</v>
      </c>
      <c r="D493">
        <v>4</v>
      </c>
      <c r="E493">
        <v>0</v>
      </c>
      <c r="F493">
        <v>12</v>
      </c>
      <c r="G493">
        <v>0.33</v>
      </c>
      <c r="H493">
        <v>112</v>
      </c>
      <c r="I493">
        <v>30</v>
      </c>
      <c r="J493">
        <v>2</v>
      </c>
    </row>
    <row r="494" spans="1:10" x14ac:dyDescent="0.3">
      <c r="A494">
        <v>160</v>
      </c>
      <c r="B494">
        <v>1</v>
      </c>
      <c r="C494">
        <v>2</v>
      </c>
      <c r="D494">
        <v>2</v>
      </c>
      <c r="E494">
        <v>1</v>
      </c>
      <c r="F494">
        <v>12</v>
      </c>
      <c r="G494">
        <v>0.36</v>
      </c>
      <c r="H494">
        <v>357</v>
      </c>
      <c r="I494">
        <v>30</v>
      </c>
      <c r="J494">
        <v>1</v>
      </c>
    </row>
    <row r="495" spans="1:10" x14ac:dyDescent="0.3">
      <c r="A495">
        <v>67</v>
      </c>
      <c r="B495">
        <v>1</v>
      </c>
      <c r="C495">
        <v>1</v>
      </c>
      <c r="D495">
        <v>4</v>
      </c>
      <c r="E495">
        <v>1</v>
      </c>
      <c r="F495">
        <v>2</v>
      </c>
      <c r="G495">
        <v>0.09</v>
      </c>
      <c r="H495">
        <v>292</v>
      </c>
      <c r="I495">
        <v>30</v>
      </c>
      <c r="J495">
        <v>1</v>
      </c>
    </row>
    <row r="496" spans="1:10" x14ac:dyDescent="0.3">
      <c r="A496">
        <v>169</v>
      </c>
      <c r="B496">
        <v>1</v>
      </c>
      <c r="C496">
        <v>1</v>
      </c>
      <c r="D496">
        <v>0</v>
      </c>
      <c r="E496">
        <v>1</v>
      </c>
      <c r="F496">
        <v>75</v>
      </c>
      <c r="G496">
        <v>1.99</v>
      </c>
      <c r="H496">
        <v>50</v>
      </c>
      <c r="I496">
        <v>2</v>
      </c>
      <c r="J496">
        <v>1</v>
      </c>
    </row>
    <row r="497" spans="1:10" x14ac:dyDescent="0.3">
      <c r="A497">
        <v>68</v>
      </c>
      <c r="B497">
        <v>1</v>
      </c>
      <c r="C497">
        <v>1</v>
      </c>
      <c r="D497">
        <v>4</v>
      </c>
      <c r="E497">
        <v>1</v>
      </c>
      <c r="F497">
        <v>2</v>
      </c>
      <c r="G497">
        <v>0.06</v>
      </c>
      <c r="H497">
        <v>330</v>
      </c>
      <c r="I497">
        <v>30</v>
      </c>
      <c r="J497">
        <v>1</v>
      </c>
    </row>
    <row r="498" spans="1:10" x14ac:dyDescent="0.3">
      <c r="A498">
        <v>155</v>
      </c>
      <c r="B498">
        <v>3</v>
      </c>
      <c r="C498">
        <v>1</v>
      </c>
      <c r="D498">
        <v>4</v>
      </c>
      <c r="E498">
        <v>0</v>
      </c>
      <c r="F498">
        <v>10</v>
      </c>
      <c r="G498">
        <v>0.27</v>
      </c>
      <c r="H498">
        <v>282</v>
      </c>
      <c r="I498">
        <v>30</v>
      </c>
      <c r="J498">
        <v>4</v>
      </c>
    </row>
    <row r="499" spans="1:10" x14ac:dyDescent="0.3">
      <c r="A499">
        <v>175</v>
      </c>
      <c r="B499">
        <v>1</v>
      </c>
      <c r="C499">
        <v>1</v>
      </c>
      <c r="D499">
        <v>2</v>
      </c>
      <c r="E499">
        <v>0</v>
      </c>
      <c r="F499">
        <v>7</v>
      </c>
      <c r="G499">
        <v>0.21</v>
      </c>
      <c r="H499">
        <v>263</v>
      </c>
      <c r="I499">
        <v>30</v>
      </c>
      <c r="J499">
        <v>2</v>
      </c>
    </row>
    <row r="500" spans="1:10" x14ac:dyDescent="0.3">
      <c r="A500">
        <v>114</v>
      </c>
      <c r="B500">
        <v>1</v>
      </c>
      <c r="C500">
        <v>1</v>
      </c>
      <c r="D500">
        <v>2</v>
      </c>
      <c r="E500">
        <v>1</v>
      </c>
      <c r="F500">
        <v>37</v>
      </c>
      <c r="G500">
        <v>0.94</v>
      </c>
      <c r="H500">
        <v>175</v>
      </c>
      <c r="I500">
        <v>1</v>
      </c>
      <c r="J500">
        <v>1</v>
      </c>
    </row>
    <row r="501" spans="1:10" x14ac:dyDescent="0.3">
      <c r="A501">
        <v>183</v>
      </c>
      <c r="B501">
        <v>2</v>
      </c>
      <c r="C501">
        <v>1</v>
      </c>
      <c r="D501">
        <v>2</v>
      </c>
      <c r="E501">
        <v>0</v>
      </c>
      <c r="F501">
        <v>46</v>
      </c>
      <c r="G501">
        <v>1.21</v>
      </c>
      <c r="H501">
        <v>229</v>
      </c>
      <c r="I501">
        <v>4</v>
      </c>
      <c r="J501">
        <v>4</v>
      </c>
    </row>
    <row r="502" spans="1:10" x14ac:dyDescent="0.3">
      <c r="A502">
        <v>125</v>
      </c>
      <c r="B502">
        <v>2</v>
      </c>
      <c r="C502">
        <v>1</v>
      </c>
      <c r="D502">
        <v>2</v>
      </c>
      <c r="E502">
        <v>0</v>
      </c>
      <c r="F502">
        <v>13</v>
      </c>
      <c r="G502">
        <v>0.34</v>
      </c>
      <c r="H502">
        <v>256</v>
      </c>
      <c r="I502">
        <v>30</v>
      </c>
      <c r="J502">
        <v>4</v>
      </c>
    </row>
    <row r="503" spans="1:10" x14ac:dyDescent="0.3">
      <c r="A503">
        <v>65</v>
      </c>
      <c r="B503">
        <v>1</v>
      </c>
      <c r="C503">
        <v>1</v>
      </c>
      <c r="D503">
        <v>2</v>
      </c>
      <c r="E503">
        <v>0</v>
      </c>
      <c r="F503">
        <v>16</v>
      </c>
      <c r="G503">
        <v>0.43</v>
      </c>
      <c r="H503">
        <v>110</v>
      </c>
      <c r="I503">
        <v>30</v>
      </c>
      <c r="J503">
        <v>2</v>
      </c>
    </row>
    <row r="504" spans="1:10" x14ac:dyDescent="0.3">
      <c r="A504">
        <v>161</v>
      </c>
      <c r="B504">
        <v>3</v>
      </c>
      <c r="C504">
        <v>1</v>
      </c>
      <c r="D504">
        <v>2</v>
      </c>
      <c r="E504">
        <v>1</v>
      </c>
      <c r="F504">
        <v>55</v>
      </c>
      <c r="G504">
        <v>1.43</v>
      </c>
      <c r="H504">
        <v>169</v>
      </c>
      <c r="I504">
        <v>4</v>
      </c>
      <c r="J504">
        <v>2</v>
      </c>
    </row>
    <row r="505" spans="1:10" x14ac:dyDescent="0.3">
      <c r="A505">
        <v>76</v>
      </c>
      <c r="B505">
        <v>1</v>
      </c>
      <c r="C505">
        <v>1</v>
      </c>
      <c r="D505">
        <v>4</v>
      </c>
      <c r="E505">
        <v>0</v>
      </c>
      <c r="F505">
        <v>13</v>
      </c>
      <c r="G505">
        <v>0.34</v>
      </c>
      <c r="H505">
        <v>137</v>
      </c>
      <c r="I505">
        <v>30</v>
      </c>
      <c r="J505">
        <v>1</v>
      </c>
    </row>
    <row r="506" spans="1:10" x14ac:dyDescent="0.3">
      <c r="A506">
        <v>175</v>
      </c>
      <c r="B506">
        <v>1</v>
      </c>
      <c r="C506">
        <v>1</v>
      </c>
      <c r="D506">
        <v>0</v>
      </c>
      <c r="E506">
        <v>1</v>
      </c>
      <c r="F506">
        <v>87</v>
      </c>
      <c r="G506">
        <v>2.23</v>
      </c>
      <c r="H506">
        <v>318</v>
      </c>
      <c r="I506">
        <v>2</v>
      </c>
      <c r="J506">
        <v>2</v>
      </c>
    </row>
    <row r="507" spans="1:10" x14ac:dyDescent="0.3">
      <c r="A507">
        <v>67</v>
      </c>
      <c r="B507">
        <v>1</v>
      </c>
      <c r="C507">
        <v>1</v>
      </c>
      <c r="D507">
        <v>2</v>
      </c>
      <c r="E507">
        <v>1</v>
      </c>
      <c r="F507">
        <v>13</v>
      </c>
      <c r="G507">
        <v>0.35</v>
      </c>
      <c r="H507">
        <v>239</v>
      </c>
      <c r="I507">
        <v>30</v>
      </c>
      <c r="J507">
        <v>1</v>
      </c>
    </row>
    <row r="508" spans="1:10" x14ac:dyDescent="0.3">
      <c r="A508">
        <v>70</v>
      </c>
      <c r="B508">
        <v>1</v>
      </c>
      <c r="C508">
        <v>1</v>
      </c>
      <c r="D508">
        <v>0</v>
      </c>
      <c r="E508">
        <v>1</v>
      </c>
      <c r="F508">
        <v>15</v>
      </c>
      <c r="G508">
        <v>0.39</v>
      </c>
      <c r="H508">
        <v>334</v>
      </c>
      <c r="I508">
        <v>30</v>
      </c>
      <c r="J508">
        <v>1</v>
      </c>
    </row>
    <row r="509" spans="1:10" x14ac:dyDescent="0.3">
      <c r="A509">
        <v>104</v>
      </c>
      <c r="B509">
        <v>1</v>
      </c>
      <c r="C509">
        <v>1</v>
      </c>
      <c r="D509">
        <v>2</v>
      </c>
      <c r="E509">
        <v>1</v>
      </c>
      <c r="F509">
        <v>104</v>
      </c>
      <c r="G509">
        <v>2.66</v>
      </c>
      <c r="H509">
        <v>339</v>
      </c>
      <c r="I509">
        <v>2</v>
      </c>
      <c r="J509">
        <v>2</v>
      </c>
    </row>
    <row r="510" spans="1:10" x14ac:dyDescent="0.3">
      <c r="A510">
        <v>59</v>
      </c>
      <c r="B510">
        <v>1</v>
      </c>
      <c r="C510">
        <v>1</v>
      </c>
      <c r="D510">
        <v>0</v>
      </c>
      <c r="E510">
        <v>1</v>
      </c>
      <c r="F510">
        <v>49</v>
      </c>
      <c r="G510">
        <v>1.37</v>
      </c>
      <c r="H510">
        <v>78</v>
      </c>
      <c r="I510">
        <v>30</v>
      </c>
      <c r="J510">
        <v>1</v>
      </c>
    </row>
    <row r="511" spans="1:10" x14ac:dyDescent="0.3">
      <c r="A511">
        <v>93</v>
      </c>
      <c r="B511">
        <v>2</v>
      </c>
      <c r="C511">
        <v>1</v>
      </c>
      <c r="D511">
        <v>2</v>
      </c>
      <c r="E511">
        <v>1</v>
      </c>
      <c r="F511">
        <v>6</v>
      </c>
      <c r="G511">
        <v>0.16</v>
      </c>
      <c r="H511">
        <v>364</v>
      </c>
      <c r="I511">
        <v>30</v>
      </c>
      <c r="J511">
        <v>2</v>
      </c>
    </row>
    <row r="512" spans="1:10" x14ac:dyDescent="0.3">
      <c r="A512">
        <v>160</v>
      </c>
      <c r="B512">
        <v>2</v>
      </c>
      <c r="C512">
        <v>1</v>
      </c>
      <c r="D512">
        <v>4</v>
      </c>
      <c r="E512">
        <v>0</v>
      </c>
      <c r="F512">
        <v>118</v>
      </c>
      <c r="G512">
        <v>3.13</v>
      </c>
      <c r="H512">
        <v>230</v>
      </c>
      <c r="I512">
        <v>30</v>
      </c>
      <c r="J512">
        <v>4</v>
      </c>
    </row>
    <row r="513" spans="1:10" x14ac:dyDescent="0.3">
      <c r="A513">
        <v>104</v>
      </c>
      <c r="B513">
        <v>2</v>
      </c>
      <c r="C513">
        <v>1</v>
      </c>
      <c r="D513">
        <v>2</v>
      </c>
      <c r="E513">
        <v>0</v>
      </c>
      <c r="F513">
        <v>139</v>
      </c>
      <c r="G513">
        <v>3.63</v>
      </c>
      <c r="H513">
        <v>329</v>
      </c>
      <c r="I513">
        <v>30</v>
      </c>
      <c r="J513">
        <v>3</v>
      </c>
    </row>
    <row r="514" spans="1:10" x14ac:dyDescent="0.3">
      <c r="A514">
        <v>116</v>
      </c>
      <c r="B514">
        <v>2</v>
      </c>
      <c r="C514">
        <v>1</v>
      </c>
      <c r="D514">
        <v>2</v>
      </c>
      <c r="E514">
        <v>0</v>
      </c>
      <c r="F514">
        <v>100</v>
      </c>
      <c r="G514">
        <v>2.62</v>
      </c>
      <c r="H514">
        <v>322</v>
      </c>
      <c r="I514">
        <v>30</v>
      </c>
      <c r="J514">
        <v>3</v>
      </c>
    </row>
    <row r="515" spans="1:10" x14ac:dyDescent="0.3">
      <c r="A515">
        <v>400</v>
      </c>
      <c r="B515">
        <v>2</v>
      </c>
      <c r="C515">
        <v>1</v>
      </c>
      <c r="D515">
        <v>0</v>
      </c>
      <c r="E515">
        <v>1</v>
      </c>
      <c r="F515">
        <v>7</v>
      </c>
      <c r="G515">
        <v>0.19</v>
      </c>
      <c r="H515">
        <v>272</v>
      </c>
      <c r="I515">
        <v>1</v>
      </c>
      <c r="J515">
        <v>3</v>
      </c>
    </row>
    <row r="516" spans="1:10" x14ac:dyDescent="0.3">
      <c r="A516">
        <v>197</v>
      </c>
      <c r="B516">
        <v>1</v>
      </c>
      <c r="C516">
        <v>1</v>
      </c>
      <c r="D516">
        <v>0</v>
      </c>
      <c r="E516">
        <v>0</v>
      </c>
      <c r="F516">
        <v>10</v>
      </c>
      <c r="G516">
        <v>0.27</v>
      </c>
      <c r="H516">
        <v>268</v>
      </c>
      <c r="I516">
        <v>30</v>
      </c>
      <c r="J516">
        <v>3</v>
      </c>
    </row>
    <row r="517" spans="1:10" x14ac:dyDescent="0.3">
      <c r="A517">
        <v>245</v>
      </c>
      <c r="B517">
        <v>1</v>
      </c>
      <c r="C517">
        <v>1</v>
      </c>
      <c r="D517">
        <v>2</v>
      </c>
      <c r="E517">
        <v>1</v>
      </c>
      <c r="F517">
        <v>71</v>
      </c>
      <c r="G517">
        <v>1.95</v>
      </c>
      <c r="H517">
        <v>109</v>
      </c>
      <c r="I517">
        <v>2</v>
      </c>
      <c r="J517">
        <v>2</v>
      </c>
    </row>
    <row r="518" spans="1:10" x14ac:dyDescent="0.3">
      <c r="A518">
        <v>168</v>
      </c>
      <c r="B518">
        <v>1</v>
      </c>
      <c r="C518">
        <v>1</v>
      </c>
      <c r="D518">
        <v>2</v>
      </c>
      <c r="E518">
        <v>1</v>
      </c>
      <c r="F518">
        <v>13</v>
      </c>
      <c r="G518">
        <v>1.78</v>
      </c>
      <c r="H518">
        <v>105</v>
      </c>
      <c r="I518">
        <v>3</v>
      </c>
      <c r="J518">
        <v>2</v>
      </c>
    </row>
    <row r="519" spans="1:10" x14ac:dyDescent="0.3">
      <c r="A519">
        <v>90</v>
      </c>
      <c r="B519">
        <v>1</v>
      </c>
      <c r="C519">
        <v>1</v>
      </c>
      <c r="D519">
        <v>2</v>
      </c>
      <c r="E519">
        <v>1</v>
      </c>
      <c r="F519">
        <v>20</v>
      </c>
      <c r="G519">
        <v>0.55000000000000004</v>
      </c>
      <c r="H519">
        <v>38</v>
      </c>
      <c r="I519">
        <v>4</v>
      </c>
      <c r="J519">
        <v>1</v>
      </c>
    </row>
    <row r="520" spans="1:10" x14ac:dyDescent="0.3">
      <c r="A520">
        <v>64</v>
      </c>
      <c r="B520">
        <v>1</v>
      </c>
      <c r="C520">
        <v>2</v>
      </c>
      <c r="D520">
        <v>4</v>
      </c>
      <c r="E520">
        <v>1</v>
      </c>
      <c r="F520">
        <v>14</v>
      </c>
      <c r="G520">
        <v>0.42</v>
      </c>
      <c r="H520">
        <v>252</v>
      </c>
      <c r="I520">
        <v>30</v>
      </c>
      <c r="J520">
        <v>1</v>
      </c>
    </row>
    <row r="521" spans="1:10" x14ac:dyDescent="0.3">
      <c r="A521">
        <v>119</v>
      </c>
      <c r="B521">
        <v>2</v>
      </c>
      <c r="C521">
        <v>1</v>
      </c>
      <c r="D521">
        <v>2</v>
      </c>
      <c r="E521">
        <v>0</v>
      </c>
      <c r="F521">
        <v>68</v>
      </c>
      <c r="G521">
        <v>1.84</v>
      </c>
      <c r="H521">
        <v>175</v>
      </c>
      <c r="I521">
        <v>30</v>
      </c>
      <c r="J521">
        <v>4</v>
      </c>
    </row>
    <row r="522" spans="1:10" x14ac:dyDescent="0.3">
      <c r="A522">
        <v>90</v>
      </c>
      <c r="B522">
        <v>1</v>
      </c>
      <c r="C522">
        <v>1</v>
      </c>
      <c r="D522">
        <v>0</v>
      </c>
      <c r="E522">
        <v>0</v>
      </c>
      <c r="F522">
        <v>29</v>
      </c>
      <c r="G522">
        <v>0.77</v>
      </c>
      <c r="H522">
        <v>120</v>
      </c>
      <c r="I522">
        <v>30</v>
      </c>
      <c r="J522">
        <v>3</v>
      </c>
    </row>
    <row r="523" spans="1:10" x14ac:dyDescent="0.3">
      <c r="A523">
        <v>160</v>
      </c>
      <c r="B523">
        <v>3</v>
      </c>
      <c r="C523">
        <v>1</v>
      </c>
      <c r="D523">
        <v>2</v>
      </c>
      <c r="E523">
        <v>0</v>
      </c>
      <c r="F523">
        <v>8</v>
      </c>
      <c r="G523">
        <v>0.24</v>
      </c>
      <c r="H523">
        <v>314</v>
      </c>
      <c r="I523">
        <v>30</v>
      </c>
      <c r="J523">
        <v>4</v>
      </c>
    </row>
    <row r="524" spans="1:10" x14ac:dyDescent="0.3">
      <c r="A524">
        <v>136</v>
      </c>
      <c r="B524">
        <v>2</v>
      </c>
      <c r="C524">
        <v>1</v>
      </c>
      <c r="D524">
        <v>0</v>
      </c>
      <c r="E524">
        <v>0</v>
      </c>
      <c r="F524">
        <v>3</v>
      </c>
      <c r="G524">
        <v>0.09</v>
      </c>
      <c r="H524">
        <v>277</v>
      </c>
      <c r="I524">
        <v>30</v>
      </c>
      <c r="J524">
        <v>3</v>
      </c>
    </row>
    <row r="525" spans="1:10" x14ac:dyDescent="0.3">
      <c r="A525">
        <v>60</v>
      </c>
      <c r="B525">
        <v>1</v>
      </c>
      <c r="C525">
        <v>2</v>
      </c>
      <c r="D525">
        <v>0</v>
      </c>
      <c r="E525">
        <v>1</v>
      </c>
      <c r="F525">
        <v>36</v>
      </c>
      <c r="G525">
        <v>0.96</v>
      </c>
      <c r="H525">
        <v>273</v>
      </c>
      <c r="I525">
        <v>30</v>
      </c>
      <c r="J525">
        <v>1</v>
      </c>
    </row>
    <row r="526" spans="1:10" x14ac:dyDescent="0.3">
      <c r="A526">
        <v>300</v>
      </c>
      <c r="B526">
        <v>2</v>
      </c>
      <c r="C526">
        <v>1</v>
      </c>
      <c r="D526">
        <v>4</v>
      </c>
      <c r="E526">
        <v>0</v>
      </c>
      <c r="F526">
        <v>54</v>
      </c>
      <c r="G526">
        <v>1.67</v>
      </c>
      <c r="H526">
        <v>93</v>
      </c>
      <c r="I526">
        <v>1</v>
      </c>
      <c r="J526">
        <v>4</v>
      </c>
    </row>
    <row r="527" spans="1:10" x14ac:dyDescent="0.3">
      <c r="A527">
        <v>100</v>
      </c>
      <c r="B527">
        <v>1</v>
      </c>
      <c r="C527">
        <v>1</v>
      </c>
      <c r="D527">
        <v>2</v>
      </c>
      <c r="E527">
        <v>0</v>
      </c>
      <c r="F527">
        <v>10</v>
      </c>
      <c r="G527">
        <v>0.28000000000000003</v>
      </c>
      <c r="H527">
        <v>268</v>
      </c>
      <c r="I527">
        <v>30</v>
      </c>
      <c r="J527">
        <v>2</v>
      </c>
    </row>
    <row r="528" spans="1:10" x14ac:dyDescent="0.3">
      <c r="A528">
        <v>274</v>
      </c>
      <c r="B528">
        <v>3</v>
      </c>
      <c r="C528">
        <v>1</v>
      </c>
      <c r="D528">
        <v>4</v>
      </c>
      <c r="E528">
        <v>0</v>
      </c>
      <c r="F528">
        <v>30</v>
      </c>
      <c r="G528">
        <v>0.99</v>
      </c>
      <c r="H528">
        <v>145</v>
      </c>
      <c r="I528">
        <v>1</v>
      </c>
      <c r="J528">
        <v>3</v>
      </c>
    </row>
    <row r="529" spans="1:10" x14ac:dyDescent="0.3">
      <c r="A529">
        <v>378</v>
      </c>
      <c r="B529">
        <v>3</v>
      </c>
      <c r="C529">
        <v>1</v>
      </c>
      <c r="D529">
        <v>4</v>
      </c>
      <c r="E529">
        <v>0</v>
      </c>
      <c r="F529">
        <v>103</v>
      </c>
      <c r="G529">
        <v>3.43</v>
      </c>
      <c r="H529">
        <v>137</v>
      </c>
      <c r="I529">
        <v>1</v>
      </c>
      <c r="J529">
        <v>6</v>
      </c>
    </row>
    <row r="530" spans="1:10" x14ac:dyDescent="0.3">
      <c r="A530">
        <v>199</v>
      </c>
      <c r="B530">
        <v>2</v>
      </c>
      <c r="C530">
        <v>1</v>
      </c>
      <c r="D530">
        <v>4</v>
      </c>
      <c r="E530">
        <v>0</v>
      </c>
      <c r="F530">
        <v>19</v>
      </c>
      <c r="G530">
        <v>0.59</v>
      </c>
      <c r="H530">
        <v>156</v>
      </c>
      <c r="I530">
        <v>30</v>
      </c>
      <c r="J530">
        <v>4</v>
      </c>
    </row>
    <row r="531" spans="1:10" x14ac:dyDescent="0.3">
      <c r="A531">
        <v>372</v>
      </c>
      <c r="B531">
        <v>1</v>
      </c>
      <c r="C531">
        <v>1</v>
      </c>
      <c r="D531">
        <v>4</v>
      </c>
      <c r="E531">
        <v>1</v>
      </c>
      <c r="F531">
        <v>8</v>
      </c>
      <c r="G531">
        <v>0.23</v>
      </c>
      <c r="H531">
        <v>279</v>
      </c>
      <c r="I531">
        <v>1</v>
      </c>
      <c r="J531">
        <v>2</v>
      </c>
    </row>
    <row r="532" spans="1:10" x14ac:dyDescent="0.3">
      <c r="A532">
        <v>100</v>
      </c>
      <c r="B532">
        <v>1</v>
      </c>
      <c r="C532">
        <v>1</v>
      </c>
      <c r="D532">
        <v>4</v>
      </c>
      <c r="E532">
        <v>0</v>
      </c>
      <c r="F532">
        <v>14</v>
      </c>
      <c r="G532">
        <v>0.4</v>
      </c>
      <c r="H532">
        <v>266</v>
      </c>
      <c r="I532">
        <v>30</v>
      </c>
      <c r="J532">
        <v>2</v>
      </c>
    </row>
    <row r="533" spans="1:10" x14ac:dyDescent="0.3">
      <c r="A533">
        <v>98</v>
      </c>
      <c r="B533">
        <v>1</v>
      </c>
      <c r="C533">
        <v>1</v>
      </c>
      <c r="D533">
        <v>0</v>
      </c>
      <c r="E533">
        <v>0</v>
      </c>
      <c r="F533">
        <v>32</v>
      </c>
      <c r="G533">
        <v>0.86</v>
      </c>
      <c r="H533">
        <v>45</v>
      </c>
      <c r="I533">
        <v>30</v>
      </c>
      <c r="J533">
        <v>2</v>
      </c>
    </row>
    <row r="534" spans="1:10" x14ac:dyDescent="0.3">
      <c r="A534">
        <v>188</v>
      </c>
      <c r="B534">
        <v>2</v>
      </c>
      <c r="C534">
        <v>1</v>
      </c>
      <c r="D534">
        <v>4</v>
      </c>
      <c r="E534">
        <v>0</v>
      </c>
      <c r="F534">
        <v>14</v>
      </c>
      <c r="G534">
        <v>0.43</v>
      </c>
      <c r="H534">
        <v>161</v>
      </c>
      <c r="I534">
        <v>30</v>
      </c>
      <c r="J534">
        <v>4</v>
      </c>
    </row>
    <row r="535" spans="1:10" x14ac:dyDescent="0.3">
      <c r="A535">
        <v>340</v>
      </c>
      <c r="B535">
        <v>2</v>
      </c>
      <c r="C535">
        <v>2</v>
      </c>
      <c r="D535">
        <v>4</v>
      </c>
      <c r="E535">
        <v>0</v>
      </c>
      <c r="F535">
        <v>11</v>
      </c>
      <c r="G535">
        <v>0.33</v>
      </c>
      <c r="H535">
        <v>214</v>
      </c>
      <c r="I535">
        <v>30</v>
      </c>
      <c r="J535">
        <v>4</v>
      </c>
    </row>
    <row r="536" spans="1:10" x14ac:dyDescent="0.3">
      <c r="A536">
        <v>50</v>
      </c>
      <c r="B536">
        <v>1</v>
      </c>
      <c r="C536">
        <v>1</v>
      </c>
      <c r="D536">
        <v>4</v>
      </c>
      <c r="E536">
        <v>1</v>
      </c>
      <c r="F536">
        <v>6</v>
      </c>
      <c r="G536">
        <v>0.18</v>
      </c>
      <c r="H536">
        <v>329</v>
      </c>
      <c r="I536">
        <v>30</v>
      </c>
      <c r="J536">
        <v>2</v>
      </c>
    </row>
    <row r="537" spans="1:10" x14ac:dyDescent="0.3">
      <c r="A537">
        <v>311</v>
      </c>
      <c r="B537">
        <v>1</v>
      </c>
      <c r="C537">
        <v>1</v>
      </c>
      <c r="D537">
        <v>4</v>
      </c>
      <c r="E537">
        <v>1</v>
      </c>
      <c r="F537">
        <v>46</v>
      </c>
      <c r="G537">
        <v>1.26</v>
      </c>
      <c r="H537">
        <v>286</v>
      </c>
      <c r="I537">
        <v>1</v>
      </c>
      <c r="J537">
        <v>2</v>
      </c>
    </row>
    <row r="538" spans="1:10" x14ac:dyDescent="0.3">
      <c r="A538">
        <v>126</v>
      </c>
      <c r="B538">
        <v>1</v>
      </c>
      <c r="C538">
        <v>1</v>
      </c>
      <c r="D538">
        <v>0</v>
      </c>
      <c r="E538">
        <v>1</v>
      </c>
      <c r="F538">
        <v>87</v>
      </c>
      <c r="G538">
        <v>2.4700000000000002</v>
      </c>
      <c r="H538">
        <v>261</v>
      </c>
      <c r="I538">
        <v>2</v>
      </c>
      <c r="J538">
        <v>2</v>
      </c>
    </row>
    <row r="539" spans="1:10" x14ac:dyDescent="0.3">
      <c r="A539">
        <v>126</v>
      </c>
      <c r="B539">
        <v>2</v>
      </c>
      <c r="C539">
        <v>1</v>
      </c>
      <c r="D539">
        <v>0</v>
      </c>
      <c r="E539">
        <v>0</v>
      </c>
      <c r="F539">
        <v>28</v>
      </c>
      <c r="G539">
        <v>0.79</v>
      </c>
      <c r="H539">
        <v>321</v>
      </c>
      <c r="I539">
        <v>30</v>
      </c>
      <c r="J539">
        <v>2</v>
      </c>
    </row>
    <row r="540" spans="1:10" x14ac:dyDescent="0.3">
      <c r="A540">
        <v>129</v>
      </c>
      <c r="B540">
        <v>3</v>
      </c>
      <c r="C540">
        <v>1</v>
      </c>
      <c r="D540">
        <v>2</v>
      </c>
      <c r="E540">
        <v>1</v>
      </c>
      <c r="F540">
        <v>70</v>
      </c>
      <c r="G540">
        <v>2.1</v>
      </c>
      <c r="H540">
        <v>309</v>
      </c>
      <c r="I540">
        <v>3</v>
      </c>
      <c r="J540">
        <v>2</v>
      </c>
    </row>
    <row r="541" spans="1:10" x14ac:dyDescent="0.3">
      <c r="A541">
        <v>90</v>
      </c>
      <c r="B541">
        <v>1</v>
      </c>
      <c r="C541">
        <v>1</v>
      </c>
      <c r="D541">
        <v>2</v>
      </c>
      <c r="E541">
        <v>0</v>
      </c>
      <c r="F541">
        <v>63</v>
      </c>
      <c r="G541">
        <v>1.8</v>
      </c>
      <c r="H541">
        <v>238</v>
      </c>
      <c r="I541">
        <v>30</v>
      </c>
      <c r="J541">
        <v>2</v>
      </c>
    </row>
    <row r="542" spans="1:10" x14ac:dyDescent="0.3">
      <c r="A542">
        <v>79</v>
      </c>
      <c r="B542">
        <v>1</v>
      </c>
      <c r="C542">
        <v>1</v>
      </c>
      <c r="D542">
        <v>2</v>
      </c>
      <c r="E542">
        <v>1</v>
      </c>
      <c r="F542">
        <v>12</v>
      </c>
      <c r="G542">
        <v>0.39</v>
      </c>
      <c r="H542">
        <v>166</v>
      </c>
      <c r="I542">
        <v>30</v>
      </c>
      <c r="J542">
        <v>1</v>
      </c>
    </row>
    <row r="543" spans="1:10" x14ac:dyDescent="0.3">
      <c r="A543">
        <v>240</v>
      </c>
      <c r="B543">
        <v>1</v>
      </c>
      <c r="C543">
        <v>1</v>
      </c>
      <c r="D543">
        <v>2</v>
      </c>
      <c r="E543">
        <v>0</v>
      </c>
      <c r="F543">
        <v>31</v>
      </c>
      <c r="G543">
        <v>1.29</v>
      </c>
      <c r="H543">
        <v>270</v>
      </c>
      <c r="I543">
        <v>30</v>
      </c>
      <c r="J543">
        <v>2</v>
      </c>
    </row>
    <row r="544" spans="1:10" x14ac:dyDescent="0.3">
      <c r="A544">
        <v>366</v>
      </c>
      <c r="B544">
        <v>8</v>
      </c>
      <c r="C544">
        <v>2</v>
      </c>
      <c r="D544">
        <v>4</v>
      </c>
      <c r="E544">
        <v>0</v>
      </c>
      <c r="F544">
        <v>23</v>
      </c>
      <c r="G544">
        <v>0.74</v>
      </c>
      <c r="H544">
        <v>331</v>
      </c>
      <c r="I544">
        <v>30</v>
      </c>
      <c r="J544">
        <v>6</v>
      </c>
    </row>
    <row r="545" spans="1:10" x14ac:dyDescent="0.3">
      <c r="A545">
        <v>332</v>
      </c>
      <c r="B545">
        <v>1</v>
      </c>
      <c r="C545">
        <v>1</v>
      </c>
      <c r="D545">
        <v>2</v>
      </c>
      <c r="E545">
        <v>1</v>
      </c>
      <c r="F545">
        <v>22</v>
      </c>
      <c r="G545">
        <v>0.66</v>
      </c>
      <c r="H545">
        <v>262</v>
      </c>
      <c r="I545">
        <v>1</v>
      </c>
      <c r="J545">
        <v>2</v>
      </c>
    </row>
    <row r="546" spans="1:10" x14ac:dyDescent="0.3">
      <c r="A546">
        <v>262</v>
      </c>
      <c r="B546">
        <v>1</v>
      </c>
      <c r="C546">
        <v>1</v>
      </c>
      <c r="D546">
        <v>2</v>
      </c>
      <c r="E546">
        <v>1</v>
      </c>
      <c r="F546">
        <v>18</v>
      </c>
      <c r="G546">
        <v>0.52</v>
      </c>
      <c r="H546">
        <v>221</v>
      </c>
      <c r="I546">
        <v>1</v>
      </c>
      <c r="J546">
        <v>2</v>
      </c>
    </row>
    <row r="547" spans="1:10" x14ac:dyDescent="0.3">
      <c r="A547">
        <v>145</v>
      </c>
      <c r="B547">
        <v>1</v>
      </c>
      <c r="C547">
        <v>1</v>
      </c>
      <c r="D547">
        <v>2</v>
      </c>
      <c r="E547">
        <v>0</v>
      </c>
      <c r="F547">
        <v>12</v>
      </c>
      <c r="G547">
        <v>0.37</v>
      </c>
      <c r="H547">
        <v>182</v>
      </c>
      <c r="I547">
        <v>30</v>
      </c>
      <c r="J547">
        <v>2</v>
      </c>
    </row>
    <row r="548" spans="1:10" x14ac:dyDescent="0.3">
      <c r="A548">
        <v>149</v>
      </c>
      <c r="B548">
        <v>1</v>
      </c>
      <c r="C548">
        <v>1</v>
      </c>
      <c r="D548">
        <v>4</v>
      </c>
      <c r="E548">
        <v>0</v>
      </c>
      <c r="F548">
        <v>16</v>
      </c>
      <c r="G548">
        <v>0.49</v>
      </c>
      <c r="H548">
        <v>214</v>
      </c>
      <c r="I548">
        <v>30</v>
      </c>
      <c r="J548">
        <v>3</v>
      </c>
    </row>
    <row r="549" spans="1:10" x14ac:dyDescent="0.3">
      <c r="A549">
        <v>133</v>
      </c>
      <c r="B549">
        <v>3</v>
      </c>
      <c r="C549">
        <v>1</v>
      </c>
      <c r="D549">
        <v>0</v>
      </c>
      <c r="E549">
        <v>0</v>
      </c>
      <c r="F549">
        <v>67</v>
      </c>
      <c r="G549">
        <v>1.91</v>
      </c>
      <c r="H549">
        <v>139</v>
      </c>
      <c r="I549">
        <v>30</v>
      </c>
      <c r="J549">
        <v>5</v>
      </c>
    </row>
    <row r="550" spans="1:10" x14ac:dyDescent="0.3">
      <c r="A550">
        <v>50</v>
      </c>
      <c r="B550">
        <v>1</v>
      </c>
      <c r="C550">
        <v>1</v>
      </c>
      <c r="D550">
        <v>2</v>
      </c>
      <c r="E550">
        <v>1</v>
      </c>
      <c r="F550">
        <v>27</v>
      </c>
      <c r="G550">
        <v>0.78</v>
      </c>
      <c r="H550">
        <v>364</v>
      </c>
      <c r="I550">
        <v>30</v>
      </c>
      <c r="J550">
        <v>1</v>
      </c>
    </row>
    <row r="551" spans="1:10" x14ac:dyDescent="0.3">
      <c r="A551">
        <v>225</v>
      </c>
      <c r="B551">
        <v>1</v>
      </c>
      <c r="C551">
        <v>1</v>
      </c>
      <c r="D551">
        <v>2</v>
      </c>
      <c r="E551">
        <v>1</v>
      </c>
      <c r="F551">
        <v>115</v>
      </c>
      <c r="G551">
        <v>3.53</v>
      </c>
      <c r="H551">
        <v>226</v>
      </c>
      <c r="I551">
        <v>1</v>
      </c>
      <c r="J551">
        <v>2</v>
      </c>
    </row>
    <row r="552" spans="1:10" x14ac:dyDescent="0.3">
      <c r="A552">
        <v>141</v>
      </c>
      <c r="B552">
        <v>1</v>
      </c>
      <c r="C552">
        <v>1</v>
      </c>
      <c r="D552">
        <v>0</v>
      </c>
      <c r="E552">
        <v>1</v>
      </c>
      <c r="F552">
        <v>57</v>
      </c>
      <c r="G552">
        <v>1.62</v>
      </c>
      <c r="H552">
        <v>45</v>
      </c>
      <c r="I552">
        <v>4</v>
      </c>
      <c r="J552">
        <v>2</v>
      </c>
    </row>
    <row r="553" spans="1:10" x14ac:dyDescent="0.3">
      <c r="A553">
        <v>86</v>
      </c>
      <c r="B553">
        <v>1</v>
      </c>
      <c r="C553">
        <v>1</v>
      </c>
      <c r="D553">
        <v>0</v>
      </c>
      <c r="E553">
        <v>1</v>
      </c>
      <c r="F553">
        <v>23</v>
      </c>
      <c r="G553">
        <v>0.68</v>
      </c>
      <c r="H553">
        <v>303</v>
      </c>
      <c r="I553">
        <v>30</v>
      </c>
      <c r="J553">
        <v>2</v>
      </c>
    </row>
    <row r="554" spans="1:10" x14ac:dyDescent="0.3">
      <c r="A554">
        <v>92</v>
      </c>
      <c r="B554">
        <v>1</v>
      </c>
      <c r="C554">
        <v>1</v>
      </c>
      <c r="D554">
        <v>2</v>
      </c>
      <c r="E554">
        <v>1</v>
      </c>
      <c r="F554">
        <v>77</v>
      </c>
      <c r="G554">
        <v>2.2200000000000002</v>
      </c>
      <c r="H554">
        <v>95</v>
      </c>
      <c r="I554">
        <v>30</v>
      </c>
      <c r="J554">
        <v>1</v>
      </c>
    </row>
    <row r="555" spans="1:10" x14ac:dyDescent="0.3">
      <c r="A555">
        <v>90</v>
      </c>
      <c r="B555">
        <v>1</v>
      </c>
      <c r="C555">
        <v>1</v>
      </c>
      <c r="D555">
        <v>0</v>
      </c>
      <c r="E555">
        <v>0</v>
      </c>
      <c r="F555">
        <v>33</v>
      </c>
      <c r="G555">
        <v>0.96</v>
      </c>
      <c r="H555">
        <v>362</v>
      </c>
      <c r="I555">
        <v>30</v>
      </c>
      <c r="J555">
        <v>2</v>
      </c>
    </row>
    <row r="556" spans="1:10" x14ac:dyDescent="0.3">
      <c r="A556">
        <v>207</v>
      </c>
      <c r="B556">
        <v>1</v>
      </c>
      <c r="C556">
        <v>1</v>
      </c>
      <c r="D556">
        <v>2</v>
      </c>
      <c r="E556">
        <v>1</v>
      </c>
      <c r="F556">
        <v>46</v>
      </c>
      <c r="G556">
        <v>1.34</v>
      </c>
      <c r="H556">
        <v>273</v>
      </c>
      <c r="I556">
        <v>1</v>
      </c>
      <c r="J556">
        <v>2</v>
      </c>
    </row>
    <row r="557" spans="1:10" x14ac:dyDescent="0.3">
      <c r="A557">
        <v>263</v>
      </c>
      <c r="B557">
        <v>1</v>
      </c>
      <c r="C557">
        <v>1</v>
      </c>
      <c r="D557">
        <v>0</v>
      </c>
      <c r="E557">
        <v>1</v>
      </c>
      <c r="F557">
        <v>32</v>
      </c>
      <c r="G557">
        <v>0.96</v>
      </c>
      <c r="H557">
        <v>276</v>
      </c>
      <c r="I557">
        <v>1</v>
      </c>
      <c r="J557">
        <v>2</v>
      </c>
    </row>
    <row r="558" spans="1:10" x14ac:dyDescent="0.3">
      <c r="A558">
        <v>170</v>
      </c>
      <c r="B558">
        <v>1</v>
      </c>
      <c r="C558">
        <v>1</v>
      </c>
      <c r="D558">
        <v>4</v>
      </c>
      <c r="E558">
        <v>0</v>
      </c>
      <c r="F558">
        <v>4</v>
      </c>
      <c r="G558">
        <v>0.14000000000000001</v>
      </c>
      <c r="H558">
        <v>221</v>
      </c>
      <c r="I558">
        <v>30</v>
      </c>
      <c r="J558">
        <v>2</v>
      </c>
    </row>
    <row r="559" spans="1:10" x14ac:dyDescent="0.3">
      <c r="A559">
        <v>215</v>
      </c>
      <c r="B559">
        <v>2</v>
      </c>
      <c r="C559">
        <v>1</v>
      </c>
      <c r="D559">
        <v>2</v>
      </c>
      <c r="E559">
        <v>0</v>
      </c>
      <c r="F559">
        <v>10</v>
      </c>
      <c r="G559">
        <v>0.3</v>
      </c>
      <c r="H559">
        <v>162</v>
      </c>
      <c r="I559">
        <v>30</v>
      </c>
      <c r="J559">
        <v>4</v>
      </c>
    </row>
    <row r="560" spans="1:10" x14ac:dyDescent="0.3">
      <c r="A560">
        <v>100</v>
      </c>
      <c r="B560">
        <v>1</v>
      </c>
      <c r="C560">
        <v>1</v>
      </c>
      <c r="D560">
        <v>2</v>
      </c>
      <c r="E560">
        <v>0</v>
      </c>
      <c r="F560">
        <v>44</v>
      </c>
      <c r="G560">
        <v>1.36</v>
      </c>
      <c r="H560">
        <v>333</v>
      </c>
      <c r="I560">
        <v>30</v>
      </c>
      <c r="J560">
        <v>2</v>
      </c>
    </row>
    <row r="561" spans="1:10" x14ac:dyDescent="0.3">
      <c r="A561">
        <v>134</v>
      </c>
      <c r="B561">
        <v>1</v>
      </c>
      <c r="C561">
        <v>1</v>
      </c>
      <c r="D561">
        <v>4</v>
      </c>
      <c r="E561">
        <v>1</v>
      </c>
      <c r="F561">
        <v>120</v>
      </c>
      <c r="G561">
        <v>3.51</v>
      </c>
      <c r="H561">
        <v>257</v>
      </c>
      <c r="I561">
        <v>1</v>
      </c>
      <c r="J561">
        <v>2</v>
      </c>
    </row>
    <row r="562" spans="1:10" x14ac:dyDescent="0.3">
      <c r="A562">
        <v>60</v>
      </c>
      <c r="B562">
        <v>1</v>
      </c>
      <c r="C562">
        <v>1</v>
      </c>
      <c r="D562">
        <v>2</v>
      </c>
      <c r="E562">
        <v>1</v>
      </c>
      <c r="F562">
        <v>43</v>
      </c>
      <c r="G562">
        <v>1.28</v>
      </c>
      <c r="H562">
        <v>268</v>
      </c>
      <c r="I562">
        <v>30</v>
      </c>
      <c r="J562">
        <v>2</v>
      </c>
    </row>
    <row r="563" spans="1:10" x14ac:dyDescent="0.3">
      <c r="A563">
        <v>110</v>
      </c>
      <c r="B563">
        <v>1</v>
      </c>
      <c r="C563">
        <v>1.5</v>
      </c>
      <c r="D563">
        <v>2</v>
      </c>
      <c r="E563">
        <v>0</v>
      </c>
      <c r="F563">
        <v>21</v>
      </c>
      <c r="G563">
        <v>0.63</v>
      </c>
      <c r="H563">
        <v>365</v>
      </c>
      <c r="I563">
        <v>30</v>
      </c>
      <c r="J563">
        <v>3</v>
      </c>
    </row>
    <row r="564" spans="1:10" x14ac:dyDescent="0.3">
      <c r="A564">
        <v>159</v>
      </c>
      <c r="B564">
        <v>2</v>
      </c>
      <c r="C564">
        <v>1</v>
      </c>
      <c r="D564">
        <v>2</v>
      </c>
      <c r="E564">
        <v>0</v>
      </c>
      <c r="F564">
        <v>8</v>
      </c>
      <c r="G564">
        <v>0.25</v>
      </c>
      <c r="H564">
        <v>251</v>
      </c>
      <c r="I564">
        <v>30</v>
      </c>
      <c r="J564">
        <v>2</v>
      </c>
    </row>
    <row r="565" spans="1:10" x14ac:dyDescent="0.3">
      <c r="A565">
        <v>114</v>
      </c>
      <c r="B565">
        <v>1</v>
      </c>
      <c r="C565">
        <v>1</v>
      </c>
      <c r="D565">
        <v>2</v>
      </c>
      <c r="E565">
        <v>0</v>
      </c>
      <c r="F565">
        <v>4</v>
      </c>
      <c r="G565">
        <v>0.19</v>
      </c>
      <c r="H565">
        <v>272</v>
      </c>
      <c r="I565">
        <v>30</v>
      </c>
      <c r="J565">
        <v>2</v>
      </c>
    </row>
    <row r="566" spans="1:10" x14ac:dyDescent="0.3">
      <c r="A566">
        <v>159</v>
      </c>
      <c r="B566">
        <v>2</v>
      </c>
      <c r="C566">
        <v>1</v>
      </c>
      <c r="D566">
        <v>0</v>
      </c>
      <c r="E566">
        <v>0</v>
      </c>
      <c r="F566">
        <v>64</v>
      </c>
      <c r="G566">
        <v>1.87</v>
      </c>
      <c r="H566">
        <v>268</v>
      </c>
      <c r="I566">
        <v>30</v>
      </c>
      <c r="J566">
        <v>4</v>
      </c>
    </row>
    <row r="567" spans="1:10" x14ac:dyDescent="0.3">
      <c r="A567">
        <v>90</v>
      </c>
      <c r="B567">
        <v>1</v>
      </c>
      <c r="C567">
        <v>2</v>
      </c>
      <c r="D567">
        <v>2</v>
      </c>
      <c r="E567">
        <v>1</v>
      </c>
      <c r="F567">
        <v>49</v>
      </c>
      <c r="G567">
        <v>2.06</v>
      </c>
      <c r="H567">
        <v>349</v>
      </c>
      <c r="I567">
        <v>2</v>
      </c>
      <c r="J567">
        <v>1</v>
      </c>
    </row>
    <row r="568" spans="1:10" x14ac:dyDescent="0.3">
      <c r="A568">
        <v>71</v>
      </c>
      <c r="B568">
        <v>2</v>
      </c>
      <c r="C568">
        <v>1</v>
      </c>
      <c r="D568">
        <v>0</v>
      </c>
      <c r="E568">
        <v>0</v>
      </c>
      <c r="F568">
        <v>15</v>
      </c>
      <c r="G568">
        <v>0.6</v>
      </c>
      <c r="H568">
        <v>243</v>
      </c>
      <c r="I568">
        <v>30</v>
      </c>
      <c r="J568">
        <v>2</v>
      </c>
    </row>
    <row r="569" spans="1:10" x14ac:dyDescent="0.3">
      <c r="A569">
        <v>68</v>
      </c>
      <c r="B569">
        <v>1</v>
      </c>
      <c r="C569">
        <v>2</v>
      </c>
      <c r="D569">
        <v>0</v>
      </c>
      <c r="E569">
        <v>1</v>
      </c>
      <c r="F569">
        <v>1</v>
      </c>
      <c r="G569">
        <v>0.71</v>
      </c>
      <c r="H569">
        <v>365</v>
      </c>
      <c r="I569">
        <v>30</v>
      </c>
      <c r="J569">
        <v>1</v>
      </c>
    </row>
    <row r="570" spans="1:10" x14ac:dyDescent="0.3">
      <c r="A570">
        <v>102</v>
      </c>
      <c r="B570">
        <v>1</v>
      </c>
      <c r="C570">
        <v>1</v>
      </c>
      <c r="D570">
        <v>2</v>
      </c>
      <c r="E570">
        <v>0</v>
      </c>
      <c r="F570">
        <v>11</v>
      </c>
      <c r="G570">
        <v>0.35</v>
      </c>
      <c r="H570">
        <v>294</v>
      </c>
      <c r="I570">
        <v>30</v>
      </c>
      <c r="J570">
        <v>2</v>
      </c>
    </row>
    <row r="571" spans="1:10" x14ac:dyDescent="0.3">
      <c r="A571">
        <v>59</v>
      </c>
      <c r="B571">
        <v>1</v>
      </c>
      <c r="C571">
        <v>1</v>
      </c>
      <c r="D571">
        <v>0</v>
      </c>
      <c r="E571">
        <v>1</v>
      </c>
      <c r="F571">
        <v>9</v>
      </c>
      <c r="G571">
        <v>0.3</v>
      </c>
      <c r="H571">
        <v>30</v>
      </c>
      <c r="I571">
        <v>30</v>
      </c>
      <c r="J571">
        <v>1</v>
      </c>
    </row>
    <row r="572" spans="1:10" x14ac:dyDescent="0.3">
      <c r="A572">
        <v>207</v>
      </c>
      <c r="B572">
        <v>2</v>
      </c>
      <c r="C572">
        <v>1</v>
      </c>
      <c r="D572">
        <v>4</v>
      </c>
      <c r="E572">
        <v>1</v>
      </c>
      <c r="F572">
        <v>87</v>
      </c>
      <c r="G572">
        <v>2.56</v>
      </c>
      <c r="H572">
        <v>224</v>
      </c>
      <c r="I572">
        <v>1</v>
      </c>
      <c r="J572">
        <v>4</v>
      </c>
    </row>
    <row r="573" spans="1:10" x14ac:dyDescent="0.3">
      <c r="A573">
        <v>83</v>
      </c>
      <c r="B573">
        <v>1</v>
      </c>
      <c r="C573">
        <v>1</v>
      </c>
      <c r="D573">
        <v>2</v>
      </c>
      <c r="E573">
        <v>1</v>
      </c>
      <c r="F573">
        <v>61</v>
      </c>
      <c r="G573">
        <v>1.79</v>
      </c>
      <c r="H573">
        <v>333</v>
      </c>
      <c r="I573">
        <v>30</v>
      </c>
      <c r="J573">
        <v>1</v>
      </c>
    </row>
    <row r="574" spans="1:10" x14ac:dyDescent="0.3">
      <c r="A574">
        <v>184</v>
      </c>
      <c r="B574">
        <v>1</v>
      </c>
      <c r="C574">
        <v>1</v>
      </c>
      <c r="D574">
        <v>2</v>
      </c>
      <c r="E574">
        <v>1</v>
      </c>
      <c r="F574">
        <v>65</v>
      </c>
      <c r="G574">
        <v>2.91</v>
      </c>
      <c r="H574">
        <v>128</v>
      </c>
      <c r="I574">
        <v>2</v>
      </c>
      <c r="J574">
        <v>2</v>
      </c>
    </row>
    <row r="575" spans="1:10" x14ac:dyDescent="0.3">
      <c r="A575">
        <v>112</v>
      </c>
      <c r="B575">
        <v>3</v>
      </c>
      <c r="C575">
        <v>1</v>
      </c>
      <c r="D575">
        <v>0</v>
      </c>
      <c r="E575">
        <v>0</v>
      </c>
      <c r="F575">
        <v>30</v>
      </c>
      <c r="G575">
        <v>0.9</v>
      </c>
      <c r="H575">
        <v>336</v>
      </c>
      <c r="I575">
        <v>30</v>
      </c>
      <c r="J575">
        <v>8</v>
      </c>
    </row>
    <row r="576" spans="1:10" x14ac:dyDescent="0.3">
      <c r="A576">
        <v>98</v>
      </c>
      <c r="B576">
        <v>3</v>
      </c>
      <c r="C576">
        <v>1</v>
      </c>
      <c r="D576">
        <v>0</v>
      </c>
      <c r="E576">
        <v>1</v>
      </c>
      <c r="F576">
        <v>113</v>
      </c>
      <c r="G576">
        <v>3.37</v>
      </c>
      <c r="H576">
        <v>137</v>
      </c>
      <c r="I576">
        <v>2</v>
      </c>
      <c r="J576">
        <v>2</v>
      </c>
    </row>
    <row r="577" spans="1:10" x14ac:dyDescent="0.3">
      <c r="A577">
        <v>207</v>
      </c>
      <c r="B577">
        <v>2</v>
      </c>
      <c r="C577">
        <v>1</v>
      </c>
      <c r="D577">
        <v>4</v>
      </c>
      <c r="E577">
        <v>1</v>
      </c>
      <c r="F577">
        <v>13</v>
      </c>
      <c r="G577">
        <v>0.54</v>
      </c>
      <c r="H577">
        <v>257</v>
      </c>
      <c r="I577">
        <v>1</v>
      </c>
      <c r="J577">
        <v>2</v>
      </c>
    </row>
    <row r="578" spans="1:10" x14ac:dyDescent="0.3">
      <c r="A578">
        <v>155</v>
      </c>
      <c r="B578">
        <v>3</v>
      </c>
      <c r="C578">
        <v>1</v>
      </c>
      <c r="D578">
        <v>4</v>
      </c>
      <c r="E578">
        <v>0</v>
      </c>
      <c r="F578">
        <v>3</v>
      </c>
      <c r="G578">
        <v>0.1</v>
      </c>
      <c r="H578">
        <v>273</v>
      </c>
      <c r="I578">
        <v>30</v>
      </c>
      <c r="J578">
        <v>4</v>
      </c>
    </row>
    <row r="579" spans="1:10" x14ac:dyDescent="0.3">
      <c r="A579">
        <v>170</v>
      </c>
      <c r="B579">
        <v>1</v>
      </c>
      <c r="C579">
        <v>2</v>
      </c>
      <c r="D579">
        <v>2</v>
      </c>
      <c r="E579">
        <v>1</v>
      </c>
      <c r="F579">
        <v>31</v>
      </c>
      <c r="G579">
        <v>0.95</v>
      </c>
      <c r="H579">
        <v>78</v>
      </c>
      <c r="I579">
        <v>30</v>
      </c>
      <c r="J579">
        <v>1</v>
      </c>
    </row>
    <row r="580" spans="1:10" x14ac:dyDescent="0.3">
      <c r="A580">
        <v>240</v>
      </c>
      <c r="B580">
        <v>3</v>
      </c>
      <c r="C580">
        <v>2</v>
      </c>
      <c r="D580">
        <v>2</v>
      </c>
      <c r="E580">
        <v>0</v>
      </c>
      <c r="F580">
        <v>8</v>
      </c>
      <c r="G580">
        <v>0.25</v>
      </c>
      <c r="H580">
        <v>334</v>
      </c>
      <c r="I580">
        <v>30</v>
      </c>
      <c r="J580">
        <v>5</v>
      </c>
    </row>
    <row r="581" spans="1:10" x14ac:dyDescent="0.3">
      <c r="A581">
        <v>75</v>
      </c>
      <c r="B581">
        <v>2</v>
      </c>
      <c r="C581">
        <v>1</v>
      </c>
      <c r="D581">
        <v>0</v>
      </c>
      <c r="E581">
        <v>0</v>
      </c>
      <c r="F581">
        <v>10</v>
      </c>
      <c r="G581">
        <v>0.32</v>
      </c>
      <c r="H581">
        <v>334</v>
      </c>
      <c r="I581">
        <v>30</v>
      </c>
      <c r="J581">
        <v>2</v>
      </c>
    </row>
    <row r="582" spans="1:10" x14ac:dyDescent="0.3">
      <c r="A582">
        <v>420</v>
      </c>
      <c r="B582">
        <v>2</v>
      </c>
      <c r="C582">
        <v>2.5</v>
      </c>
      <c r="D582">
        <v>2</v>
      </c>
      <c r="E582">
        <v>0</v>
      </c>
      <c r="F582">
        <v>6</v>
      </c>
      <c r="G582">
        <v>0.24</v>
      </c>
      <c r="H582">
        <v>91</v>
      </c>
      <c r="I582">
        <v>30</v>
      </c>
      <c r="J582">
        <v>4</v>
      </c>
    </row>
    <row r="583" spans="1:10" x14ac:dyDescent="0.3">
      <c r="A583">
        <v>173</v>
      </c>
      <c r="B583">
        <v>2</v>
      </c>
      <c r="C583">
        <v>1</v>
      </c>
      <c r="D583">
        <v>2</v>
      </c>
      <c r="E583">
        <v>0</v>
      </c>
      <c r="F583">
        <v>141</v>
      </c>
      <c r="G583">
        <v>4.26</v>
      </c>
      <c r="H583">
        <v>332</v>
      </c>
      <c r="I583">
        <v>2</v>
      </c>
      <c r="J583">
        <v>2</v>
      </c>
    </row>
    <row r="584" spans="1:10" x14ac:dyDescent="0.3">
      <c r="A584">
        <v>85</v>
      </c>
      <c r="B584">
        <v>1</v>
      </c>
      <c r="C584">
        <v>1</v>
      </c>
      <c r="D584">
        <v>0</v>
      </c>
      <c r="E584">
        <v>0</v>
      </c>
      <c r="F584">
        <v>11</v>
      </c>
      <c r="G584">
        <v>0.34</v>
      </c>
      <c r="H584">
        <v>81</v>
      </c>
      <c r="I584">
        <v>30</v>
      </c>
      <c r="J584">
        <v>2</v>
      </c>
    </row>
    <row r="585" spans="1:10" x14ac:dyDescent="0.3">
      <c r="A585">
        <v>403</v>
      </c>
      <c r="B585">
        <v>2</v>
      </c>
      <c r="C585">
        <v>2</v>
      </c>
      <c r="D585">
        <v>2</v>
      </c>
      <c r="E585">
        <v>0</v>
      </c>
      <c r="F585">
        <v>4</v>
      </c>
      <c r="G585">
        <v>0.13</v>
      </c>
      <c r="H585">
        <v>337</v>
      </c>
      <c r="I585">
        <v>30</v>
      </c>
      <c r="J585">
        <v>5</v>
      </c>
    </row>
    <row r="586" spans="1:10" x14ac:dyDescent="0.3">
      <c r="A586">
        <v>87</v>
      </c>
      <c r="B586">
        <v>1</v>
      </c>
      <c r="C586">
        <v>1.5</v>
      </c>
      <c r="D586">
        <v>0</v>
      </c>
      <c r="E586">
        <v>1</v>
      </c>
      <c r="F586">
        <v>14</v>
      </c>
      <c r="G586">
        <v>1.48</v>
      </c>
      <c r="H586">
        <v>304</v>
      </c>
      <c r="I586">
        <v>3</v>
      </c>
      <c r="J586">
        <v>2</v>
      </c>
    </row>
    <row r="587" spans="1:10" x14ac:dyDescent="0.3">
      <c r="A587">
        <v>210</v>
      </c>
      <c r="B587">
        <v>2</v>
      </c>
      <c r="C587">
        <v>1</v>
      </c>
      <c r="D587">
        <v>2</v>
      </c>
      <c r="E587">
        <v>0</v>
      </c>
      <c r="F587">
        <v>10</v>
      </c>
      <c r="G587">
        <v>0.33</v>
      </c>
      <c r="H587">
        <v>304</v>
      </c>
      <c r="I587">
        <v>30</v>
      </c>
      <c r="J587">
        <v>4</v>
      </c>
    </row>
    <row r="588" spans="1:10" x14ac:dyDescent="0.3">
      <c r="A588">
        <v>149</v>
      </c>
      <c r="B588">
        <v>1</v>
      </c>
      <c r="C588">
        <v>1</v>
      </c>
      <c r="D588">
        <v>2</v>
      </c>
      <c r="E588">
        <v>1</v>
      </c>
      <c r="F588">
        <v>12</v>
      </c>
      <c r="G588">
        <v>0.41</v>
      </c>
      <c r="H588">
        <v>139</v>
      </c>
      <c r="I588">
        <v>30</v>
      </c>
      <c r="J588">
        <v>2</v>
      </c>
    </row>
    <row r="589" spans="1:10" x14ac:dyDescent="0.3">
      <c r="A589">
        <v>78</v>
      </c>
      <c r="B589">
        <v>1</v>
      </c>
      <c r="C589">
        <v>1</v>
      </c>
      <c r="D589">
        <v>2</v>
      </c>
      <c r="E589">
        <v>1</v>
      </c>
      <c r="F589">
        <v>25</v>
      </c>
      <c r="G589">
        <v>0.76</v>
      </c>
      <c r="H589">
        <v>54</v>
      </c>
      <c r="I589">
        <v>30</v>
      </c>
      <c r="J589">
        <v>2</v>
      </c>
    </row>
    <row r="590" spans="1:10" x14ac:dyDescent="0.3">
      <c r="A590">
        <v>305</v>
      </c>
      <c r="B590">
        <v>3</v>
      </c>
      <c r="C590">
        <v>2</v>
      </c>
      <c r="D590">
        <v>0</v>
      </c>
      <c r="E590">
        <v>0</v>
      </c>
      <c r="F590">
        <v>84</v>
      </c>
      <c r="G590">
        <v>2.56</v>
      </c>
      <c r="H590">
        <v>135</v>
      </c>
      <c r="I590">
        <v>2</v>
      </c>
      <c r="J590">
        <v>6</v>
      </c>
    </row>
    <row r="591" spans="1:10" x14ac:dyDescent="0.3">
      <c r="A591">
        <v>55</v>
      </c>
      <c r="B591">
        <v>1</v>
      </c>
      <c r="C591">
        <v>2</v>
      </c>
      <c r="D591">
        <v>4</v>
      </c>
      <c r="E591">
        <v>1</v>
      </c>
      <c r="F591">
        <v>53</v>
      </c>
      <c r="G591">
        <v>1.62</v>
      </c>
      <c r="H591">
        <v>356</v>
      </c>
      <c r="I591">
        <v>30</v>
      </c>
      <c r="J591">
        <v>2</v>
      </c>
    </row>
    <row r="592" spans="1:10" x14ac:dyDescent="0.3">
      <c r="A592">
        <v>60</v>
      </c>
      <c r="B592">
        <v>1</v>
      </c>
      <c r="C592">
        <v>2</v>
      </c>
      <c r="D592">
        <v>4</v>
      </c>
      <c r="E592">
        <v>1</v>
      </c>
      <c r="F592">
        <v>50</v>
      </c>
      <c r="G592">
        <v>1.53</v>
      </c>
      <c r="H592">
        <v>355</v>
      </c>
      <c r="I592">
        <v>30</v>
      </c>
      <c r="J592">
        <v>2</v>
      </c>
    </row>
    <row r="593" spans="1:10" x14ac:dyDescent="0.3">
      <c r="A593">
        <v>57</v>
      </c>
      <c r="B593">
        <v>1</v>
      </c>
      <c r="C593">
        <v>2</v>
      </c>
      <c r="D593">
        <v>4</v>
      </c>
      <c r="E593">
        <v>1</v>
      </c>
      <c r="F593">
        <v>54</v>
      </c>
      <c r="G593">
        <v>1.69</v>
      </c>
      <c r="H593">
        <v>350</v>
      </c>
      <c r="I593">
        <v>30</v>
      </c>
      <c r="J593">
        <v>2</v>
      </c>
    </row>
    <row r="594" spans="1:10" x14ac:dyDescent="0.3">
      <c r="A594">
        <v>58</v>
      </c>
      <c r="B594">
        <v>1</v>
      </c>
      <c r="C594">
        <v>1</v>
      </c>
      <c r="D594">
        <v>0</v>
      </c>
      <c r="E594">
        <v>1</v>
      </c>
      <c r="F594">
        <v>5</v>
      </c>
      <c r="G594">
        <v>0.28000000000000003</v>
      </c>
      <c r="H594">
        <v>346</v>
      </c>
      <c r="I594">
        <v>30</v>
      </c>
      <c r="J594">
        <v>1</v>
      </c>
    </row>
    <row r="595" spans="1:10" x14ac:dyDescent="0.3">
      <c r="A595">
        <v>105</v>
      </c>
      <c r="B595">
        <v>1</v>
      </c>
      <c r="C595">
        <v>1</v>
      </c>
      <c r="D595">
        <v>2</v>
      </c>
      <c r="E595">
        <v>0</v>
      </c>
      <c r="F595">
        <v>19</v>
      </c>
      <c r="G595">
        <v>0.67</v>
      </c>
      <c r="H595">
        <v>330</v>
      </c>
      <c r="I595">
        <v>30</v>
      </c>
      <c r="J595">
        <v>2</v>
      </c>
    </row>
    <row r="596" spans="1:10" x14ac:dyDescent="0.3">
      <c r="A596">
        <v>288</v>
      </c>
      <c r="B596">
        <v>2</v>
      </c>
      <c r="C596">
        <v>1</v>
      </c>
      <c r="D596">
        <v>4</v>
      </c>
      <c r="E596">
        <v>1</v>
      </c>
      <c r="F596">
        <v>23</v>
      </c>
      <c r="G596">
        <v>1.5</v>
      </c>
      <c r="H596">
        <v>161</v>
      </c>
      <c r="I596">
        <v>1</v>
      </c>
      <c r="J596">
        <v>4</v>
      </c>
    </row>
    <row r="597" spans="1:10" x14ac:dyDescent="0.3">
      <c r="A597">
        <v>269</v>
      </c>
      <c r="B597">
        <v>2</v>
      </c>
      <c r="C597">
        <v>1</v>
      </c>
      <c r="D597">
        <v>4</v>
      </c>
      <c r="E597">
        <v>0</v>
      </c>
      <c r="F597">
        <v>7</v>
      </c>
      <c r="G597">
        <v>0.22</v>
      </c>
      <c r="H597">
        <v>260</v>
      </c>
      <c r="I597">
        <v>30</v>
      </c>
      <c r="J597">
        <v>4</v>
      </c>
    </row>
    <row r="598" spans="1:10" x14ac:dyDescent="0.3">
      <c r="A598">
        <v>120</v>
      </c>
      <c r="B598">
        <v>2</v>
      </c>
      <c r="C598">
        <v>1</v>
      </c>
      <c r="D598">
        <v>2</v>
      </c>
      <c r="E598">
        <v>0</v>
      </c>
      <c r="F598">
        <v>7</v>
      </c>
      <c r="G598">
        <v>0.34</v>
      </c>
      <c r="H598">
        <v>283</v>
      </c>
      <c r="I598">
        <v>30</v>
      </c>
      <c r="J598">
        <v>4</v>
      </c>
    </row>
    <row r="599" spans="1:10" x14ac:dyDescent="0.3">
      <c r="A599">
        <v>243</v>
      </c>
      <c r="B599">
        <v>1</v>
      </c>
      <c r="C599">
        <v>1</v>
      </c>
      <c r="D599">
        <v>4</v>
      </c>
      <c r="E599">
        <v>1</v>
      </c>
      <c r="F599">
        <v>28</v>
      </c>
      <c r="G599">
        <v>0.86</v>
      </c>
      <c r="H599">
        <v>325</v>
      </c>
      <c r="I599">
        <v>1</v>
      </c>
      <c r="J599">
        <v>1</v>
      </c>
    </row>
    <row r="600" spans="1:10" x14ac:dyDescent="0.3">
      <c r="A600">
        <v>132</v>
      </c>
      <c r="B600">
        <v>1</v>
      </c>
      <c r="C600">
        <v>1</v>
      </c>
      <c r="D600">
        <v>2</v>
      </c>
      <c r="E600">
        <v>0</v>
      </c>
      <c r="F600">
        <v>8</v>
      </c>
      <c r="G600">
        <v>0.26</v>
      </c>
      <c r="H600">
        <v>295</v>
      </c>
      <c r="I600">
        <v>30</v>
      </c>
      <c r="J600">
        <v>4</v>
      </c>
    </row>
    <row r="601" spans="1:10" x14ac:dyDescent="0.3">
      <c r="A601">
        <v>188</v>
      </c>
      <c r="B601">
        <v>2</v>
      </c>
      <c r="C601">
        <v>1</v>
      </c>
      <c r="D601">
        <v>2</v>
      </c>
      <c r="E601">
        <v>0</v>
      </c>
      <c r="F601">
        <v>8</v>
      </c>
      <c r="G601">
        <v>0.27</v>
      </c>
      <c r="H601">
        <v>304</v>
      </c>
      <c r="I601">
        <v>30</v>
      </c>
      <c r="J601">
        <v>4</v>
      </c>
    </row>
    <row r="602" spans="1:10" x14ac:dyDescent="0.3">
      <c r="A602">
        <v>99</v>
      </c>
      <c r="B602">
        <v>1</v>
      </c>
      <c r="C602">
        <v>1</v>
      </c>
      <c r="D602">
        <v>4</v>
      </c>
      <c r="E602">
        <v>0</v>
      </c>
      <c r="F602">
        <v>9</v>
      </c>
      <c r="G602">
        <v>0.28999999999999998</v>
      </c>
      <c r="H602">
        <v>42</v>
      </c>
      <c r="I602">
        <v>30</v>
      </c>
      <c r="J602">
        <v>2</v>
      </c>
    </row>
    <row r="603" spans="1:10" x14ac:dyDescent="0.3">
      <c r="A603">
        <v>55</v>
      </c>
      <c r="B603">
        <v>1</v>
      </c>
      <c r="C603">
        <v>1</v>
      </c>
      <c r="D603">
        <v>2</v>
      </c>
      <c r="E603">
        <v>1</v>
      </c>
      <c r="F603">
        <v>37</v>
      </c>
      <c r="G603">
        <v>1.17</v>
      </c>
      <c r="H603">
        <v>301</v>
      </c>
      <c r="I603">
        <v>30</v>
      </c>
      <c r="J603">
        <v>1</v>
      </c>
    </row>
    <row r="604" spans="1:10" x14ac:dyDescent="0.3">
      <c r="A604">
        <v>55</v>
      </c>
      <c r="B604">
        <v>1</v>
      </c>
      <c r="C604">
        <v>1</v>
      </c>
      <c r="D604">
        <v>4</v>
      </c>
      <c r="E604">
        <v>1</v>
      </c>
      <c r="F604">
        <v>7</v>
      </c>
      <c r="G604">
        <v>0.22</v>
      </c>
      <c r="H604">
        <v>251</v>
      </c>
      <c r="I604">
        <v>30</v>
      </c>
      <c r="J604">
        <v>2</v>
      </c>
    </row>
    <row r="605" spans="1:10" x14ac:dyDescent="0.3">
      <c r="A605">
        <v>115</v>
      </c>
      <c r="B605">
        <v>4</v>
      </c>
      <c r="C605">
        <v>1</v>
      </c>
      <c r="D605">
        <v>0</v>
      </c>
      <c r="E605">
        <v>0</v>
      </c>
      <c r="F605">
        <v>2</v>
      </c>
      <c r="G605">
        <v>0.41</v>
      </c>
      <c r="H605">
        <v>59</v>
      </c>
      <c r="I605">
        <v>30</v>
      </c>
      <c r="J605">
        <v>3</v>
      </c>
    </row>
    <row r="606" spans="1:10" x14ac:dyDescent="0.3">
      <c r="A606">
        <v>150</v>
      </c>
      <c r="B606">
        <v>2</v>
      </c>
      <c r="C606">
        <v>1</v>
      </c>
      <c r="D606">
        <v>2</v>
      </c>
      <c r="E606">
        <v>0</v>
      </c>
      <c r="F606">
        <v>3</v>
      </c>
      <c r="G606">
        <v>0.1</v>
      </c>
      <c r="H606">
        <v>118</v>
      </c>
      <c r="I606">
        <v>30</v>
      </c>
      <c r="J606">
        <v>2</v>
      </c>
    </row>
    <row r="607" spans="1:10" x14ac:dyDescent="0.3">
      <c r="A607">
        <v>194</v>
      </c>
      <c r="B607">
        <v>1</v>
      </c>
      <c r="C607">
        <v>1</v>
      </c>
      <c r="D607">
        <v>4</v>
      </c>
      <c r="E607">
        <v>0</v>
      </c>
      <c r="F607">
        <v>67</v>
      </c>
      <c r="G607">
        <v>2.27</v>
      </c>
      <c r="H607">
        <v>185</v>
      </c>
      <c r="I607">
        <v>30</v>
      </c>
      <c r="J607">
        <v>2</v>
      </c>
    </row>
    <row r="608" spans="1:10" x14ac:dyDescent="0.3">
      <c r="A608">
        <v>101</v>
      </c>
      <c r="B608">
        <v>1</v>
      </c>
      <c r="C608">
        <v>1</v>
      </c>
      <c r="D608">
        <v>2</v>
      </c>
      <c r="E608">
        <v>0</v>
      </c>
      <c r="F608">
        <v>15</v>
      </c>
      <c r="G608">
        <v>0.49</v>
      </c>
      <c r="H608">
        <v>334</v>
      </c>
      <c r="I608">
        <v>30</v>
      </c>
      <c r="J608">
        <v>2</v>
      </c>
    </row>
    <row r="609" spans="1:10" x14ac:dyDescent="0.3">
      <c r="A609">
        <v>260</v>
      </c>
      <c r="B609">
        <v>1</v>
      </c>
      <c r="C609">
        <v>1</v>
      </c>
      <c r="D609">
        <v>2</v>
      </c>
      <c r="E609">
        <v>0</v>
      </c>
      <c r="F609">
        <v>3</v>
      </c>
      <c r="G609">
        <v>0.52</v>
      </c>
      <c r="H609">
        <v>52</v>
      </c>
      <c r="I609">
        <v>30</v>
      </c>
      <c r="J609">
        <v>2</v>
      </c>
    </row>
    <row r="610" spans="1:10" x14ac:dyDescent="0.3">
      <c r="A610">
        <v>233</v>
      </c>
      <c r="B610">
        <v>2</v>
      </c>
      <c r="C610">
        <v>1</v>
      </c>
      <c r="D610">
        <v>2</v>
      </c>
      <c r="E610">
        <v>0</v>
      </c>
      <c r="F610">
        <v>8</v>
      </c>
      <c r="G610">
        <v>0.37</v>
      </c>
      <c r="H610">
        <v>172</v>
      </c>
      <c r="I610">
        <v>30</v>
      </c>
      <c r="J610">
        <v>4</v>
      </c>
    </row>
    <row r="611" spans="1:10" x14ac:dyDescent="0.3">
      <c r="A611">
        <v>88</v>
      </c>
      <c r="B611">
        <v>1</v>
      </c>
      <c r="C611">
        <v>1</v>
      </c>
      <c r="D611">
        <v>2</v>
      </c>
      <c r="E611">
        <v>0</v>
      </c>
      <c r="F611">
        <v>23</v>
      </c>
      <c r="G611">
        <v>0.74</v>
      </c>
      <c r="H611">
        <v>96</v>
      </c>
      <c r="I611">
        <v>30</v>
      </c>
      <c r="J611">
        <v>2</v>
      </c>
    </row>
    <row r="612" spans="1:10" x14ac:dyDescent="0.3">
      <c r="A612">
        <v>140</v>
      </c>
      <c r="B612">
        <v>1</v>
      </c>
      <c r="C612">
        <v>1</v>
      </c>
      <c r="D612">
        <v>4</v>
      </c>
      <c r="E612">
        <v>0</v>
      </c>
      <c r="F612">
        <v>5</v>
      </c>
      <c r="G612">
        <v>0.2</v>
      </c>
      <c r="H612">
        <v>336</v>
      </c>
      <c r="I612">
        <v>30</v>
      </c>
      <c r="J612">
        <v>2</v>
      </c>
    </row>
    <row r="613" spans="1:10" x14ac:dyDescent="0.3">
      <c r="A613">
        <v>116</v>
      </c>
      <c r="B613">
        <v>1</v>
      </c>
      <c r="C613">
        <v>1</v>
      </c>
      <c r="D613">
        <v>2</v>
      </c>
      <c r="E613">
        <v>0</v>
      </c>
      <c r="F613">
        <v>35</v>
      </c>
      <c r="G613">
        <v>1.1200000000000001</v>
      </c>
      <c r="H613">
        <v>109</v>
      </c>
      <c r="I613">
        <v>30</v>
      </c>
      <c r="J613">
        <v>2</v>
      </c>
    </row>
    <row r="614" spans="1:10" x14ac:dyDescent="0.3">
      <c r="A614">
        <v>69</v>
      </c>
      <c r="B614">
        <v>1</v>
      </c>
      <c r="C614">
        <v>1</v>
      </c>
      <c r="D614">
        <v>0</v>
      </c>
      <c r="E614">
        <v>1</v>
      </c>
      <c r="F614">
        <v>9</v>
      </c>
      <c r="G614">
        <v>0.31</v>
      </c>
      <c r="H614">
        <v>362</v>
      </c>
      <c r="I614">
        <v>30</v>
      </c>
      <c r="J614">
        <v>1</v>
      </c>
    </row>
    <row r="615" spans="1:10" x14ac:dyDescent="0.3">
      <c r="A615">
        <v>99</v>
      </c>
      <c r="B615">
        <v>1</v>
      </c>
      <c r="C615">
        <v>1</v>
      </c>
      <c r="D615">
        <v>2</v>
      </c>
      <c r="E615">
        <v>1</v>
      </c>
      <c r="F615">
        <v>62</v>
      </c>
      <c r="G615">
        <v>2</v>
      </c>
      <c r="H615">
        <v>285</v>
      </c>
      <c r="I615">
        <v>1</v>
      </c>
      <c r="J615">
        <v>2</v>
      </c>
    </row>
    <row r="616" spans="1:10" x14ac:dyDescent="0.3">
      <c r="A616">
        <v>71</v>
      </c>
      <c r="B616">
        <v>1</v>
      </c>
      <c r="C616">
        <v>1</v>
      </c>
      <c r="D616">
        <v>0</v>
      </c>
      <c r="E616">
        <v>1</v>
      </c>
      <c r="F616">
        <v>80</v>
      </c>
      <c r="G616">
        <v>2.56</v>
      </c>
      <c r="H616">
        <v>96</v>
      </c>
      <c r="I616">
        <v>3</v>
      </c>
      <c r="J616">
        <v>1</v>
      </c>
    </row>
    <row r="617" spans="1:10" x14ac:dyDescent="0.3">
      <c r="A617">
        <v>143</v>
      </c>
      <c r="B617">
        <v>1</v>
      </c>
      <c r="C617">
        <v>1</v>
      </c>
      <c r="D617">
        <v>4</v>
      </c>
      <c r="E617">
        <v>1</v>
      </c>
      <c r="F617">
        <v>30</v>
      </c>
      <c r="G617">
        <v>0.98</v>
      </c>
      <c r="H617">
        <v>257</v>
      </c>
      <c r="I617">
        <v>1</v>
      </c>
      <c r="J617">
        <v>2</v>
      </c>
    </row>
    <row r="618" spans="1:10" x14ac:dyDescent="0.3">
      <c r="A618">
        <v>84</v>
      </c>
      <c r="B618">
        <v>2</v>
      </c>
      <c r="C618">
        <v>1</v>
      </c>
      <c r="D618">
        <v>0</v>
      </c>
      <c r="E618">
        <v>0</v>
      </c>
      <c r="F618">
        <v>17</v>
      </c>
      <c r="G618">
        <v>0.55000000000000004</v>
      </c>
      <c r="H618">
        <v>141</v>
      </c>
      <c r="I618">
        <v>30</v>
      </c>
      <c r="J618">
        <v>2</v>
      </c>
    </row>
    <row r="619" spans="1:10" x14ac:dyDescent="0.3">
      <c r="A619">
        <v>141</v>
      </c>
      <c r="B619">
        <v>2</v>
      </c>
      <c r="C619">
        <v>1</v>
      </c>
      <c r="D619">
        <v>4</v>
      </c>
      <c r="E619">
        <v>0</v>
      </c>
      <c r="F619">
        <v>6</v>
      </c>
      <c r="G619">
        <v>0.24</v>
      </c>
      <c r="H619">
        <v>269</v>
      </c>
      <c r="I619">
        <v>30</v>
      </c>
      <c r="J619">
        <v>4</v>
      </c>
    </row>
    <row r="620" spans="1:10" x14ac:dyDescent="0.3">
      <c r="A620">
        <v>106</v>
      </c>
      <c r="B620">
        <v>1</v>
      </c>
      <c r="C620">
        <v>1</v>
      </c>
      <c r="D620">
        <v>4</v>
      </c>
      <c r="E620">
        <v>0</v>
      </c>
      <c r="F620">
        <v>8</v>
      </c>
      <c r="G620">
        <v>0.3</v>
      </c>
      <c r="H620">
        <v>327</v>
      </c>
      <c r="I620">
        <v>30</v>
      </c>
      <c r="J620">
        <v>2</v>
      </c>
    </row>
    <row r="621" spans="1:10" x14ac:dyDescent="0.3">
      <c r="A621">
        <v>323</v>
      </c>
      <c r="B621">
        <v>4</v>
      </c>
      <c r="C621">
        <v>1</v>
      </c>
      <c r="D621">
        <v>4</v>
      </c>
      <c r="E621">
        <v>0</v>
      </c>
      <c r="F621">
        <v>97</v>
      </c>
      <c r="G621">
        <v>3.23</v>
      </c>
      <c r="H621">
        <v>239</v>
      </c>
      <c r="I621">
        <v>1</v>
      </c>
      <c r="J621">
        <v>8</v>
      </c>
    </row>
    <row r="622" spans="1:10" x14ac:dyDescent="0.3">
      <c r="A622">
        <v>100</v>
      </c>
      <c r="B622">
        <v>2</v>
      </c>
      <c r="C622">
        <v>1</v>
      </c>
      <c r="D622">
        <v>4</v>
      </c>
      <c r="E622">
        <v>0</v>
      </c>
      <c r="F622">
        <v>7</v>
      </c>
      <c r="G622">
        <v>0.24</v>
      </c>
      <c r="H622">
        <v>328</v>
      </c>
      <c r="I622">
        <v>30</v>
      </c>
      <c r="J622">
        <v>2</v>
      </c>
    </row>
    <row r="623" spans="1:10" x14ac:dyDescent="0.3">
      <c r="A623">
        <v>342</v>
      </c>
      <c r="B623">
        <v>1</v>
      </c>
      <c r="C623">
        <v>1</v>
      </c>
      <c r="D623">
        <v>4</v>
      </c>
      <c r="E623">
        <v>0</v>
      </c>
      <c r="F623">
        <v>7</v>
      </c>
      <c r="G623">
        <v>0.24</v>
      </c>
      <c r="H623">
        <v>98</v>
      </c>
      <c r="I623">
        <v>30</v>
      </c>
      <c r="J623">
        <v>3</v>
      </c>
    </row>
    <row r="624" spans="1:10" x14ac:dyDescent="0.3">
      <c r="A624">
        <v>262</v>
      </c>
      <c r="B624">
        <v>1</v>
      </c>
      <c r="C624">
        <v>2</v>
      </c>
      <c r="D624">
        <v>4</v>
      </c>
      <c r="E624">
        <v>0</v>
      </c>
      <c r="F624">
        <v>8</v>
      </c>
      <c r="G624">
        <v>0.3</v>
      </c>
      <c r="H624">
        <v>267</v>
      </c>
      <c r="I624">
        <v>30</v>
      </c>
      <c r="J624">
        <v>3</v>
      </c>
    </row>
    <row r="625" spans="1:10" x14ac:dyDescent="0.3">
      <c r="A625">
        <v>268</v>
      </c>
      <c r="B625">
        <v>2</v>
      </c>
      <c r="C625">
        <v>2.5</v>
      </c>
      <c r="D625">
        <v>2</v>
      </c>
      <c r="E625">
        <v>0</v>
      </c>
      <c r="F625">
        <v>7</v>
      </c>
      <c r="G625">
        <v>0.33</v>
      </c>
      <c r="H625">
        <v>284</v>
      </c>
      <c r="I625">
        <v>30</v>
      </c>
      <c r="J625">
        <v>4</v>
      </c>
    </row>
    <row r="626" spans="1:10" x14ac:dyDescent="0.3">
      <c r="A626">
        <v>61</v>
      </c>
      <c r="B626">
        <v>1</v>
      </c>
      <c r="C626">
        <v>1</v>
      </c>
      <c r="D626">
        <v>2</v>
      </c>
      <c r="E626">
        <v>1</v>
      </c>
      <c r="F626">
        <v>3</v>
      </c>
      <c r="G626">
        <v>0.43</v>
      </c>
      <c r="H626">
        <v>142</v>
      </c>
      <c r="I626">
        <v>30</v>
      </c>
      <c r="J626">
        <v>1</v>
      </c>
    </row>
    <row r="627" spans="1:10" x14ac:dyDescent="0.3">
      <c r="A627">
        <v>275</v>
      </c>
      <c r="B627">
        <v>2</v>
      </c>
      <c r="C627">
        <v>2</v>
      </c>
      <c r="D627">
        <v>0</v>
      </c>
      <c r="E627">
        <v>0</v>
      </c>
      <c r="F627">
        <v>63</v>
      </c>
      <c r="G627">
        <v>2.15</v>
      </c>
      <c r="H627">
        <v>279</v>
      </c>
      <c r="I627">
        <v>30</v>
      </c>
      <c r="J627">
        <v>4</v>
      </c>
    </row>
    <row r="628" spans="1:10" x14ac:dyDescent="0.3">
      <c r="A628">
        <v>120</v>
      </c>
      <c r="B628">
        <v>1</v>
      </c>
      <c r="C628">
        <v>1</v>
      </c>
      <c r="D628">
        <v>2</v>
      </c>
      <c r="E628">
        <v>0</v>
      </c>
      <c r="F628">
        <v>11</v>
      </c>
      <c r="G628">
        <v>0.42</v>
      </c>
      <c r="H628">
        <v>220</v>
      </c>
      <c r="I628">
        <v>30</v>
      </c>
      <c r="J628">
        <v>3</v>
      </c>
    </row>
    <row r="629" spans="1:10" x14ac:dyDescent="0.3">
      <c r="A629">
        <v>58</v>
      </c>
      <c r="B629">
        <v>1</v>
      </c>
      <c r="C629">
        <v>1.5</v>
      </c>
      <c r="D629">
        <v>2</v>
      </c>
      <c r="E629">
        <v>1</v>
      </c>
      <c r="F629">
        <v>5</v>
      </c>
      <c r="G629">
        <v>0.18</v>
      </c>
      <c r="H629">
        <v>306</v>
      </c>
      <c r="I629">
        <v>30</v>
      </c>
      <c r="J629">
        <v>2</v>
      </c>
    </row>
    <row r="630" spans="1:10" x14ac:dyDescent="0.3">
      <c r="A630">
        <v>286</v>
      </c>
      <c r="B630">
        <v>2</v>
      </c>
      <c r="C630">
        <v>1</v>
      </c>
      <c r="D630">
        <v>0</v>
      </c>
      <c r="E630">
        <v>0</v>
      </c>
      <c r="F630">
        <v>32</v>
      </c>
      <c r="G630">
        <v>1.05</v>
      </c>
      <c r="H630">
        <v>360</v>
      </c>
      <c r="I630">
        <v>30</v>
      </c>
      <c r="J630">
        <v>4</v>
      </c>
    </row>
    <row r="631" spans="1:10" x14ac:dyDescent="0.3">
      <c r="A631">
        <v>120</v>
      </c>
      <c r="B631">
        <v>3</v>
      </c>
      <c r="C631">
        <v>1</v>
      </c>
      <c r="D631">
        <v>2</v>
      </c>
      <c r="E631">
        <v>0</v>
      </c>
      <c r="F631">
        <v>58</v>
      </c>
      <c r="G631">
        <v>2.0099999999999998</v>
      </c>
      <c r="H631">
        <v>32</v>
      </c>
      <c r="I631">
        <v>30</v>
      </c>
      <c r="J631">
        <v>3</v>
      </c>
    </row>
    <row r="632" spans="1:10" x14ac:dyDescent="0.3">
      <c r="A632">
        <v>222</v>
      </c>
      <c r="B632">
        <v>2</v>
      </c>
      <c r="C632">
        <v>1</v>
      </c>
      <c r="D632">
        <v>0</v>
      </c>
      <c r="E632">
        <v>0</v>
      </c>
      <c r="F632">
        <v>21</v>
      </c>
      <c r="G632">
        <v>0.7</v>
      </c>
      <c r="H632">
        <v>147</v>
      </c>
      <c r="I632">
        <v>30</v>
      </c>
      <c r="J632">
        <v>4</v>
      </c>
    </row>
    <row r="633" spans="1:10" x14ac:dyDescent="0.3">
      <c r="A633">
        <v>171</v>
      </c>
      <c r="B633">
        <v>1</v>
      </c>
      <c r="C633">
        <v>1</v>
      </c>
      <c r="D633">
        <v>4</v>
      </c>
      <c r="E633">
        <v>0</v>
      </c>
      <c r="F633">
        <v>41</v>
      </c>
      <c r="G633">
        <v>1.41</v>
      </c>
      <c r="H633">
        <v>197</v>
      </c>
      <c r="I633">
        <v>30</v>
      </c>
      <c r="J633">
        <v>2</v>
      </c>
    </row>
    <row r="634" spans="1:10" x14ac:dyDescent="0.3">
      <c r="A634">
        <v>97</v>
      </c>
      <c r="B634">
        <v>1</v>
      </c>
      <c r="C634">
        <v>1</v>
      </c>
      <c r="D634">
        <v>0</v>
      </c>
      <c r="E634">
        <v>1</v>
      </c>
      <c r="F634">
        <v>44</v>
      </c>
      <c r="G634">
        <v>1.51</v>
      </c>
      <c r="H634">
        <v>156</v>
      </c>
      <c r="I634">
        <v>3</v>
      </c>
      <c r="J634">
        <v>1</v>
      </c>
    </row>
    <row r="635" spans="1:10" x14ac:dyDescent="0.3">
      <c r="A635">
        <v>159</v>
      </c>
      <c r="B635">
        <v>1</v>
      </c>
      <c r="C635">
        <v>1</v>
      </c>
      <c r="D635">
        <v>4</v>
      </c>
      <c r="E635">
        <v>0</v>
      </c>
      <c r="F635">
        <v>7</v>
      </c>
      <c r="G635">
        <v>0.26</v>
      </c>
      <c r="H635">
        <v>281</v>
      </c>
      <c r="I635">
        <v>30</v>
      </c>
      <c r="J635">
        <v>2</v>
      </c>
    </row>
    <row r="636" spans="1:10" x14ac:dyDescent="0.3">
      <c r="A636">
        <v>79</v>
      </c>
      <c r="B636">
        <v>2</v>
      </c>
      <c r="C636">
        <v>1</v>
      </c>
      <c r="D636">
        <v>4</v>
      </c>
      <c r="E636">
        <v>0</v>
      </c>
      <c r="F636">
        <v>32</v>
      </c>
      <c r="G636">
        <v>1.1000000000000001</v>
      </c>
      <c r="H636">
        <v>234</v>
      </c>
      <c r="I636">
        <v>30</v>
      </c>
      <c r="J636">
        <v>2</v>
      </c>
    </row>
    <row r="637" spans="1:10" x14ac:dyDescent="0.3">
      <c r="A637">
        <v>50</v>
      </c>
      <c r="B637">
        <v>1</v>
      </c>
      <c r="C637">
        <v>2</v>
      </c>
      <c r="D637">
        <v>2</v>
      </c>
      <c r="E637">
        <v>1</v>
      </c>
      <c r="F637">
        <v>54</v>
      </c>
      <c r="G637">
        <v>1.86</v>
      </c>
      <c r="H637">
        <v>55</v>
      </c>
      <c r="I637">
        <v>30</v>
      </c>
      <c r="J637">
        <v>2</v>
      </c>
    </row>
    <row r="638" spans="1:10" x14ac:dyDescent="0.3">
      <c r="A638">
        <v>78</v>
      </c>
      <c r="B638">
        <v>1</v>
      </c>
      <c r="C638">
        <v>1</v>
      </c>
      <c r="D638">
        <v>2</v>
      </c>
      <c r="E638">
        <v>1</v>
      </c>
      <c r="F638">
        <v>31</v>
      </c>
      <c r="G638">
        <v>1.05</v>
      </c>
      <c r="H638">
        <v>94</v>
      </c>
      <c r="I638">
        <v>30</v>
      </c>
      <c r="J638">
        <v>2</v>
      </c>
    </row>
    <row r="639" spans="1:10" x14ac:dyDescent="0.3">
      <c r="A639">
        <v>94</v>
      </c>
      <c r="B639">
        <v>1</v>
      </c>
      <c r="C639">
        <v>1.5</v>
      </c>
      <c r="D639">
        <v>0</v>
      </c>
      <c r="E639">
        <v>1</v>
      </c>
      <c r="F639">
        <v>85</v>
      </c>
      <c r="G639">
        <v>3.07</v>
      </c>
      <c r="H639">
        <v>144</v>
      </c>
      <c r="I639">
        <v>2</v>
      </c>
      <c r="J639">
        <v>2</v>
      </c>
    </row>
    <row r="640" spans="1:10" x14ac:dyDescent="0.3">
      <c r="A640">
        <v>300</v>
      </c>
      <c r="B640">
        <v>1</v>
      </c>
      <c r="C640">
        <v>1</v>
      </c>
      <c r="D640">
        <v>2</v>
      </c>
      <c r="E640">
        <v>0</v>
      </c>
      <c r="F640">
        <v>51</v>
      </c>
      <c r="G640">
        <v>1.74</v>
      </c>
      <c r="H640">
        <v>157</v>
      </c>
      <c r="I640">
        <v>30</v>
      </c>
      <c r="J640">
        <v>2</v>
      </c>
    </row>
    <row r="641" spans="1:10" x14ac:dyDescent="0.3">
      <c r="A641">
        <v>90</v>
      </c>
      <c r="B641">
        <v>1</v>
      </c>
      <c r="C641">
        <v>1</v>
      </c>
      <c r="D641">
        <v>0</v>
      </c>
      <c r="E641">
        <v>1</v>
      </c>
      <c r="F641">
        <v>8</v>
      </c>
      <c r="G641">
        <v>0.28999999999999998</v>
      </c>
      <c r="H641">
        <v>364</v>
      </c>
      <c r="I641">
        <v>30</v>
      </c>
      <c r="J641">
        <v>2</v>
      </c>
    </row>
    <row r="642" spans="1:10" x14ac:dyDescent="0.3">
      <c r="A642">
        <v>55</v>
      </c>
      <c r="B642">
        <v>1</v>
      </c>
      <c r="C642">
        <v>2</v>
      </c>
      <c r="D642">
        <v>4</v>
      </c>
      <c r="E642">
        <v>1</v>
      </c>
      <c r="F642">
        <v>39</v>
      </c>
      <c r="G642">
        <v>1.34</v>
      </c>
      <c r="H642">
        <v>334</v>
      </c>
      <c r="I642">
        <v>30</v>
      </c>
      <c r="J642">
        <v>3</v>
      </c>
    </row>
    <row r="643" spans="1:10" x14ac:dyDescent="0.3">
      <c r="A643">
        <v>89</v>
      </c>
      <c r="B643">
        <v>1</v>
      </c>
      <c r="C643">
        <v>1</v>
      </c>
      <c r="D643">
        <v>2</v>
      </c>
      <c r="E643">
        <v>1</v>
      </c>
      <c r="F643">
        <v>25</v>
      </c>
      <c r="G643">
        <v>0.86</v>
      </c>
      <c r="H643">
        <v>223</v>
      </c>
      <c r="I643">
        <v>5</v>
      </c>
      <c r="J643">
        <v>1</v>
      </c>
    </row>
    <row r="644" spans="1:10" x14ac:dyDescent="0.3">
      <c r="A644">
        <v>65</v>
      </c>
      <c r="B644">
        <v>1</v>
      </c>
      <c r="C644">
        <v>2</v>
      </c>
      <c r="D644">
        <v>4</v>
      </c>
      <c r="E644">
        <v>1</v>
      </c>
      <c r="F644">
        <v>46</v>
      </c>
      <c r="G644">
        <v>1.59</v>
      </c>
      <c r="H644">
        <v>335</v>
      </c>
      <c r="I644">
        <v>30</v>
      </c>
      <c r="J644">
        <v>2</v>
      </c>
    </row>
    <row r="645" spans="1:10" x14ac:dyDescent="0.3">
      <c r="A645">
        <v>58</v>
      </c>
      <c r="B645">
        <v>1</v>
      </c>
      <c r="C645">
        <v>1</v>
      </c>
      <c r="D645">
        <v>2</v>
      </c>
      <c r="E645">
        <v>1</v>
      </c>
      <c r="F645">
        <v>5</v>
      </c>
      <c r="G645">
        <v>0.18</v>
      </c>
      <c r="H645">
        <v>354</v>
      </c>
      <c r="I645">
        <v>30</v>
      </c>
      <c r="J645">
        <v>1</v>
      </c>
    </row>
    <row r="646" spans="1:10" x14ac:dyDescent="0.3">
      <c r="A646">
        <v>98</v>
      </c>
      <c r="B646">
        <v>1</v>
      </c>
      <c r="C646">
        <v>1</v>
      </c>
      <c r="D646">
        <v>2</v>
      </c>
      <c r="E646">
        <v>0</v>
      </c>
      <c r="F646">
        <v>9</v>
      </c>
      <c r="G646">
        <v>0.46</v>
      </c>
      <c r="H646">
        <v>98</v>
      </c>
      <c r="I646">
        <v>30</v>
      </c>
      <c r="J646">
        <v>2</v>
      </c>
    </row>
    <row r="647" spans="1:10" x14ac:dyDescent="0.3">
      <c r="A647">
        <v>90</v>
      </c>
      <c r="B647">
        <v>1</v>
      </c>
      <c r="C647">
        <v>1</v>
      </c>
      <c r="D647">
        <v>2</v>
      </c>
      <c r="E647">
        <v>1</v>
      </c>
      <c r="F647">
        <v>65</v>
      </c>
      <c r="G647">
        <v>2.34</v>
      </c>
      <c r="H647">
        <v>81</v>
      </c>
      <c r="I647">
        <v>30</v>
      </c>
      <c r="J647">
        <v>1</v>
      </c>
    </row>
    <row r="648" spans="1:10" x14ac:dyDescent="0.3">
      <c r="A648">
        <v>180</v>
      </c>
      <c r="B648">
        <v>1</v>
      </c>
      <c r="C648">
        <v>1</v>
      </c>
      <c r="D648">
        <v>2</v>
      </c>
      <c r="E648">
        <v>0</v>
      </c>
      <c r="F648">
        <v>33</v>
      </c>
      <c r="G648">
        <v>1.21</v>
      </c>
      <c r="H648">
        <v>152</v>
      </c>
      <c r="I648">
        <v>3</v>
      </c>
      <c r="J648">
        <v>2</v>
      </c>
    </row>
    <row r="649" spans="1:10" x14ac:dyDescent="0.3">
      <c r="A649">
        <v>276</v>
      </c>
      <c r="B649">
        <v>1</v>
      </c>
      <c r="C649">
        <v>1</v>
      </c>
      <c r="D649">
        <v>4</v>
      </c>
      <c r="E649">
        <v>0</v>
      </c>
      <c r="F649">
        <v>4</v>
      </c>
      <c r="G649">
        <v>0.19</v>
      </c>
      <c r="H649">
        <v>305</v>
      </c>
      <c r="I649">
        <v>30</v>
      </c>
      <c r="J649">
        <v>3</v>
      </c>
    </row>
    <row r="650" spans="1:10" x14ac:dyDescent="0.3">
      <c r="A650">
        <v>52</v>
      </c>
      <c r="B650">
        <v>1</v>
      </c>
      <c r="C650">
        <v>1</v>
      </c>
      <c r="D650">
        <v>0</v>
      </c>
      <c r="E650">
        <v>1</v>
      </c>
      <c r="F650">
        <v>6</v>
      </c>
      <c r="G650">
        <v>0.26</v>
      </c>
      <c r="H650">
        <v>344</v>
      </c>
      <c r="I650">
        <v>30</v>
      </c>
      <c r="J650">
        <v>1</v>
      </c>
    </row>
    <row r="651" spans="1:10" x14ac:dyDescent="0.3">
      <c r="A651">
        <v>84</v>
      </c>
      <c r="B651">
        <v>1</v>
      </c>
      <c r="C651">
        <v>1</v>
      </c>
      <c r="D651">
        <v>0</v>
      </c>
      <c r="E651">
        <v>1</v>
      </c>
      <c r="F651">
        <v>30</v>
      </c>
      <c r="G651">
        <v>1.1200000000000001</v>
      </c>
      <c r="H651">
        <v>358</v>
      </c>
      <c r="I651">
        <v>3</v>
      </c>
      <c r="J651">
        <v>1</v>
      </c>
    </row>
    <row r="652" spans="1:10" x14ac:dyDescent="0.3">
      <c r="A652">
        <v>132</v>
      </c>
      <c r="B652">
        <v>1</v>
      </c>
      <c r="C652">
        <v>1</v>
      </c>
      <c r="D652">
        <v>4</v>
      </c>
      <c r="E652">
        <v>0</v>
      </c>
      <c r="F652">
        <v>4</v>
      </c>
      <c r="G652">
        <v>0.2</v>
      </c>
      <c r="H652">
        <v>75</v>
      </c>
      <c r="I652">
        <v>30</v>
      </c>
      <c r="J652">
        <v>2</v>
      </c>
    </row>
    <row r="653" spans="1:10" x14ac:dyDescent="0.3">
      <c r="A653">
        <v>215</v>
      </c>
      <c r="B653">
        <v>1</v>
      </c>
      <c r="C653">
        <v>1</v>
      </c>
      <c r="D653">
        <v>2</v>
      </c>
      <c r="E653">
        <v>0</v>
      </c>
      <c r="F653">
        <v>4</v>
      </c>
      <c r="G653">
        <v>0.15</v>
      </c>
      <c r="H653">
        <v>173</v>
      </c>
      <c r="I653">
        <v>30</v>
      </c>
      <c r="J653">
        <v>2</v>
      </c>
    </row>
    <row r="654" spans="1:10" x14ac:dyDescent="0.3">
      <c r="A654">
        <v>96</v>
      </c>
      <c r="B654">
        <v>2</v>
      </c>
      <c r="C654">
        <v>1</v>
      </c>
      <c r="D654">
        <v>2</v>
      </c>
      <c r="E654">
        <v>0</v>
      </c>
      <c r="F654">
        <v>31</v>
      </c>
      <c r="G654">
        <v>1.23</v>
      </c>
      <c r="H654">
        <v>233</v>
      </c>
      <c r="I654">
        <v>30</v>
      </c>
      <c r="J654">
        <v>4</v>
      </c>
    </row>
    <row r="655" spans="1:10" x14ac:dyDescent="0.3">
      <c r="A655">
        <v>405</v>
      </c>
      <c r="B655">
        <v>1</v>
      </c>
      <c r="C655">
        <v>2</v>
      </c>
      <c r="D655">
        <v>4</v>
      </c>
      <c r="E655">
        <v>0</v>
      </c>
      <c r="F655">
        <v>32</v>
      </c>
      <c r="G655">
        <v>1.22</v>
      </c>
      <c r="H655">
        <v>118</v>
      </c>
      <c r="I655">
        <v>7</v>
      </c>
      <c r="J655">
        <v>2</v>
      </c>
    </row>
    <row r="656" spans="1:10" x14ac:dyDescent="0.3">
      <c r="A656">
        <v>143</v>
      </c>
      <c r="B656">
        <v>2</v>
      </c>
      <c r="C656">
        <v>1</v>
      </c>
      <c r="D656">
        <v>0</v>
      </c>
      <c r="E656">
        <v>0</v>
      </c>
      <c r="F656">
        <v>65</v>
      </c>
      <c r="G656">
        <v>2.36</v>
      </c>
      <c r="H656">
        <v>201</v>
      </c>
      <c r="I656">
        <v>30</v>
      </c>
      <c r="J656">
        <v>3</v>
      </c>
    </row>
    <row r="657" spans="1:10" x14ac:dyDescent="0.3">
      <c r="A657">
        <v>120</v>
      </c>
      <c r="B657">
        <v>1</v>
      </c>
      <c r="C657">
        <v>1</v>
      </c>
      <c r="D657">
        <v>2</v>
      </c>
      <c r="E657">
        <v>0</v>
      </c>
      <c r="F657">
        <v>9</v>
      </c>
      <c r="G657">
        <v>0.37</v>
      </c>
      <c r="H657">
        <v>297</v>
      </c>
      <c r="I657">
        <v>30</v>
      </c>
      <c r="J657">
        <v>2</v>
      </c>
    </row>
    <row r="658" spans="1:10" x14ac:dyDescent="0.3">
      <c r="A658">
        <v>89</v>
      </c>
      <c r="B658">
        <v>1</v>
      </c>
      <c r="C658">
        <v>1</v>
      </c>
      <c r="D658">
        <v>0</v>
      </c>
      <c r="E658">
        <v>1</v>
      </c>
      <c r="F658">
        <v>4</v>
      </c>
      <c r="G658">
        <v>0.19</v>
      </c>
      <c r="H658">
        <v>315</v>
      </c>
      <c r="I658">
        <v>30</v>
      </c>
      <c r="J658">
        <v>2</v>
      </c>
    </row>
    <row r="659" spans="1:10" x14ac:dyDescent="0.3">
      <c r="A659">
        <v>280</v>
      </c>
      <c r="B659">
        <v>4</v>
      </c>
      <c r="C659">
        <v>2</v>
      </c>
      <c r="D659">
        <v>0</v>
      </c>
      <c r="E659">
        <v>1</v>
      </c>
      <c r="F659">
        <v>57</v>
      </c>
      <c r="G659">
        <v>2.1800000000000002</v>
      </c>
      <c r="H659">
        <v>308</v>
      </c>
      <c r="I659">
        <v>2</v>
      </c>
      <c r="J659">
        <v>8</v>
      </c>
    </row>
    <row r="660" spans="1:10" x14ac:dyDescent="0.3">
      <c r="A660">
        <v>50</v>
      </c>
      <c r="B660">
        <v>1</v>
      </c>
      <c r="C660">
        <v>1</v>
      </c>
      <c r="D660">
        <v>4</v>
      </c>
      <c r="E660">
        <v>1</v>
      </c>
      <c r="F660">
        <v>25</v>
      </c>
      <c r="G660">
        <v>0.96</v>
      </c>
      <c r="H660">
        <v>361</v>
      </c>
      <c r="I660">
        <v>30</v>
      </c>
      <c r="J660">
        <v>4</v>
      </c>
    </row>
    <row r="661" spans="1:10" x14ac:dyDescent="0.3">
      <c r="A661">
        <v>130</v>
      </c>
      <c r="B661">
        <v>2</v>
      </c>
      <c r="C661">
        <v>1</v>
      </c>
      <c r="D661">
        <v>4</v>
      </c>
      <c r="E661">
        <v>0</v>
      </c>
      <c r="F661">
        <v>8</v>
      </c>
      <c r="G661">
        <v>0.32</v>
      </c>
      <c r="H661">
        <v>189</v>
      </c>
      <c r="I661">
        <v>30</v>
      </c>
      <c r="J661">
        <v>3</v>
      </c>
    </row>
    <row r="662" spans="1:10" x14ac:dyDescent="0.3">
      <c r="A662">
        <v>204</v>
      </c>
      <c r="B662">
        <v>2</v>
      </c>
      <c r="C662">
        <v>1</v>
      </c>
      <c r="D662">
        <v>4</v>
      </c>
      <c r="E662">
        <v>0</v>
      </c>
      <c r="F662">
        <v>9</v>
      </c>
      <c r="G662">
        <v>0.39</v>
      </c>
      <c r="H662">
        <v>266</v>
      </c>
      <c r="I662">
        <v>30</v>
      </c>
      <c r="J662">
        <v>4</v>
      </c>
    </row>
    <row r="663" spans="1:10" x14ac:dyDescent="0.3">
      <c r="A663">
        <v>291</v>
      </c>
      <c r="B663">
        <v>2</v>
      </c>
      <c r="C663">
        <v>2</v>
      </c>
      <c r="D663">
        <v>4</v>
      </c>
      <c r="E663">
        <v>1</v>
      </c>
      <c r="F663">
        <v>16</v>
      </c>
      <c r="G663">
        <v>0.63</v>
      </c>
      <c r="H663">
        <v>348</v>
      </c>
      <c r="I663">
        <v>1</v>
      </c>
      <c r="J663">
        <v>4</v>
      </c>
    </row>
    <row r="664" spans="1:10" x14ac:dyDescent="0.3">
      <c r="A664">
        <v>110</v>
      </c>
      <c r="B664">
        <v>3</v>
      </c>
      <c r="C664">
        <v>1</v>
      </c>
      <c r="D664">
        <v>4</v>
      </c>
      <c r="E664">
        <v>0</v>
      </c>
      <c r="F664">
        <v>48</v>
      </c>
      <c r="G664">
        <v>1.79</v>
      </c>
      <c r="H664">
        <v>312</v>
      </c>
      <c r="I664">
        <v>30</v>
      </c>
      <c r="J664">
        <v>4</v>
      </c>
    </row>
    <row r="665" spans="1:10" x14ac:dyDescent="0.3">
      <c r="A665">
        <v>221</v>
      </c>
      <c r="B665">
        <v>1</v>
      </c>
      <c r="C665">
        <v>1</v>
      </c>
      <c r="D665">
        <v>2</v>
      </c>
      <c r="E665">
        <v>0</v>
      </c>
      <c r="F665">
        <v>7</v>
      </c>
      <c r="G665">
        <v>0.38</v>
      </c>
      <c r="H665">
        <v>262</v>
      </c>
      <c r="I665">
        <v>30</v>
      </c>
      <c r="J665">
        <v>2</v>
      </c>
    </row>
    <row r="666" spans="1:10" x14ac:dyDescent="0.3">
      <c r="A666">
        <v>169</v>
      </c>
      <c r="B666">
        <v>1</v>
      </c>
      <c r="C666">
        <v>1</v>
      </c>
      <c r="D666">
        <v>2</v>
      </c>
      <c r="E666">
        <v>1</v>
      </c>
      <c r="F666">
        <v>22</v>
      </c>
      <c r="G666">
        <v>0.88</v>
      </c>
      <c r="H666">
        <v>77</v>
      </c>
      <c r="I666">
        <v>2</v>
      </c>
      <c r="J666">
        <v>2</v>
      </c>
    </row>
    <row r="667" spans="1:10" x14ac:dyDescent="0.3">
      <c r="A667">
        <v>132</v>
      </c>
      <c r="B667">
        <v>1</v>
      </c>
      <c r="C667">
        <v>1</v>
      </c>
      <c r="D667">
        <v>4</v>
      </c>
      <c r="E667">
        <v>0</v>
      </c>
      <c r="F667">
        <v>1</v>
      </c>
      <c r="G667">
        <v>0.57999999999999996</v>
      </c>
      <c r="H667">
        <v>305</v>
      </c>
      <c r="I667">
        <v>30</v>
      </c>
      <c r="J667">
        <v>2</v>
      </c>
    </row>
    <row r="668" spans="1:10" x14ac:dyDescent="0.3">
      <c r="A668">
        <v>100</v>
      </c>
      <c r="B668">
        <v>2</v>
      </c>
      <c r="C668">
        <v>1</v>
      </c>
      <c r="D668">
        <v>2</v>
      </c>
      <c r="E668">
        <v>0</v>
      </c>
      <c r="F668">
        <v>25</v>
      </c>
      <c r="G668">
        <v>0.94</v>
      </c>
      <c r="H668">
        <v>214</v>
      </c>
      <c r="I668">
        <v>30</v>
      </c>
      <c r="J668">
        <v>3</v>
      </c>
    </row>
    <row r="669" spans="1:10" x14ac:dyDescent="0.3">
      <c r="A669">
        <v>55</v>
      </c>
      <c r="B669">
        <v>1</v>
      </c>
      <c r="C669">
        <v>1</v>
      </c>
      <c r="D669">
        <v>0</v>
      </c>
      <c r="E669">
        <v>1</v>
      </c>
      <c r="F669">
        <v>1</v>
      </c>
      <c r="G669">
        <v>0.53</v>
      </c>
      <c r="H669">
        <v>190</v>
      </c>
      <c r="I669">
        <v>30</v>
      </c>
      <c r="J669">
        <v>1</v>
      </c>
    </row>
    <row r="670" spans="1:10" x14ac:dyDescent="0.3">
      <c r="A670">
        <v>149</v>
      </c>
      <c r="B670">
        <v>1</v>
      </c>
      <c r="C670">
        <v>1</v>
      </c>
      <c r="D670">
        <v>4</v>
      </c>
      <c r="E670">
        <v>0</v>
      </c>
      <c r="F670">
        <v>6</v>
      </c>
      <c r="G670">
        <v>0.25</v>
      </c>
      <c r="H670">
        <v>259</v>
      </c>
      <c r="I670">
        <v>30</v>
      </c>
      <c r="J670">
        <v>2</v>
      </c>
    </row>
    <row r="671" spans="1:10" x14ac:dyDescent="0.3">
      <c r="A671">
        <v>126</v>
      </c>
      <c r="B671">
        <v>1</v>
      </c>
      <c r="C671">
        <v>1</v>
      </c>
      <c r="D671">
        <v>2</v>
      </c>
      <c r="E671">
        <v>0</v>
      </c>
      <c r="F671">
        <v>36</v>
      </c>
      <c r="G671">
        <v>1.37</v>
      </c>
      <c r="H671">
        <v>271</v>
      </c>
      <c r="I671">
        <v>30</v>
      </c>
      <c r="J671">
        <v>2</v>
      </c>
    </row>
    <row r="672" spans="1:10" x14ac:dyDescent="0.3">
      <c r="A672">
        <v>80</v>
      </c>
      <c r="B672">
        <v>2</v>
      </c>
      <c r="C672">
        <v>1</v>
      </c>
      <c r="D672">
        <v>0</v>
      </c>
      <c r="E672">
        <v>1</v>
      </c>
      <c r="F672">
        <v>72</v>
      </c>
      <c r="G672">
        <v>2.71</v>
      </c>
      <c r="H672">
        <v>265</v>
      </c>
      <c r="I672">
        <v>30</v>
      </c>
      <c r="J672">
        <v>3</v>
      </c>
    </row>
    <row r="673" spans="1:10" x14ac:dyDescent="0.3">
      <c r="A673">
        <v>70</v>
      </c>
      <c r="B673">
        <v>1</v>
      </c>
      <c r="C673">
        <v>1</v>
      </c>
      <c r="D673">
        <v>0</v>
      </c>
      <c r="E673">
        <v>1</v>
      </c>
      <c r="F673">
        <v>11</v>
      </c>
      <c r="G673">
        <v>0.45</v>
      </c>
      <c r="H673">
        <v>327</v>
      </c>
      <c r="I673">
        <v>30</v>
      </c>
      <c r="J673">
        <v>2</v>
      </c>
    </row>
    <row r="674" spans="1:10" x14ac:dyDescent="0.3">
      <c r="A674">
        <v>158</v>
      </c>
      <c r="B674">
        <v>2</v>
      </c>
      <c r="C674">
        <v>1</v>
      </c>
      <c r="D674">
        <v>2</v>
      </c>
      <c r="E674">
        <v>0</v>
      </c>
      <c r="F674">
        <v>19</v>
      </c>
      <c r="G674">
        <v>0.74</v>
      </c>
      <c r="H674">
        <v>109</v>
      </c>
      <c r="I674">
        <v>30</v>
      </c>
      <c r="J674">
        <v>4</v>
      </c>
    </row>
    <row r="675" spans="1:10" x14ac:dyDescent="0.3">
      <c r="A675">
        <v>71</v>
      </c>
      <c r="B675">
        <v>2</v>
      </c>
      <c r="C675">
        <v>1</v>
      </c>
      <c r="D675">
        <v>0</v>
      </c>
      <c r="E675">
        <v>0</v>
      </c>
      <c r="F675">
        <v>23</v>
      </c>
      <c r="G675">
        <v>0.88</v>
      </c>
      <c r="H675">
        <v>248</v>
      </c>
      <c r="I675">
        <v>30</v>
      </c>
      <c r="J675">
        <v>2</v>
      </c>
    </row>
    <row r="676" spans="1:10" x14ac:dyDescent="0.3">
      <c r="A676">
        <v>120</v>
      </c>
      <c r="B676">
        <v>1</v>
      </c>
      <c r="C676">
        <v>1</v>
      </c>
      <c r="D676">
        <v>4</v>
      </c>
      <c r="E676">
        <v>0</v>
      </c>
      <c r="F676">
        <v>5</v>
      </c>
      <c r="G676">
        <v>0.2</v>
      </c>
      <c r="H676">
        <v>305</v>
      </c>
      <c r="I676">
        <v>30</v>
      </c>
      <c r="J676">
        <v>2</v>
      </c>
    </row>
    <row r="677" spans="1:10" x14ac:dyDescent="0.3">
      <c r="A677">
        <v>86</v>
      </c>
      <c r="B677">
        <v>2</v>
      </c>
      <c r="C677">
        <v>1</v>
      </c>
      <c r="D677">
        <v>0</v>
      </c>
      <c r="E677">
        <v>1</v>
      </c>
      <c r="F677">
        <v>28</v>
      </c>
      <c r="G677">
        <v>1.1100000000000001</v>
      </c>
      <c r="H677">
        <v>358</v>
      </c>
      <c r="I677">
        <v>3</v>
      </c>
      <c r="J677">
        <v>2</v>
      </c>
    </row>
    <row r="678" spans="1:10" x14ac:dyDescent="0.3">
      <c r="A678">
        <v>130</v>
      </c>
      <c r="B678">
        <v>1</v>
      </c>
      <c r="C678">
        <v>1</v>
      </c>
      <c r="D678">
        <v>0</v>
      </c>
      <c r="E678">
        <v>1</v>
      </c>
      <c r="F678">
        <v>25</v>
      </c>
      <c r="G678">
        <v>1.1100000000000001</v>
      </c>
      <c r="H678">
        <v>364</v>
      </c>
      <c r="I678">
        <v>3</v>
      </c>
      <c r="J678">
        <v>2</v>
      </c>
    </row>
    <row r="679" spans="1:10" x14ac:dyDescent="0.3">
      <c r="A679">
        <v>57</v>
      </c>
      <c r="B679">
        <v>1</v>
      </c>
      <c r="C679">
        <v>1</v>
      </c>
      <c r="D679">
        <v>2</v>
      </c>
      <c r="E679">
        <v>1</v>
      </c>
      <c r="F679">
        <v>2</v>
      </c>
      <c r="G679">
        <v>0.09</v>
      </c>
      <c r="H679">
        <v>61</v>
      </c>
      <c r="I679">
        <v>30</v>
      </c>
      <c r="J679">
        <v>1</v>
      </c>
    </row>
    <row r="680" spans="1:10" x14ac:dyDescent="0.3">
      <c r="A680">
        <v>155</v>
      </c>
      <c r="B680">
        <v>1</v>
      </c>
      <c r="C680">
        <v>1</v>
      </c>
      <c r="D680">
        <v>4</v>
      </c>
      <c r="E680">
        <v>0</v>
      </c>
      <c r="F680">
        <v>8</v>
      </c>
      <c r="G680">
        <v>0.36</v>
      </c>
      <c r="H680">
        <v>335</v>
      </c>
      <c r="I680">
        <v>30</v>
      </c>
      <c r="J680">
        <v>2</v>
      </c>
    </row>
    <row r="681" spans="1:10" x14ac:dyDescent="0.3">
      <c r="A681">
        <v>342</v>
      </c>
      <c r="B681">
        <v>2</v>
      </c>
      <c r="C681">
        <v>1.5</v>
      </c>
      <c r="D681">
        <v>2</v>
      </c>
      <c r="E681">
        <v>0</v>
      </c>
      <c r="F681">
        <v>71</v>
      </c>
      <c r="G681">
        <v>2.8</v>
      </c>
      <c r="H681">
        <v>348</v>
      </c>
      <c r="I681">
        <v>2</v>
      </c>
      <c r="J681">
        <v>4</v>
      </c>
    </row>
    <row r="682" spans="1:10" x14ac:dyDescent="0.3">
      <c r="A682">
        <v>60</v>
      </c>
      <c r="B682">
        <v>1</v>
      </c>
      <c r="C682">
        <v>1</v>
      </c>
      <c r="D682">
        <v>4</v>
      </c>
      <c r="E682">
        <v>1</v>
      </c>
      <c r="F682">
        <v>14</v>
      </c>
      <c r="G682">
        <v>0.54</v>
      </c>
      <c r="H682">
        <v>360</v>
      </c>
      <c r="I682">
        <v>30</v>
      </c>
      <c r="J682">
        <v>1</v>
      </c>
    </row>
    <row r="683" spans="1:10" x14ac:dyDescent="0.3">
      <c r="A683">
        <v>137</v>
      </c>
      <c r="B683">
        <v>1</v>
      </c>
      <c r="C683">
        <v>1</v>
      </c>
      <c r="D683">
        <v>4</v>
      </c>
      <c r="E683">
        <v>1</v>
      </c>
      <c r="F683">
        <v>5</v>
      </c>
      <c r="G683">
        <v>0.19</v>
      </c>
      <c r="H683">
        <v>239</v>
      </c>
      <c r="I683">
        <v>30</v>
      </c>
      <c r="J683">
        <v>2</v>
      </c>
    </row>
    <row r="684" spans="1:10" x14ac:dyDescent="0.3">
      <c r="A684">
        <v>229</v>
      </c>
      <c r="B684">
        <v>1</v>
      </c>
      <c r="C684">
        <v>1</v>
      </c>
      <c r="D684">
        <v>4</v>
      </c>
      <c r="E684">
        <v>1</v>
      </c>
      <c r="F684">
        <v>18</v>
      </c>
      <c r="G684">
        <v>0.32</v>
      </c>
      <c r="H684">
        <v>142</v>
      </c>
      <c r="I684">
        <v>1</v>
      </c>
      <c r="J684">
        <v>2</v>
      </c>
    </row>
    <row r="685" spans="1:10" x14ac:dyDescent="0.3">
      <c r="A685">
        <v>403</v>
      </c>
      <c r="B685">
        <v>4</v>
      </c>
      <c r="C685">
        <v>1</v>
      </c>
      <c r="D685">
        <v>4</v>
      </c>
      <c r="E685">
        <v>0</v>
      </c>
      <c r="F685">
        <v>75</v>
      </c>
      <c r="G685">
        <v>2.96</v>
      </c>
      <c r="H685">
        <v>332</v>
      </c>
      <c r="I685">
        <v>1</v>
      </c>
      <c r="J685">
        <v>7</v>
      </c>
    </row>
    <row r="686" spans="1:10" x14ac:dyDescent="0.3">
      <c r="A686">
        <v>68</v>
      </c>
      <c r="B686">
        <v>1</v>
      </c>
      <c r="C686">
        <v>2</v>
      </c>
      <c r="D686">
        <v>0</v>
      </c>
      <c r="E686">
        <v>1</v>
      </c>
      <c r="F686">
        <v>23</v>
      </c>
      <c r="G686">
        <v>0.89</v>
      </c>
      <c r="H686">
        <v>57</v>
      </c>
      <c r="I686">
        <v>30</v>
      </c>
      <c r="J686">
        <v>2</v>
      </c>
    </row>
    <row r="687" spans="1:10" x14ac:dyDescent="0.3">
      <c r="A687">
        <v>115</v>
      </c>
      <c r="B687">
        <v>1</v>
      </c>
      <c r="C687">
        <v>1</v>
      </c>
      <c r="D687">
        <v>0</v>
      </c>
      <c r="E687">
        <v>0</v>
      </c>
      <c r="F687">
        <v>3</v>
      </c>
      <c r="G687">
        <v>0.13</v>
      </c>
      <c r="H687">
        <v>118</v>
      </c>
      <c r="I687">
        <v>30</v>
      </c>
      <c r="J687">
        <v>2</v>
      </c>
    </row>
    <row r="688" spans="1:10" x14ac:dyDescent="0.3">
      <c r="A688">
        <v>130</v>
      </c>
      <c r="B688">
        <v>1</v>
      </c>
      <c r="C688">
        <v>1</v>
      </c>
      <c r="D688">
        <v>4</v>
      </c>
      <c r="E688">
        <v>0</v>
      </c>
      <c r="F688">
        <v>10</v>
      </c>
      <c r="G688">
        <v>0.41</v>
      </c>
      <c r="H688">
        <v>310</v>
      </c>
      <c r="I688">
        <v>30</v>
      </c>
      <c r="J688">
        <v>3</v>
      </c>
    </row>
    <row r="689" spans="1:10" x14ac:dyDescent="0.3">
      <c r="A689">
        <v>272</v>
      </c>
      <c r="B689">
        <v>2</v>
      </c>
      <c r="C689">
        <v>1</v>
      </c>
      <c r="D689">
        <v>4</v>
      </c>
      <c r="E689">
        <v>0</v>
      </c>
      <c r="F689">
        <v>9</v>
      </c>
      <c r="G689">
        <v>0.35</v>
      </c>
      <c r="H689">
        <v>112</v>
      </c>
      <c r="I689">
        <v>30</v>
      </c>
      <c r="J689">
        <v>3</v>
      </c>
    </row>
    <row r="690" spans="1:10" x14ac:dyDescent="0.3">
      <c r="A690">
        <v>286</v>
      </c>
      <c r="B690">
        <v>2</v>
      </c>
      <c r="C690">
        <v>1</v>
      </c>
      <c r="D690">
        <v>4</v>
      </c>
      <c r="E690">
        <v>1</v>
      </c>
      <c r="F690">
        <v>11</v>
      </c>
      <c r="G690">
        <v>0.46</v>
      </c>
      <c r="H690">
        <v>198</v>
      </c>
      <c r="I690">
        <v>1</v>
      </c>
      <c r="J690">
        <v>4</v>
      </c>
    </row>
    <row r="691" spans="1:10" x14ac:dyDescent="0.3">
      <c r="A691">
        <v>238</v>
      </c>
      <c r="B691">
        <v>1</v>
      </c>
      <c r="C691">
        <v>1</v>
      </c>
      <c r="D691">
        <v>4</v>
      </c>
      <c r="E691">
        <v>1</v>
      </c>
      <c r="F691">
        <v>30</v>
      </c>
      <c r="G691">
        <v>1.38</v>
      </c>
      <c r="H691">
        <v>204</v>
      </c>
      <c r="I691">
        <v>1</v>
      </c>
      <c r="J691">
        <v>2</v>
      </c>
    </row>
    <row r="692" spans="1:10" x14ac:dyDescent="0.3">
      <c r="A692">
        <v>272</v>
      </c>
      <c r="B692">
        <v>2</v>
      </c>
      <c r="C692">
        <v>1</v>
      </c>
      <c r="D692">
        <v>2</v>
      </c>
      <c r="E692">
        <v>0</v>
      </c>
      <c r="F692">
        <v>2</v>
      </c>
      <c r="G692">
        <v>0.17</v>
      </c>
      <c r="H692">
        <v>225</v>
      </c>
      <c r="I692">
        <v>30</v>
      </c>
      <c r="J692">
        <v>4</v>
      </c>
    </row>
    <row r="693" spans="1:10" x14ac:dyDescent="0.3">
      <c r="A693">
        <v>100</v>
      </c>
      <c r="B693">
        <v>1</v>
      </c>
      <c r="C693">
        <v>1</v>
      </c>
      <c r="D693">
        <v>0</v>
      </c>
      <c r="E693">
        <v>0</v>
      </c>
      <c r="F693">
        <v>29</v>
      </c>
      <c r="G693">
        <v>1.1399999999999999</v>
      </c>
      <c r="H693">
        <v>75</v>
      </c>
      <c r="I693">
        <v>30</v>
      </c>
      <c r="J693">
        <v>4</v>
      </c>
    </row>
    <row r="694" spans="1:10" x14ac:dyDescent="0.3">
      <c r="A694">
        <v>380</v>
      </c>
      <c r="B694">
        <v>3</v>
      </c>
      <c r="C694">
        <v>1</v>
      </c>
      <c r="D694">
        <v>4</v>
      </c>
      <c r="E694">
        <v>0</v>
      </c>
      <c r="F694">
        <v>5</v>
      </c>
      <c r="G694">
        <v>0.21</v>
      </c>
      <c r="H694">
        <v>117</v>
      </c>
      <c r="I694">
        <v>30</v>
      </c>
      <c r="J694">
        <v>3</v>
      </c>
    </row>
    <row r="695" spans="1:10" x14ac:dyDescent="0.3">
      <c r="A695">
        <v>92</v>
      </c>
      <c r="B695">
        <v>1</v>
      </c>
      <c r="C695">
        <v>1</v>
      </c>
      <c r="D695">
        <v>4</v>
      </c>
      <c r="E695">
        <v>0</v>
      </c>
      <c r="F695">
        <v>3</v>
      </c>
      <c r="G695">
        <v>0.14000000000000001</v>
      </c>
      <c r="H695">
        <v>117</v>
      </c>
      <c r="I695">
        <v>30</v>
      </c>
      <c r="J695">
        <v>2</v>
      </c>
    </row>
    <row r="696" spans="1:10" x14ac:dyDescent="0.3">
      <c r="A696">
        <v>155</v>
      </c>
      <c r="B696">
        <v>3</v>
      </c>
      <c r="C696">
        <v>1</v>
      </c>
      <c r="D696">
        <v>4</v>
      </c>
      <c r="E696">
        <v>0</v>
      </c>
      <c r="F696">
        <v>4</v>
      </c>
      <c r="G696">
        <v>0.24</v>
      </c>
      <c r="H696">
        <v>262</v>
      </c>
      <c r="I696">
        <v>30</v>
      </c>
      <c r="J696">
        <v>4</v>
      </c>
    </row>
    <row r="697" spans="1:10" x14ac:dyDescent="0.3">
      <c r="A697">
        <v>84</v>
      </c>
      <c r="B697">
        <v>1</v>
      </c>
      <c r="C697">
        <v>2</v>
      </c>
      <c r="D697">
        <v>2</v>
      </c>
      <c r="E697">
        <v>1</v>
      </c>
      <c r="F697">
        <v>48</v>
      </c>
      <c r="G697">
        <v>2.0299999999999998</v>
      </c>
      <c r="H697">
        <v>314</v>
      </c>
      <c r="I697">
        <v>2</v>
      </c>
      <c r="J697">
        <v>1</v>
      </c>
    </row>
    <row r="698" spans="1:10" x14ac:dyDescent="0.3">
      <c r="A698">
        <v>245</v>
      </c>
      <c r="B698">
        <v>3</v>
      </c>
      <c r="C698">
        <v>1</v>
      </c>
      <c r="D698">
        <v>0</v>
      </c>
      <c r="E698">
        <v>0</v>
      </c>
      <c r="F698">
        <v>35</v>
      </c>
      <c r="G698">
        <v>1.5</v>
      </c>
      <c r="H698">
        <v>354</v>
      </c>
      <c r="I698">
        <v>2</v>
      </c>
      <c r="J698">
        <v>4</v>
      </c>
    </row>
    <row r="699" spans="1:10" x14ac:dyDescent="0.3">
      <c r="A699">
        <v>150</v>
      </c>
      <c r="B699">
        <v>4</v>
      </c>
      <c r="C699">
        <v>1</v>
      </c>
      <c r="D699">
        <v>4</v>
      </c>
      <c r="E699">
        <v>0</v>
      </c>
      <c r="F699">
        <v>28</v>
      </c>
      <c r="G699">
        <v>1.1499999999999999</v>
      </c>
      <c r="H699">
        <v>70</v>
      </c>
      <c r="I699">
        <v>30</v>
      </c>
      <c r="J699">
        <v>6</v>
      </c>
    </row>
    <row r="700" spans="1:10" x14ac:dyDescent="0.3">
      <c r="A700">
        <v>60</v>
      </c>
      <c r="B700">
        <v>1</v>
      </c>
      <c r="C700">
        <v>1</v>
      </c>
      <c r="D700">
        <v>4</v>
      </c>
      <c r="E700">
        <v>1</v>
      </c>
      <c r="F700">
        <v>12</v>
      </c>
      <c r="G700">
        <v>0.52</v>
      </c>
      <c r="H700">
        <v>195</v>
      </c>
      <c r="I700">
        <v>30</v>
      </c>
      <c r="J700">
        <v>2</v>
      </c>
    </row>
    <row r="701" spans="1:10" x14ac:dyDescent="0.3">
      <c r="A701">
        <v>148</v>
      </c>
      <c r="B701">
        <v>2</v>
      </c>
      <c r="C701">
        <v>1</v>
      </c>
      <c r="D701">
        <v>4</v>
      </c>
      <c r="E701">
        <v>0</v>
      </c>
      <c r="F701">
        <v>68</v>
      </c>
      <c r="G701">
        <v>2.72</v>
      </c>
      <c r="H701">
        <v>92</v>
      </c>
      <c r="I701">
        <v>1</v>
      </c>
      <c r="J701">
        <v>3</v>
      </c>
    </row>
    <row r="702" spans="1:10" x14ac:dyDescent="0.3">
      <c r="A702">
        <v>363</v>
      </c>
      <c r="B702">
        <v>2</v>
      </c>
      <c r="C702">
        <v>1</v>
      </c>
      <c r="D702">
        <v>4</v>
      </c>
      <c r="E702">
        <v>1</v>
      </c>
      <c r="F702">
        <v>213</v>
      </c>
      <c r="G702">
        <v>9.09</v>
      </c>
      <c r="H702">
        <v>327</v>
      </c>
      <c r="I702">
        <v>1</v>
      </c>
      <c r="J702">
        <v>3</v>
      </c>
    </row>
    <row r="703" spans="1:10" x14ac:dyDescent="0.3">
      <c r="A703">
        <v>160</v>
      </c>
      <c r="B703">
        <v>1</v>
      </c>
      <c r="C703">
        <v>1</v>
      </c>
      <c r="D703">
        <v>4</v>
      </c>
      <c r="E703">
        <v>0</v>
      </c>
      <c r="F703">
        <v>7</v>
      </c>
      <c r="G703">
        <v>0.31</v>
      </c>
      <c r="H703">
        <v>293</v>
      </c>
      <c r="I703">
        <v>30</v>
      </c>
      <c r="J703">
        <v>3</v>
      </c>
    </row>
    <row r="704" spans="1:10" x14ac:dyDescent="0.3">
      <c r="A704">
        <v>57</v>
      </c>
      <c r="B704">
        <v>1</v>
      </c>
      <c r="C704">
        <v>1</v>
      </c>
      <c r="D704">
        <v>2</v>
      </c>
      <c r="E704">
        <v>1</v>
      </c>
      <c r="F704">
        <v>2</v>
      </c>
      <c r="G704">
        <v>0.09</v>
      </c>
      <c r="H704">
        <v>211</v>
      </c>
      <c r="I704">
        <v>30</v>
      </c>
      <c r="J704">
        <v>1</v>
      </c>
    </row>
    <row r="705" spans="1:10" x14ac:dyDescent="0.3">
      <c r="A705">
        <v>80</v>
      </c>
      <c r="B705">
        <v>1</v>
      </c>
      <c r="C705">
        <v>1</v>
      </c>
      <c r="D705">
        <v>4</v>
      </c>
      <c r="E705">
        <v>1</v>
      </c>
      <c r="F705">
        <v>30</v>
      </c>
      <c r="G705">
        <v>1.31</v>
      </c>
      <c r="H705">
        <v>36</v>
      </c>
      <c r="I705">
        <v>5</v>
      </c>
      <c r="J705">
        <v>1</v>
      </c>
    </row>
    <row r="706" spans="1:10" x14ac:dyDescent="0.3">
      <c r="A706">
        <v>125</v>
      </c>
      <c r="B706">
        <v>1</v>
      </c>
      <c r="C706">
        <v>1</v>
      </c>
      <c r="D706">
        <v>2</v>
      </c>
      <c r="E706">
        <v>0</v>
      </c>
      <c r="F706">
        <v>6</v>
      </c>
      <c r="G706">
        <v>0.26</v>
      </c>
      <c r="H706">
        <v>30</v>
      </c>
      <c r="I706">
        <v>30</v>
      </c>
      <c r="J706">
        <v>2</v>
      </c>
    </row>
    <row r="707" spans="1:10" x14ac:dyDescent="0.3">
      <c r="A707">
        <v>79</v>
      </c>
      <c r="B707">
        <v>1</v>
      </c>
      <c r="C707">
        <v>1</v>
      </c>
      <c r="D707">
        <v>2</v>
      </c>
      <c r="E707">
        <v>0</v>
      </c>
      <c r="F707">
        <v>17</v>
      </c>
      <c r="G707">
        <v>0.71</v>
      </c>
      <c r="H707">
        <v>121</v>
      </c>
      <c r="I707">
        <v>30</v>
      </c>
      <c r="J707">
        <v>2</v>
      </c>
    </row>
    <row r="708" spans="1:10" x14ac:dyDescent="0.3">
      <c r="A708">
        <v>67</v>
      </c>
      <c r="B708">
        <v>2</v>
      </c>
      <c r="C708">
        <v>2</v>
      </c>
      <c r="D708">
        <v>2</v>
      </c>
      <c r="E708">
        <v>1</v>
      </c>
      <c r="F708">
        <v>4</v>
      </c>
      <c r="G708">
        <v>0.26</v>
      </c>
      <c r="H708">
        <v>59</v>
      </c>
      <c r="I708">
        <v>30</v>
      </c>
      <c r="J708">
        <v>1</v>
      </c>
    </row>
    <row r="709" spans="1:10" x14ac:dyDescent="0.3">
      <c r="A709">
        <v>135</v>
      </c>
      <c r="B709">
        <v>2</v>
      </c>
      <c r="C709">
        <v>1</v>
      </c>
      <c r="D709">
        <v>4</v>
      </c>
      <c r="E709">
        <v>0</v>
      </c>
      <c r="F709">
        <v>7</v>
      </c>
      <c r="G709">
        <v>0.33</v>
      </c>
      <c r="H709">
        <v>153</v>
      </c>
      <c r="I709">
        <v>30</v>
      </c>
      <c r="J709">
        <v>4</v>
      </c>
    </row>
    <row r="710" spans="1:10" x14ac:dyDescent="0.3">
      <c r="A710">
        <v>119</v>
      </c>
      <c r="B710">
        <v>2</v>
      </c>
      <c r="C710">
        <v>1</v>
      </c>
      <c r="D710">
        <v>0</v>
      </c>
      <c r="E710">
        <v>0</v>
      </c>
      <c r="F710">
        <v>19</v>
      </c>
      <c r="G710">
        <v>0.8</v>
      </c>
      <c r="H710">
        <v>300</v>
      </c>
      <c r="I710">
        <v>30</v>
      </c>
      <c r="J710">
        <v>4</v>
      </c>
    </row>
    <row r="711" spans="1:10" x14ac:dyDescent="0.3">
      <c r="A711">
        <v>378</v>
      </c>
      <c r="B711">
        <v>1</v>
      </c>
      <c r="C711">
        <v>1</v>
      </c>
      <c r="D711">
        <v>4</v>
      </c>
      <c r="E711">
        <v>0</v>
      </c>
      <c r="F711">
        <v>65</v>
      </c>
      <c r="G711">
        <v>2.77</v>
      </c>
      <c r="H711">
        <v>59</v>
      </c>
      <c r="I711">
        <v>8</v>
      </c>
      <c r="J711">
        <v>2</v>
      </c>
    </row>
    <row r="712" spans="1:10" x14ac:dyDescent="0.3">
      <c r="A712">
        <v>322</v>
      </c>
      <c r="B712">
        <v>3</v>
      </c>
      <c r="C712">
        <v>1</v>
      </c>
      <c r="D712">
        <v>4</v>
      </c>
      <c r="E712">
        <v>0</v>
      </c>
      <c r="F712">
        <v>35</v>
      </c>
      <c r="G712">
        <v>1.5</v>
      </c>
      <c r="H712">
        <v>314</v>
      </c>
      <c r="I712">
        <v>1</v>
      </c>
      <c r="J712">
        <v>5</v>
      </c>
    </row>
    <row r="713" spans="1:10" x14ac:dyDescent="0.3">
      <c r="A713">
        <v>268</v>
      </c>
      <c r="B713">
        <v>3</v>
      </c>
      <c r="C713">
        <v>1</v>
      </c>
      <c r="D713">
        <v>2</v>
      </c>
      <c r="E713">
        <v>0</v>
      </c>
      <c r="F713">
        <v>40</v>
      </c>
      <c r="G713">
        <v>1.77</v>
      </c>
      <c r="H713">
        <v>112</v>
      </c>
      <c r="I713">
        <v>2</v>
      </c>
      <c r="J713">
        <v>6</v>
      </c>
    </row>
    <row r="714" spans="1:10" x14ac:dyDescent="0.3">
      <c r="A714">
        <v>85</v>
      </c>
      <c r="B714">
        <v>1</v>
      </c>
      <c r="C714">
        <v>1</v>
      </c>
      <c r="D714">
        <v>2</v>
      </c>
      <c r="E714">
        <v>1</v>
      </c>
      <c r="F714">
        <v>8</v>
      </c>
      <c r="G714">
        <v>0.34</v>
      </c>
      <c r="H714">
        <v>102</v>
      </c>
      <c r="I714">
        <v>30</v>
      </c>
      <c r="J714">
        <v>2</v>
      </c>
    </row>
    <row r="715" spans="1:10" x14ac:dyDescent="0.3">
      <c r="A715">
        <v>115</v>
      </c>
      <c r="B715">
        <v>1</v>
      </c>
      <c r="C715">
        <v>1</v>
      </c>
      <c r="D715">
        <v>4</v>
      </c>
      <c r="E715">
        <v>0</v>
      </c>
      <c r="F715">
        <v>4</v>
      </c>
      <c r="G715">
        <v>0.19</v>
      </c>
      <c r="H715">
        <v>242</v>
      </c>
      <c r="I715">
        <v>30</v>
      </c>
      <c r="J715">
        <v>2</v>
      </c>
    </row>
    <row r="716" spans="1:10" x14ac:dyDescent="0.3">
      <c r="A716">
        <v>51</v>
      </c>
      <c r="B716">
        <v>1</v>
      </c>
      <c r="C716">
        <v>1</v>
      </c>
      <c r="D716">
        <v>4</v>
      </c>
      <c r="E716">
        <v>1</v>
      </c>
      <c r="F716">
        <v>4</v>
      </c>
      <c r="G716">
        <v>0.39</v>
      </c>
      <c r="H716">
        <v>269</v>
      </c>
      <c r="I716">
        <v>30</v>
      </c>
      <c r="J716">
        <v>2</v>
      </c>
    </row>
    <row r="717" spans="1:10" x14ac:dyDescent="0.3">
      <c r="A717">
        <v>127</v>
      </c>
      <c r="B717">
        <v>1</v>
      </c>
      <c r="C717">
        <v>1</v>
      </c>
      <c r="D717">
        <v>0</v>
      </c>
      <c r="E717">
        <v>1</v>
      </c>
      <c r="F717">
        <v>43</v>
      </c>
      <c r="G717">
        <v>2.14</v>
      </c>
      <c r="H717">
        <v>169</v>
      </c>
      <c r="I717">
        <v>5</v>
      </c>
      <c r="J717">
        <v>1</v>
      </c>
    </row>
    <row r="718" spans="1:10" x14ac:dyDescent="0.3">
      <c r="A718">
        <v>175</v>
      </c>
      <c r="B718">
        <v>1</v>
      </c>
      <c r="C718">
        <v>1</v>
      </c>
      <c r="D718">
        <v>2</v>
      </c>
      <c r="E718">
        <v>0</v>
      </c>
      <c r="F718">
        <v>8</v>
      </c>
      <c r="G718">
        <v>0.51</v>
      </c>
      <c r="H718">
        <v>212</v>
      </c>
      <c r="I718">
        <v>30</v>
      </c>
      <c r="J718">
        <v>2</v>
      </c>
    </row>
    <row r="719" spans="1:10" x14ac:dyDescent="0.3">
      <c r="A719">
        <v>227</v>
      </c>
      <c r="B719">
        <v>1</v>
      </c>
      <c r="C719">
        <v>1</v>
      </c>
      <c r="D719">
        <v>4</v>
      </c>
      <c r="E719">
        <v>0</v>
      </c>
      <c r="F719">
        <v>4</v>
      </c>
      <c r="G719">
        <v>0.45</v>
      </c>
      <c r="H719">
        <v>280</v>
      </c>
      <c r="I719">
        <v>30</v>
      </c>
      <c r="J719">
        <v>2</v>
      </c>
    </row>
    <row r="720" spans="1:10" x14ac:dyDescent="0.3">
      <c r="A720">
        <v>222</v>
      </c>
      <c r="B720">
        <v>2</v>
      </c>
      <c r="C720">
        <v>1</v>
      </c>
      <c r="D720">
        <v>2</v>
      </c>
      <c r="E720">
        <v>0</v>
      </c>
      <c r="F720">
        <v>3</v>
      </c>
      <c r="G720">
        <v>0.27</v>
      </c>
      <c r="H720">
        <v>304</v>
      </c>
      <c r="I720">
        <v>30</v>
      </c>
      <c r="J720">
        <v>4</v>
      </c>
    </row>
    <row r="721" spans="1:10" x14ac:dyDescent="0.3">
      <c r="A721">
        <v>54</v>
      </c>
      <c r="B721">
        <v>1</v>
      </c>
      <c r="C721">
        <v>1</v>
      </c>
      <c r="D721">
        <v>4</v>
      </c>
      <c r="E721">
        <v>1</v>
      </c>
      <c r="F721">
        <v>3</v>
      </c>
      <c r="G721">
        <v>0.14000000000000001</v>
      </c>
      <c r="H721">
        <v>364</v>
      </c>
      <c r="I721">
        <v>30</v>
      </c>
      <c r="J721">
        <v>1</v>
      </c>
    </row>
    <row r="722" spans="1:10" x14ac:dyDescent="0.3">
      <c r="A722">
        <v>85</v>
      </c>
      <c r="B722">
        <v>1</v>
      </c>
      <c r="C722">
        <v>1</v>
      </c>
      <c r="D722">
        <v>2</v>
      </c>
      <c r="E722">
        <v>1</v>
      </c>
      <c r="F722">
        <v>53</v>
      </c>
      <c r="G722">
        <v>2.39</v>
      </c>
      <c r="H722">
        <v>163</v>
      </c>
      <c r="I722">
        <v>2</v>
      </c>
      <c r="J722">
        <v>2</v>
      </c>
    </row>
    <row r="723" spans="1:10" x14ac:dyDescent="0.3">
      <c r="A723">
        <v>110</v>
      </c>
      <c r="B723">
        <v>2</v>
      </c>
      <c r="C723">
        <v>1</v>
      </c>
      <c r="D723">
        <v>4</v>
      </c>
      <c r="E723">
        <v>0</v>
      </c>
      <c r="F723">
        <v>3</v>
      </c>
      <c r="G723">
        <v>0.16</v>
      </c>
      <c r="H723">
        <v>269</v>
      </c>
      <c r="I723">
        <v>30</v>
      </c>
      <c r="J723">
        <v>4</v>
      </c>
    </row>
    <row r="724" spans="1:10" x14ac:dyDescent="0.3">
      <c r="A724">
        <v>192</v>
      </c>
      <c r="B724">
        <v>1</v>
      </c>
      <c r="C724">
        <v>1</v>
      </c>
      <c r="D724">
        <v>4</v>
      </c>
      <c r="E724">
        <v>0</v>
      </c>
      <c r="F724">
        <v>9</v>
      </c>
      <c r="G724">
        <v>0.52</v>
      </c>
      <c r="H724">
        <v>345</v>
      </c>
      <c r="I724">
        <v>30</v>
      </c>
      <c r="J724">
        <v>2</v>
      </c>
    </row>
    <row r="725" spans="1:10" x14ac:dyDescent="0.3">
      <c r="A725">
        <v>118</v>
      </c>
      <c r="B725">
        <v>1</v>
      </c>
      <c r="C725">
        <v>1</v>
      </c>
      <c r="D725">
        <v>4</v>
      </c>
      <c r="E725">
        <v>0</v>
      </c>
      <c r="F725">
        <v>6</v>
      </c>
      <c r="G725">
        <v>0.42</v>
      </c>
      <c r="H725">
        <v>260</v>
      </c>
      <c r="I725">
        <v>30</v>
      </c>
      <c r="J725">
        <v>2</v>
      </c>
    </row>
    <row r="726" spans="1:10" x14ac:dyDescent="0.3">
      <c r="A726">
        <v>264</v>
      </c>
      <c r="B726">
        <v>3</v>
      </c>
      <c r="C726">
        <v>1</v>
      </c>
      <c r="D726">
        <v>4</v>
      </c>
      <c r="E726">
        <v>0</v>
      </c>
      <c r="F726">
        <v>20</v>
      </c>
      <c r="G726">
        <v>0.89</v>
      </c>
      <c r="H726">
        <v>290</v>
      </c>
      <c r="I726">
        <v>1</v>
      </c>
      <c r="J726">
        <v>5</v>
      </c>
    </row>
    <row r="727" spans="1:10" x14ac:dyDescent="0.3">
      <c r="A727">
        <v>53</v>
      </c>
      <c r="B727">
        <v>1</v>
      </c>
      <c r="C727">
        <v>1</v>
      </c>
      <c r="D727">
        <v>4</v>
      </c>
      <c r="E727">
        <v>0</v>
      </c>
      <c r="F727">
        <v>2</v>
      </c>
      <c r="G727">
        <v>0.83</v>
      </c>
      <c r="H727">
        <v>247</v>
      </c>
      <c r="I727">
        <v>30</v>
      </c>
      <c r="J727">
        <v>1</v>
      </c>
    </row>
    <row r="728" spans="1:10" x14ac:dyDescent="0.3">
      <c r="A728">
        <v>412</v>
      </c>
      <c r="B728">
        <v>3</v>
      </c>
      <c r="C728">
        <v>1</v>
      </c>
      <c r="D728">
        <v>4</v>
      </c>
      <c r="E728">
        <v>1</v>
      </c>
      <c r="F728">
        <v>62</v>
      </c>
      <c r="G728">
        <v>2.94</v>
      </c>
      <c r="H728">
        <v>73</v>
      </c>
      <c r="I728">
        <v>1</v>
      </c>
      <c r="J728">
        <v>5</v>
      </c>
    </row>
    <row r="729" spans="1:10" x14ac:dyDescent="0.3">
      <c r="A729">
        <v>150</v>
      </c>
      <c r="B729">
        <v>1</v>
      </c>
      <c r="C729">
        <v>1</v>
      </c>
      <c r="D729">
        <v>4</v>
      </c>
      <c r="E729">
        <v>0</v>
      </c>
      <c r="F729">
        <v>2</v>
      </c>
      <c r="G729">
        <v>0.28000000000000003</v>
      </c>
      <c r="H729">
        <v>223</v>
      </c>
      <c r="I729">
        <v>30</v>
      </c>
      <c r="J729">
        <v>2</v>
      </c>
    </row>
    <row r="730" spans="1:10" x14ac:dyDescent="0.3">
      <c r="A730">
        <v>99</v>
      </c>
      <c r="B730">
        <v>2</v>
      </c>
      <c r="C730">
        <v>1</v>
      </c>
      <c r="D730">
        <v>2</v>
      </c>
      <c r="E730">
        <v>0</v>
      </c>
      <c r="F730">
        <v>28</v>
      </c>
      <c r="G730">
        <v>1.28</v>
      </c>
      <c r="H730">
        <v>151</v>
      </c>
      <c r="I730">
        <v>30</v>
      </c>
      <c r="J730">
        <v>4</v>
      </c>
    </row>
    <row r="731" spans="1:10" x14ac:dyDescent="0.3">
      <c r="A731">
        <v>131</v>
      </c>
      <c r="B731">
        <v>2</v>
      </c>
      <c r="C731">
        <v>1.5</v>
      </c>
      <c r="D731">
        <v>2</v>
      </c>
      <c r="E731">
        <v>0</v>
      </c>
      <c r="F731">
        <v>6</v>
      </c>
      <c r="G731">
        <v>0.28999999999999998</v>
      </c>
      <c r="H731">
        <v>137</v>
      </c>
      <c r="I731">
        <v>30</v>
      </c>
      <c r="J731">
        <v>3</v>
      </c>
    </row>
    <row r="732" spans="1:10" x14ac:dyDescent="0.3">
      <c r="A732">
        <v>296</v>
      </c>
      <c r="B732">
        <v>3</v>
      </c>
      <c r="C732">
        <v>1</v>
      </c>
      <c r="D732">
        <v>4</v>
      </c>
      <c r="E732">
        <v>0</v>
      </c>
      <c r="F732">
        <v>26</v>
      </c>
      <c r="G732">
        <v>1.29</v>
      </c>
      <c r="H732">
        <v>242</v>
      </c>
      <c r="I732">
        <v>1</v>
      </c>
      <c r="J732">
        <v>5</v>
      </c>
    </row>
    <row r="733" spans="1:10" x14ac:dyDescent="0.3">
      <c r="A733">
        <v>109</v>
      </c>
      <c r="B733">
        <v>2</v>
      </c>
      <c r="C733">
        <v>1</v>
      </c>
      <c r="D733">
        <v>0</v>
      </c>
      <c r="E733">
        <v>0</v>
      </c>
      <c r="F733">
        <v>6</v>
      </c>
      <c r="G733">
        <v>0.36</v>
      </c>
      <c r="H733">
        <v>240</v>
      </c>
      <c r="I733">
        <v>30</v>
      </c>
      <c r="J733">
        <v>2</v>
      </c>
    </row>
    <row r="734" spans="1:10" x14ac:dyDescent="0.3">
      <c r="A734">
        <v>175</v>
      </c>
      <c r="B734">
        <v>1</v>
      </c>
      <c r="C734">
        <v>1</v>
      </c>
      <c r="D734">
        <v>4</v>
      </c>
      <c r="E734">
        <v>0</v>
      </c>
      <c r="F734">
        <v>2</v>
      </c>
      <c r="G734">
        <v>0.33</v>
      </c>
      <c r="H734">
        <v>236</v>
      </c>
      <c r="I734">
        <v>30</v>
      </c>
      <c r="J734">
        <v>3</v>
      </c>
    </row>
    <row r="735" spans="1:10" x14ac:dyDescent="0.3">
      <c r="A735">
        <v>240</v>
      </c>
      <c r="B735">
        <v>1</v>
      </c>
      <c r="C735">
        <v>1</v>
      </c>
      <c r="D735">
        <v>2</v>
      </c>
      <c r="E735">
        <v>0</v>
      </c>
      <c r="F735">
        <v>10</v>
      </c>
      <c r="G735">
        <v>0.5</v>
      </c>
      <c r="H735">
        <v>39</v>
      </c>
      <c r="I735">
        <v>30</v>
      </c>
      <c r="J735">
        <v>2</v>
      </c>
    </row>
    <row r="736" spans="1:10" x14ac:dyDescent="0.3">
      <c r="A736">
        <v>77</v>
      </c>
      <c r="B736">
        <v>1</v>
      </c>
      <c r="C736">
        <v>1</v>
      </c>
      <c r="D736">
        <v>2</v>
      </c>
      <c r="E736">
        <v>1</v>
      </c>
      <c r="F736">
        <v>20</v>
      </c>
      <c r="G736">
        <v>0.96</v>
      </c>
      <c r="H736">
        <v>107</v>
      </c>
      <c r="I736">
        <v>30</v>
      </c>
      <c r="J736">
        <v>2</v>
      </c>
    </row>
    <row r="737" spans="1:10" x14ac:dyDescent="0.3">
      <c r="A737">
        <v>81</v>
      </c>
      <c r="B737">
        <v>1</v>
      </c>
      <c r="C737">
        <v>1</v>
      </c>
      <c r="D737">
        <v>2</v>
      </c>
      <c r="E737">
        <v>1</v>
      </c>
      <c r="F737">
        <v>13</v>
      </c>
      <c r="G737">
        <v>0.62</v>
      </c>
      <c r="H737">
        <v>213</v>
      </c>
      <c r="I737">
        <v>30</v>
      </c>
      <c r="J737">
        <v>2</v>
      </c>
    </row>
    <row r="738" spans="1:10" x14ac:dyDescent="0.3">
      <c r="A738">
        <v>90</v>
      </c>
      <c r="B738">
        <v>2</v>
      </c>
      <c r="C738">
        <v>1</v>
      </c>
      <c r="D738">
        <v>2</v>
      </c>
      <c r="E738">
        <v>0</v>
      </c>
      <c r="F738">
        <v>34</v>
      </c>
      <c r="G738">
        <v>1.6</v>
      </c>
      <c r="H738">
        <v>285</v>
      </c>
      <c r="I738">
        <v>30</v>
      </c>
      <c r="J738">
        <v>4</v>
      </c>
    </row>
    <row r="739" spans="1:10" x14ac:dyDescent="0.3">
      <c r="A739">
        <v>146</v>
      </c>
      <c r="B739">
        <v>1</v>
      </c>
      <c r="C739">
        <v>1</v>
      </c>
      <c r="D739">
        <v>4</v>
      </c>
      <c r="E739">
        <v>0</v>
      </c>
      <c r="F739">
        <v>2</v>
      </c>
      <c r="G739">
        <v>0.8</v>
      </c>
      <c r="H739">
        <v>337</v>
      </c>
      <c r="I739">
        <v>30</v>
      </c>
      <c r="J739">
        <v>2</v>
      </c>
    </row>
    <row r="740" spans="1:10" x14ac:dyDescent="0.3">
      <c r="A740">
        <v>150</v>
      </c>
      <c r="B740">
        <v>1</v>
      </c>
      <c r="C740">
        <v>1</v>
      </c>
      <c r="D740">
        <v>4</v>
      </c>
      <c r="E740">
        <v>0</v>
      </c>
      <c r="F740">
        <v>2</v>
      </c>
      <c r="G740">
        <v>0.49</v>
      </c>
      <c r="H740">
        <v>310</v>
      </c>
      <c r="I740">
        <v>30</v>
      </c>
      <c r="J740">
        <v>2</v>
      </c>
    </row>
    <row r="741" spans="1:10" x14ac:dyDescent="0.3">
      <c r="A741">
        <v>200</v>
      </c>
      <c r="B741">
        <v>4</v>
      </c>
      <c r="C741">
        <v>2</v>
      </c>
      <c r="D741">
        <v>4</v>
      </c>
      <c r="E741">
        <v>0</v>
      </c>
      <c r="F741">
        <v>4</v>
      </c>
      <c r="G741">
        <v>0.21</v>
      </c>
      <c r="H741">
        <v>43</v>
      </c>
      <c r="I741">
        <v>30</v>
      </c>
      <c r="J741">
        <v>8</v>
      </c>
    </row>
    <row r="742" spans="1:10" x14ac:dyDescent="0.3">
      <c r="A742">
        <v>88</v>
      </c>
      <c r="B742">
        <v>1</v>
      </c>
      <c r="C742">
        <v>1</v>
      </c>
      <c r="D742">
        <v>4</v>
      </c>
      <c r="E742">
        <v>0</v>
      </c>
      <c r="F742">
        <v>1</v>
      </c>
      <c r="G742">
        <v>0.68</v>
      </c>
      <c r="H742">
        <v>329</v>
      </c>
      <c r="I742">
        <v>30</v>
      </c>
      <c r="J742">
        <v>2</v>
      </c>
    </row>
    <row r="743" spans="1:10" x14ac:dyDescent="0.3">
      <c r="A743">
        <v>140</v>
      </c>
      <c r="B743">
        <v>1</v>
      </c>
      <c r="C743">
        <v>1</v>
      </c>
      <c r="D743">
        <v>4</v>
      </c>
      <c r="E743">
        <v>0</v>
      </c>
      <c r="F743">
        <v>3</v>
      </c>
      <c r="G743">
        <v>0.86</v>
      </c>
      <c r="H743">
        <v>189</v>
      </c>
      <c r="I743">
        <v>30</v>
      </c>
      <c r="J743">
        <v>2</v>
      </c>
    </row>
    <row r="744" spans="1:10" x14ac:dyDescent="0.3">
      <c r="A744">
        <v>112</v>
      </c>
      <c r="B744">
        <v>1</v>
      </c>
      <c r="C744">
        <v>1</v>
      </c>
      <c r="D744">
        <v>4</v>
      </c>
      <c r="E744">
        <v>0</v>
      </c>
      <c r="F744">
        <v>1</v>
      </c>
      <c r="G744">
        <v>0.91</v>
      </c>
      <c r="H744">
        <v>337</v>
      </c>
      <c r="I744">
        <v>30</v>
      </c>
      <c r="J744">
        <v>2</v>
      </c>
    </row>
    <row r="745" spans="1:10" x14ac:dyDescent="0.3">
      <c r="A745">
        <v>147</v>
      </c>
      <c r="B745">
        <v>1</v>
      </c>
      <c r="C745">
        <v>2</v>
      </c>
      <c r="D745">
        <v>4</v>
      </c>
      <c r="E745">
        <v>1</v>
      </c>
      <c r="F745">
        <v>47</v>
      </c>
      <c r="G745">
        <v>3.58</v>
      </c>
      <c r="H745">
        <v>237</v>
      </c>
      <c r="I745">
        <v>2</v>
      </c>
      <c r="J745">
        <v>2</v>
      </c>
    </row>
    <row r="746" spans="1:10" x14ac:dyDescent="0.3">
      <c r="A746">
        <v>442</v>
      </c>
      <c r="B746">
        <v>2</v>
      </c>
      <c r="C746">
        <v>1</v>
      </c>
      <c r="D746">
        <v>4</v>
      </c>
      <c r="E746">
        <v>1</v>
      </c>
      <c r="F746">
        <v>13</v>
      </c>
      <c r="G746">
        <v>0.73</v>
      </c>
      <c r="H746">
        <v>314</v>
      </c>
      <c r="I746">
        <v>1</v>
      </c>
      <c r="J746">
        <v>4</v>
      </c>
    </row>
    <row r="747" spans="1:10" x14ac:dyDescent="0.3">
      <c r="A747">
        <v>288</v>
      </c>
      <c r="B747">
        <v>2</v>
      </c>
      <c r="C747">
        <v>1</v>
      </c>
      <c r="D747">
        <v>4</v>
      </c>
      <c r="E747">
        <v>0</v>
      </c>
      <c r="F747">
        <v>1</v>
      </c>
      <c r="G747">
        <v>0.71</v>
      </c>
      <c r="H747">
        <v>184</v>
      </c>
      <c r="I747">
        <v>30</v>
      </c>
      <c r="J747">
        <v>4</v>
      </c>
    </row>
    <row r="748" spans="1:10" x14ac:dyDescent="0.3">
      <c r="A748">
        <v>201</v>
      </c>
      <c r="B748">
        <v>1</v>
      </c>
      <c r="C748">
        <v>1</v>
      </c>
      <c r="D748">
        <v>2</v>
      </c>
      <c r="E748">
        <v>0</v>
      </c>
      <c r="F748">
        <v>6</v>
      </c>
      <c r="G748">
        <v>0.45</v>
      </c>
      <c r="H748">
        <v>184</v>
      </c>
      <c r="I748">
        <v>30</v>
      </c>
      <c r="J748">
        <v>3</v>
      </c>
    </row>
    <row r="749" spans="1:10" x14ac:dyDescent="0.3">
      <c r="A749">
        <v>52</v>
      </c>
      <c r="B749">
        <v>1</v>
      </c>
      <c r="C749">
        <v>2</v>
      </c>
      <c r="D749">
        <v>2</v>
      </c>
      <c r="E749">
        <v>1</v>
      </c>
      <c r="F749">
        <v>10</v>
      </c>
      <c r="G749">
        <v>0.54</v>
      </c>
      <c r="H749">
        <v>82</v>
      </c>
      <c r="I749">
        <v>30</v>
      </c>
      <c r="J749">
        <v>2</v>
      </c>
    </row>
    <row r="750" spans="1:10" x14ac:dyDescent="0.3">
      <c r="A750">
        <v>90</v>
      </c>
      <c r="B750">
        <v>1</v>
      </c>
      <c r="C750">
        <v>1</v>
      </c>
      <c r="D750">
        <v>2</v>
      </c>
      <c r="E750">
        <v>1</v>
      </c>
      <c r="F750">
        <v>27</v>
      </c>
      <c r="G750">
        <v>1.32</v>
      </c>
      <c r="H750">
        <v>223</v>
      </c>
      <c r="I750">
        <v>1</v>
      </c>
      <c r="J750">
        <v>2</v>
      </c>
    </row>
    <row r="751" spans="1:10" x14ac:dyDescent="0.3">
      <c r="A751">
        <v>192</v>
      </c>
      <c r="B751">
        <v>2</v>
      </c>
      <c r="C751">
        <v>2</v>
      </c>
      <c r="D751">
        <v>4</v>
      </c>
      <c r="E751">
        <v>1</v>
      </c>
      <c r="F751">
        <v>29</v>
      </c>
      <c r="G751">
        <v>1.49</v>
      </c>
      <c r="H751">
        <v>291</v>
      </c>
      <c r="I751">
        <v>1</v>
      </c>
      <c r="J751">
        <v>3</v>
      </c>
    </row>
    <row r="752" spans="1:10" x14ac:dyDescent="0.3">
      <c r="A752">
        <v>116</v>
      </c>
      <c r="B752">
        <v>2</v>
      </c>
      <c r="C752">
        <v>1</v>
      </c>
      <c r="D752">
        <v>0</v>
      </c>
      <c r="E752">
        <v>1</v>
      </c>
      <c r="F752">
        <v>25</v>
      </c>
      <c r="G752">
        <v>3.36</v>
      </c>
      <c r="H752">
        <v>189</v>
      </c>
      <c r="I752">
        <v>2</v>
      </c>
      <c r="J752">
        <v>2</v>
      </c>
    </row>
    <row r="753" spans="1:10" x14ac:dyDescent="0.3">
      <c r="A753">
        <v>127</v>
      </c>
      <c r="B753">
        <v>1</v>
      </c>
      <c r="C753">
        <v>1</v>
      </c>
      <c r="D753">
        <v>0</v>
      </c>
      <c r="E753">
        <v>0</v>
      </c>
      <c r="F753">
        <v>48</v>
      </c>
      <c r="G753">
        <v>3.63</v>
      </c>
      <c r="H753">
        <v>257</v>
      </c>
      <c r="I753">
        <v>1</v>
      </c>
      <c r="J753">
        <v>2</v>
      </c>
    </row>
    <row r="754" spans="1:10" x14ac:dyDescent="0.3">
      <c r="A754">
        <v>85</v>
      </c>
      <c r="B754">
        <v>1</v>
      </c>
      <c r="C754">
        <v>1</v>
      </c>
      <c r="D754">
        <v>4</v>
      </c>
      <c r="E754">
        <v>1</v>
      </c>
      <c r="F754">
        <v>7</v>
      </c>
      <c r="G754">
        <v>0.4</v>
      </c>
      <c r="H754">
        <v>175</v>
      </c>
      <c r="I754">
        <v>30</v>
      </c>
      <c r="J754">
        <v>1</v>
      </c>
    </row>
    <row r="755" spans="1:10" x14ac:dyDescent="0.3">
      <c r="A755">
        <v>115</v>
      </c>
      <c r="B755">
        <v>1</v>
      </c>
      <c r="C755">
        <v>2</v>
      </c>
      <c r="D755">
        <v>2</v>
      </c>
      <c r="E755">
        <v>1</v>
      </c>
      <c r="F755">
        <v>18</v>
      </c>
      <c r="G755">
        <v>1.68</v>
      </c>
      <c r="H755">
        <v>264</v>
      </c>
      <c r="I755">
        <v>1</v>
      </c>
      <c r="J755">
        <v>2</v>
      </c>
    </row>
    <row r="756" spans="1:10" x14ac:dyDescent="0.3">
      <c r="A756">
        <v>350</v>
      </c>
      <c r="B756">
        <v>3</v>
      </c>
      <c r="C756">
        <v>2</v>
      </c>
      <c r="D756">
        <v>4</v>
      </c>
      <c r="E756">
        <v>0</v>
      </c>
      <c r="F756">
        <v>5</v>
      </c>
      <c r="G756">
        <v>0.48</v>
      </c>
      <c r="H756">
        <v>270</v>
      </c>
      <c r="I756">
        <v>30</v>
      </c>
      <c r="J756">
        <v>6</v>
      </c>
    </row>
    <row r="757" spans="1:10" x14ac:dyDescent="0.3">
      <c r="A757">
        <v>121</v>
      </c>
      <c r="B757">
        <v>1</v>
      </c>
      <c r="C757">
        <v>1</v>
      </c>
      <c r="D757">
        <v>2</v>
      </c>
      <c r="E757">
        <v>1</v>
      </c>
      <c r="F757">
        <v>13</v>
      </c>
      <c r="G757">
        <v>1.4</v>
      </c>
      <c r="H757">
        <v>254</v>
      </c>
      <c r="I757">
        <v>1</v>
      </c>
      <c r="J757">
        <v>2</v>
      </c>
    </row>
    <row r="758" spans="1:10" x14ac:dyDescent="0.3">
      <c r="A758">
        <v>99</v>
      </c>
      <c r="B758">
        <v>1</v>
      </c>
      <c r="C758">
        <v>1</v>
      </c>
      <c r="D758">
        <v>0</v>
      </c>
      <c r="E758">
        <v>0</v>
      </c>
      <c r="F758">
        <v>3</v>
      </c>
      <c r="G758">
        <v>0.18</v>
      </c>
      <c r="H758">
        <v>206</v>
      </c>
      <c r="I758">
        <v>30</v>
      </c>
      <c r="J758">
        <v>4</v>
      </c>
    </row>
    <row r="759" spans="1:10" x14ac:dyDescent="0.3">
      <c r="A759">
        <v>280</v>
      </c>
      <c r="B759">
        <v>2</v>
      </c>
      <c r="C759">
        <v>2</v>
      </c>
      <c r="D759">
        <v>4</v>
      </c>
      <c r="E759">
        <v>0</v>
      </c>
      <c r="F759">
        <v>30</v>
      </c>
      <c r="G759">
        <v>1.52</v>
      </c>
      <c r="H759">
        <v>235</v>
      </c>
      <c r="I759">
        <v>7</v>
      </c>
      <c r="J759">
        <v>4</v>
      </c>
    </row>
    <row r="760" spans="1:10" x14ac:dyDescent="0.3">
      <c r="A760">
        <v>449</v>
      </c>
      <c r="B760">
        <v>2</v>
      </c>
      <c r="C760">
        <v>1</v>
      </c>
      <c r="D760">
        <v>4</v>
      </c>
      <c r="E760">
        <v>1</v>
      </c>
      <c r="F760">
        <v>21</v>
      </c>
      <c r="G760">
        <v>1.1000000000000001</v>
      </c>
      <c r="H760">
        <v>213</v>
      </c>
      <c r="I760">
        <v>1</v>
      </c>
      <c r="J760">
        <v>4</v>
      </c>
    </row>
    <row r="761" spans="1:10" x14ac:dyDescent="0.3">
      <c r="A761">
        <v>178</v>
      </c>
      <c r="B761">
        <v>2</v>
      </c>
      <c r="C761">
        <v>1</v>
      </c>
      <c r="D761">
        <v>2</v>
      </c>
      <c r="E761">
        <v>0</v>
      </c>
      <c r="F761">
        <v>8</v>
      </c>
      <c r="G761">
        <v>0.45</v>
      </c>
      <c r="H761">
        <v>339</v>
      </c>
      <c r="I761">
        <v>30</v>
      </c>
      <c r="J761">
        <v>4</v>
      </c>
    </row>
    <row r="762" spans="1:10" x14ac:dyDescent="0.3">
      <c r="A762">
        <v>150</v>
      </c>
      <c r="B762">
        <v>1</v>
      </c>
      <c r="C762">
        <v>1</v>
      </c>
      <c r="D762">
        <v>4</v>
      </c>
      <c r="E762">
        <v>0</v>
      </c>
      <c r="F762">
        <v>3</v>
      </c>
      <c r="G762">
        <v>0.3</v>
      </c>
      <c r="H762">
        <v>84</v>
      </c>
      <c r="I762">
        <v>30</v>
      </c>
      <c r="J762">
        <v>2</v>
      </c>
    </row>
    <row r="763" spans="1:10" x14ac:dyDescent="0.3">
      <c r="A763">
        <v>378</v>
      </c>
      <c r="B763">
        <v>4</v>
      </c>
      <c r="C763">
        <v>1</v>
      </c>
      <c r="D763">
        <v>4</v>
      </c>
      <c r="E763">
        <v>0</v>
      </c>
      <c r="F763">
        <v>31</v>
      </c>
      <c r="G763">
        <v>1.65</v>
      </c>
      <c r="H763">
        <v>229</v>
      </c>
      <c r="I763">
        <v>1</v>
      </c>
      <c r="J763">
        <v>7</v>
      </c>
    </row>
    <row r="764" spans="1:10" x14ac:dyDescent="0.3">
      <c r="A764">
        <v>160</v>
      </c>
      <c r="B764">
        <v>1</v>
      </c>
      <c r="C764">
        <v>1</v>
      </c>
      <c r="D764">
        <v>0</v>
      </c>
      <c r="E764">
        <v>0</v>
      </c>
      <c r="F764">
        <v>6</v>
      </c>
      <c r="G764">
        <v>0.54</v>
      </c>
      <c r="H764">
        <v>308</v>
      </c>
      <c r="I764">
        <v>30</v>
      </c>
      <c r="J764">
        <v>3</v>
      </c>
    </row>
    <row r="765" spans="1:10" x14ac:dyDescent="0.3">
      <c r="A765">
        <v>247</v>
      </c>
      <c r="B765">
        <v>2</v>
      </c>
      <c r="C765">
        <v>1</v>
      </c>
      <c r="D765">
        <v>0</v>
      </c>
      <c r="E765">
        <v>0</v>
      </c>
      <c r="F765">
        <v>14</v>
      </c>
      <c r="G765">
        <v>0.83</v>
      </c>
      <c r="H765">
        <v>264</v>
      </c>
      <c r="I765">
        <v>1</v>
      </c>
      <c r="J765">
        <v>4</v>
      </c>
    </row>
    <row r="766" spans="1:10" x14ac:dyDescent="0.3">
      <c r="A766">
        <v>410</v>
      </c>
      <c r="B766">
        <v>1</v>
      </c>
      <c r="C766">
        <v>1</v>
      </c>
      <c r="D766">
        <v>4</v>
      </c>
      <c r="E766">
        <v>0</v>
      </c>
      <c r="F766">
        <v>8</v>
      </c>
      <c r="G766">
        <v>0.44</v>
      </c>
      <c r="H766">
        <v>218</v>
      </c>
      <c r="I766">
        <v>30</v>
      </c>
      <c r="J766">
        <v>2</v>
      </c>
    </row>
    <row r="767" spans="1:10" x14ac:dyDescent="0.3">
      <c r="A767">
        <v>220</v>
      </c>
      <c r="B767">
        <v>2</v>
      </c>
      <c r="C767">
        <v>1</v>
      </c>
      <c r="D767">
        <v>4</v>
      </c>
      <c r="E767">
        <v>0</v>
      </c>
      <c r="F767">
        <v>40</v>
      </c>
      <c r="G767">
        <v>3.52</v>
      </c>
      <c r="H767">
        <v>189</v>
      </c>
      <c r="I767">
        <v>2</v>
      </c>
      <c r="J767">
        <v>3</v>
      </c>
    </row>
    <row r="768" spans="1:10" x14ac:dyDescent="0.3">
      <c r="A768">
        <v>295</v>
      </c>
      <c r="B768">
        <v>3</v>
      </c>
      <c r="C768">
        <v>2</v>
      </c>
      <c r="D768">
        <v>2</v>
      </c>
      <c r="E768">
        <v>1</v>
      </c>
      <c r="F768">
        <v>25</v>
      </c>
      <c r="G768">
        <v>1.72</v>
      </c>
      <c r="H768">
        <v>155</v>
      </c>
      <c r="I768">
        <v>3</v>
      </c>
      <c r="J768">
        <v>5</v>
      </c>
    </row>
    <row r="769" spans="1:10" x14ac:dyDescent="0.3">
      <c r="A769">
        <v>386</v>
      </c>
      <c r="B769">
        <v>4</v>
      </c>
      <c r="C769">
        <v>2</v>
      </c>
      <c r="D769">
        <v>2</v>
      </c>
      <c r="E769">
        <v>0</v>
      </c>
      <c r="F769">
        <v>12</v>
      </c>
      <c r="G769">
        <v>0.68</v>
      </c>
      <c r="H769">
        <v>32</v>
      </c>
      <c r="I769">
        <v>2</v>
      </c>
      <c r="J769">
        <v>8</v>
      </c>
    </row>
    <row r="770" spans="1:10" x14ac:dyDescent="0.3">
      <c r="A770">
        <v>294</v>
      </c>
      <c r="B770">
        <v>1</v>
      </c>
      <c r="C770">
        <v>1</v>
      </c>
      <c r="D770">
        <v>4</v>
      </c>
      <c r="E770">
        <v>0</v>
      </c>
      <c r="F770">
        <v>29</v>
      </c>
      <c r="G770">
        <v>1.71</v>
      </c>
      <c r="H770">
        <v>313</v>
      </c>
      <c r="I770">
        <v>4</v>
      </c>
      <c r="J770">
        <v>4</v>
      </c>
    </row>
    <row r="771" spans="1:10" x14ac:dyDescent="0.3">
      <c r="A771">
        <v>110</v>
      </c>
      <c r="B771">
        <v>1</v>
      </c>
      <c r="C771">
        <v>1</v>
      </c>
      <c r="D771">
        <v>2</v>
      </c>
      <c r="E771">
        <v>1</v>
      </c>
      <c r="F771">
        <v>6</v>
      </c>
      <c r="G771">
        <v>0.35</v>
      </c>
      <c r="H771">
        <v>123</v>
      </c>
      <c r="I771">
        <v>30</v>
      </c>
      <c r="J771">
        <v>2</v>
      </c>
    </row>
    <row r="772" spans="1:10" x14ac:dyDescent="0.3">
      <c r="A772">
        <v>406</v>
      </c>
      <c r="B772">
        <v>7</v>
      </c>
      <c r="C772">
        <v>4</v>
      </c>
      <c r="D772">
        <v>2</v>
      </c>
      <c r="E772">
        <v>0</v>
      </c>
      <c r="F772">
        <v>6</v>
      </c>
      <c r="G772">
        <v>0.5</v>
      </c>
      <c r="H772">
        <v>263</v>
      </c>
      <c r="I772">
        <v>1</v>
      </c>
      <c r="J772">
        <v>14</v>
      </c>
    </row>
    <row r="773" spans="1:10" x14ac:dyDescent="0.3">
      <c r="A773">
        <v>151</v>
      </c>
      <c r="B773">
        <v>1</v>
      </c>
      <c r="C773">
        <v>1</v>
      </c>
      <c r="D773">
        <v>2</v>
      </c>
      <c r="E773">
        <v>0</v>
      </c>
      <c r="F773">
        <v>7</v>
      </c>
      <c r="G773">
        <v>0.38</v>
      </c>
      <c r="H773">
        <v>153</v>
      </c>
      <c r="I773">
        <v>30</v>
      </c>
      <c r="J773">
        <v>3</v>
      </c>
    </row>
    <row r="774" spans="1:10" x14ac:dyDescent="0.3">
      <c r="A774">
        <v>127</v>
      </c>
      <c r="B774">
        <v>2</v>
      </c>
      <c r="C774">
        <v>1</v>
      </c>
      <c r="D774">
        <v>4</v>
      </c>
      <c r="E774">
        <v>0</v>
      </c>
      <c r="F774">
        <v>5</v>
      </c>
      <c r="G774">
        <v>0.46</v>
      </c>
      <c r="H774">
        <v>166</v>
      </c>
      <c r="I774">
        <v>30</v>
      </c>
      <c r="J774">
        <v>2</v>
      </c>
    </row>
    <row r="775" spans="1:10" x14ac:dyDescent="0.3">
      <c r="A775">
        <v>55</v>
      </c>
      <c r="B775">
        <v>2</v>
      </c>
      <c r="C775">
        <v>1</v>
      </c>
      <c r="D775">
        <v>0</v>
      </c>
      <c r="E775">
        <v>1</v>
      </c>
      <c r="F775">
        <v>4</v>
      </c>
      <c r="G775">
        <v>0.83</v>
      </c>
      <c r="H775">
        <v>90</v>
      </c>
      <c r="I775">
        <v>30</v>
      </c>
      <c r="J775">
        <v>2</v>
      </c>
    </row>
    <row r="776" spans="1:10" x14ac:dyDescent="0.3">
      <c r="A776">
        <v>329</v>
      </c>
      <c r="B776">
        <v>2</v>
      </c>
      <c r="C776">
        <v>1</v>
      </c>
      <c r="D776">
        <v>4</v>
      </c>
      <c r="E776">
        <v>0</v>
      </c>
      <c r="F776">
        <v>39</v>
      </c>
      <c r="G776">
        <v>2.13</v>
      </c>
      <c r="H776">
        <v>258</v>
      </c>
      <c r="I776">
        <v>4</v>
      </c>
      <c r="J776">
        <v>6</v>
      </c>
    </row>
    <row r="777" spans="1:10" x14ac:dyDescent="0.3">
      <c r="A777">
        <v>62</v>
      </c>
      <c r="B777">
        <v>1</v>
      </c>
      <c r="C777">
        <v>1</v>
      </c>
      <c r="D777">
        <v>0</v>
      </c>
      <c r="E777">
        <v>1</v>
      </c>
      <c r="F777">
        <v>4</v>
      </c>
      <c r="G777">
        <v>0.26</v>
      </c>
      <c r="H777">
        <v>364</v>
      </c>
      <c r="I777">
        <v>30</v>
      </c>
      <c r="J777">
        <v>1</v>
      </c>
    </row>
    <row r="778" spans="1:10" x14ac:dyDescent="0.3">
      <c r="A778">
        <v>52</v>
      </c>
      <c r="B778">
        <v>1</v>
      </c>
      <c r="C778">
        <v>1</v>
      </c>
      <c r="D778">
        <v>4</v>
      </c>
      <c r="E778">
        <v>1</v>
      </c>
      <c r="F778">
        <v>2</v>
      </c>
      <c r="G778">
        <v>0.8</v>
      </c>
      <c r="H778">
        <v>91</v>
      </c>
      <c r="I778">
        <v>30</v>
      </c>
      <c r="J778">
        <v>2</v>
      </c>
    </row>
    <row r="779" spans="1:10" x14ac:dyDescent="0.3">
      <c r="A779">
        <v>74</v>
      </c>
      <c r="B779">
        <v>1</v>
      </c>
      <c r="C779">
        <v>1</v>
      </c>
      <c r="D779">
        <v>2</v>
      </c>
      <c r="E779">
        <v>1</v>
      </c>
      <c r="F779">
        <v>3</v>
      </c>
      <c r="G779">
        <v>0.17</v>
      </c>
      <c r="H779">
        <v>269</v>
      </c>
      <c r="I779">
        <v>30</v>
      </c>
      <c r="J779">
        <v>2</v>
      </c>
    </row>
    <row r="780" spans="1:10" x14ac:dyDescent="0.3">
      <c r="A780">
        <v>134</v>
      </c>
      <c r="B780">
        <v>2</v>
      </c>
      <c r="C780">
        <v>0</v>
      </c>
      <c r="D780">
        <v>4</v>
      </c>
      <c r="E780">
        <v>1</v>
      </c>
      <c r="F780">
        <v>23</v>
      </c>
      <c r="G780">
        <v>1.3</v>
      </c>
      <c r="H780">
        <v>293</v>
      </c>
      <c r="I780">
        <v>1</v>
      </c>
      <c r="J780">
        <v>4</v>
      </c>
    </row>
    <row r="781" spans="1:10" x14ac:dyDescent="0.3">
      <c r="A781">
        <v>261</v>
      </c>
      <c r="B781">
        <v>1</v>
      </c>
      <c r="C781">
        <v>1</v>
      </c>
      <c r="D781">
        <v>4</v>
      </c>
      <c r="E781">
        <v>0</v>
      </c>
      <c r="F781">
        <v>9</v>
      </c>
      <c r="G781">
        <v>0.51</v>
      </c>
      <c r="H781">
        <v>210</v>
      </c>
      <c r="I781">
        <v>25</v>
      </c>
      <c r="J781">
        <v>2</v>
      </c>
    </row>
    <row r="782" spans="1:10" x14ac:dyDescent="0.3">
      <c r="A782">
        <v>218</v>
      </c>
      <c r="B782">
        <v>1</v>
      </c>
      <c r="C782">
        <v>1</v>
      </c>
      <c r="D782">
        <v>4</v>
      </c>
      <c r="E782">
        <v>0</v>
      </c>
      <c r="F782">
        <v>5</v>
      </c>
      <c r="G782">
        <v>0.31</v>
      </c>
      <c r="H782">
        <v>318</v>
      </c>
      <c r="I782">
        <v>30</v>
      </c>
      <c r="J782">
        <v>2</v>
      </c>
    </row>
    <row r="783" spans="1:10" x14ac:dyDescent="0.3">
      <c r="A783">
        <v>199</v>
      </c>
      <c r="B783">
        <v>1</v>
      </c>
      <c r="C783">
        <v>1</v>
      </c>
      <c r="D783">
        <v>4</v>
      </c>
      <c r="E783">
        <v>0</v>
      </c>
      <c r="F783">
        <v>2</v>
      </c>
      <c r="G783">
        <v>0.41</v>
      </c>
      <c r="H783">
        <v>262</v>
      </c>
      <c r="I783">
        <v>30</v>
      </c>
      <c r="J783">
        <v>2</v>
      </c>
    </row>
    <row r="784" spans="1:10" x14ac:dyDescent="0.3">
      <c r="A784">
        <v>150</v>
      </c>
      <c r="B784">
        <v>2</v>
      </c>
      <c r="C784">
        <v>1</v>
      </c>
      <c r="D784">
        <v>2</v>
      </c>
      <c r="E784">
        <v>0</v>
      </c>
      <c r="F784">
        <v>8</v>
      </c>
      <c r="G784">
        <v>0.49</v>
      </c>
      <c r="H784">
        <v>261</v>
      </c>
      <c r="I784">
        <v>30</v>
      </c>
      <c r="J784">
        <v>3</v>
      </c>
    </row>
    <row r="785" spans="1:10" x14ac:dyDescent="0.3">
      <c r="A785">
        <v>228</v>
      </c>
      <c r="B785">
        <v>2</v>
      </c>
      <c r="C785">
        <v>1.5</v>
      </c>
      <c r="D785">
        <v>2</v>
      </c>
      <c r="E785">
        <v>0</v>
      </c>
      <c r="F785">
        <v>1</v>
      </c>
      <c r="G785">
        <v>0.65</v>
      </c>
      <c r="H785">
        <v>306</v>
      </c>
      <c r="I785">
        <v>30</v>
      </c>
      <c r="J785">
        <v>4</v>
      </c>
    </row>
    <row r="786" spans="1:10" x14ac:dyDescent="0.3">
      <c r="A786">
        <v>118</v>
      </c>
      <c r="B786">
        <v>1</v>
      </c>
      <c r="C786">
        <v>1</v>
      </c>
      <c r="D786">
        <v>4</v>
      </c>
      <c r="E786">
        <v>0</v>
      </c>
      <c r="F786">
        <v>7</v>
      </c>
      <c r="G786">
        <v>0.53</v>
      </c>
      <c r="H786">
        <v>244</v>
      </c>
      <c r="I786">
        <v>30</v>
      </c>
      <c r="J786">
        <v>2</v>
      </c>
    </row>
    <row r="787" spans="1:10" x14ac:dyDescent="0.3">
      <c r="A787">
        <v>150</v>
      </c>
      <c r="B787">
        <v>1</v>
      </c>
      <c r="C787">
        <v>1</v>
      </c>
      <c r="D787">
        <v>4</v>
      </c>
      <c r="E787">
        <v>0</v>
      </c>
      <c r="F787">
        <v>2</v>
      </c>
      <c r="G787">
        <v>0.14000000000000001</v>
      </c>
      <c r="H787">
        <v>240</v>
      </c>
      <c r="I787">
        <v>30</v>
      </c>
      <c r="J787">
        <v>2</v>
      </c>
    </row>
    <row r="788" spans="1:10" x14ac:dyDescent="0.3">
      <c r="A788">
        <v>433</v>
      </c>
      <c r="B788">
        <v>2</v>
      </c>
      <c r="C788">
        <v>1</v>
      </c>
      <c r="D788">
        <v>4</v>
      </c>
      <c r="E788">
        <v>0</v>
      </c>
      <c r="F788">
        <v>3</v>
      </c>
      <c r="G788">
        <v>0.17</v>
      </c>
      <c r="H788">
        <v>244</v>
      </c>
      <c r="I788">
        <v>30</v>
      </c>
      <c r="J788">
        <v>4</v>
      </c>
    </row>
    <row r="789" spans="1:10" x14ac:dyDescent="0.3">
      <c r="A789">
        <v>140</v>
      </c>
      <c r="B789">
        <v>1</v>
      </c>
      <c r="C789">
        <v>1</v>
      </c>
      <c r="D789">
        <v>0</v>
      </c>
      <c r="E789">
        <v>0</v>
      </c>
      <c r="F789">
        <v>46</v>
      </c>
      <c r="G789">
        <v>2.4700000000000002</v>
      </c>
      <c r="H789">
        <v>65</v>
      </c>
      <c r="I789">
        <v>5</v>
      </c>
      <c r="J789">
        <v>2</v>
      </c>
    </row>
    <row r="790" spans="1:10" x14ac:dyDescent="0.3">
      <c r="A790">
        <v>366</v>
      </c>
      <c r="B790">
        <v>3</v>
      </c>
      <c r="C790">
        <v>1</v>
      </c>
      <c r="D790">
        <v>4</v>
      </c>
      <c r="E790">
        <v>0</v>
      </c>
      <c r="F790">
        <v>39</v>
      </c>
      <c r="G790">
        <v>2.21</v>
      </c>
      <c r="H790">
        <v>238</v>
      </c>
      <c r="I790">
        <v>1</v>
      </c>
      <c r="J790">
        <v>6</v>
      </c>
    </row>
    <row r="791" spans="1:10" x14ac:dyDescent="0.3">
      <c r="A791">
        <v>179</v>
      </c>
      <c r="B791">
        <v>1</v>
      </c>
      <c r="C791">
        <v>2</v>
      </c>
      <c r="D791">
        <v>4</v>
      </c>
      <c r="E791">
        <v>1</v>
      </c>
      <c r="F791">
        <v>20</v>
      </c>
      <c r="G791">
        <v>1.19</v>
      </c>
      <c r="H791">
        <v>282</v>
      </c>
      <c r="I791">
        <v>1</v>
      </c>
      <c r="J791">
        <v>2</v>
      </c>
    </row>
    <row r="792" spans="1:10" x14ac:dyDescent="0.3">
      <c r="A792">
        <v>328</v>
      </c>
      <c r="B792">
        <v>4</v>
      </c>
      <c r="C792">
        <v>1</v>
      </c>
      <c r="D792">
        <v>4</v>
      </c>
      <c r="E792">
        <v>1</v>
      </c>
      <c r="F792">
        <v>18</v>
      </c>
      <c r="G792">
        <v>1.0900000000000001</v>
      </c>
      <c r="H792">
        <v>286</v>
      </c>
      <c r="I792">
        <v>1</v>
      </c>
      <c r="J792">
        <v>8</v>
      </c>
    </row>
    <row r="793" spans="1:10" x14ac:dyDescent="0.3">
      <c r="A793">
        <v>165</v>
      </c>
      <c r="B793">
        <v>2</v>
      </c>
      <c r="C793">
        <v>1</v>
      </c>
      <c r="D793">
        <v>4</v>
      </c>
      <c r="E793">
        <v>0</v>
      </c>
      <c r="F793">
        <v>5</v>
      </c>
      <c r="G793">
        <v>0.43</v>
      </c>
      <c r="H793">
        <v>216</v>
      </c>
      <c r="I793">
        <v>30</v>
      </c>
      <c r="J793">
        <v>4</v>
      </c>
    </row>
    <row r="794" spans="1:10" x14ac:dyDescent="0.3">
      <c r="A794">
        <v>350</v>
      </c>
      <c r="B794">
        <v>2</v>
      </c>
      <c r="C794">
        <v>2</v>
      </c>
      <c r="D794">
        <v>4</v>
      </c>
      <c r="E794">
        <v>0</v>
      </c>
      <c r="F794">
        <v>7</v>
      </c>
      <c r="G794">
        <v>0.44</v>
      </c>
      <c r="H794">
        <v>240</v>
      </c>
      <c r="I794">
        <v>30</v>
      </c>
      <c r="J794">
        <v>5</v>
      </c>
    </row>
    <row r="795" spans="1:10" x14ac:dyDescent="0.3">
      <c r="A795">
        <v>157</v>
      </c>
      <c r="B795">
        <v>1</v>
      </c>
      <c r="C795">
        <v>1</v>
      </c>
      <c r="D795">
        <v>4</v>
      </c>
      <c r="E795">
        <v>1</v>
      </c>
      <c r="F795">
        <v>41</v>
      </c>
      <c r="G795">
        <v>2.2999999999999998</v>
      </c>
      <c r="H795">
        <v>98</v>
      </c>
      <c r="I795">
        <v>1</v>
      </c>
      <c r="J795">
        <v>2</v>
      </c>
    </row>
    <row r="796" spans="1:10" x14ac:dyDescent="0.3">
      <c r="A796">
        <v>190</v>
      </c>
      <c r="B796">
        <v>3</v>
      </c>
      <c r="C796">
        <v>2</v>
      </c>
      <c r="D796">
        <v>0</v>
      </c>
      <c r="E796">
        <v>1</v>
      </c>
      <c r="F796">
        <v>17</v>
      </c>
      <c r="G796">
        <v>1.1599999999999999</v>
      </c>
      <c r="H796">
        <v>247</v>
      </c>
      <c r="I796">
        <v>3</v>
      </c>
      <c r="J796">
        <v>9</v>
      </c>
    </row>
    <row r="797" spans="1:10" x14ac:dyDescent="0.3">
      <c r="A797">
        <v>297</v>
      </c>
      <c r="B797">
        <v>1</v>
      </c>
      <c r="C797">
        <v>1</v>
      </c>
      <c r="D797">
        <v>4</v>
      </c>
      <c r="E797">
        <v>0</v>
      </c>
      <c r="F797">
        <v>36</v>
      </c>
      <c r="G797">
        <v>2.09</v>
      </c>
      <c r="H797">
        <v>268</v>
      </c>
      <c r="I797">
        <v>4</v>
      </c>
      <c r="J797">
        <v>4</v>
      </c>
    </row>
    <row r="798" spans="1:10" x14ac:dyDescent="0.3">
      <c r="A798">
        <v>302</v>
      </c>
      <c r="B798">
        <v>2</v>
      </c>
      <c r="C798">
        <v>1</v>
      </c>
      <c r="D798">
        <v>4</v>
      </c>
      <c r="E798">
        <v>0</v>
      </c>
      <c r="F798">
        <v>41</v>
      </c>
      <c r="G798">
        <v>2.31</v>
      </c>
      <c r="H798">
        <v>72</v>
      </c>
      <c r="I798">
        <v>1</v>
      </c>
      <c r="J798">
        <v>4</v>
      </c>
    </row>
    <row r="799" spans="1:10" x14ac:dyDescent="0.3">
      <c r="A799">
        <v>119</v>
      </c>
      <c r="B799">
        <v>2</v>
      </c>
      <c r="C799">
        <v>1</v>
      </c>
      <c r="D799">
        <v>4</v>
      </c>
      <c r="E799">
        <v>1</v>
      </c>
      <c r="F799">
        <v>37</v>
      </c>
      <c r="G799">
        <v>2.12</v>
      </c>
      <c r="H799">
        <v>301</v>
      </c>
      <c r="I799">
        <v>1</v>
      </c>
      <c r="J799">
        <v>2</v>
      </c>
    </row>
    <row r="800" spans="1:10" x14ac:dyDescent="0.3">
      <c r="A800">
        <v>74</v>
      </c>
      <c r="B800">
        <v>1</v>
      </c>
      <c r="C800">
        <v>1</v>
      </c>
      <c r="D800">
        <v>0</v>
      </c>
      <c r="E800">
        <v>1</v>
      </c>
      <c r="F800">
        <v>36</v>
      </c>
      <c r="G800">
        <v>2.0499999999999998</v>
      </c>
      <c r="H800">
        <v>64</v>
      </c>
      <c r="I800">
        <v>2</v>
      </c>
      <c r="J800">
        <v>2</v>
      </c>
    </row>
    <row r="801" spans="1:10" x14ac:dyDescent="0.3">
      <c r="A801">
        <v>67</v>
      </c>
      <c r="B801">
        <v>2</v>
      </c>
      <c r="C801">
        <v>1</v>
      </c>
      <c r="D801">
        <v>0</v>
      </c>
      <c r="E801">
        <v>0</v>
      </c>
      <c r="F801">
        <v>5</v>
      </c>
      <c r="G801">
        <v>0.48</v>
      </c>
      <c r="H801">
        <v>228</v>
      </c>
      <c r="I801">
        <v>30</v>
      </c>
      <c r="J801">
        <v>4</v>
      </c>
    </row>
    <row r="802" spans="1:10" x14ac:dyDescent="0.3">
      <c r="A802">
        <v>389</v>
      </c>
      <c r="B802">
        <v>7</v>
      </c>
      <c r="C802">
        <v>1</v>
      </c>
      <c r="D802">
        <v>4</v>
      </c>
      <c r="E802">
        <v>0</v>
      </c>
      <c r="F802">
        <v>38</v>
      </c>
      <c r="G802">
        <v>2.2799999999999998</v>
      </c>
      <c r="H802">
        <v>261</v>
      </c>
      <c r="I802">
        <v>30</v>
      </c>
      <c r="J802">
        <v>12</v>
      </c>
    </row>
    <row r="803" spans="1:10" x14ac:dyDescent="0.3">
      <c r="A803">
        <v>267</v>
      </c>
      <c r="B803">
        <v>1</v>
      </c>
      <c r="C803">
        <v>1</v>
      </c>
      <c r="D803">
        <v>4</v>
      </c>
      <c r="E803">
        <v>1</v>
      </c>
      <c r="F803">
        <v>55</v>
      </c>
      <c r="G803">
        <v>3.1</v>
      </c>
      <c r="H803">
        <v>231</v>
      </c>
      <c r="I803">
        <v>1</v>
      </c>
      <c r="J803">
        <v>2</v>
      </c>
    </row>
    <row r="804" spans="1:10" x14ac:dyDescent="0.3">
      <c r="A804">
        <v>67</v>
      </c>
      <c r="B804">
        <v>1</v>
      </c>
      <c r="C804">
        <v>1</v>
      </c>
      <c r="D804">
        <v>0</v>
      </c>
      <c r="E804">
        <v>1</v>
      </c>
      <c r="F804">
        <v>55</v>
      </c>
      <c r="G804">
        <v>3.31</v>
      </c>
      <c r="H804">
        <v>48</v>
      </c>
      <c r="I804">
        <v>2</v>
      </c>
      <c r="J804">
        <v>2</v>
      </c>
    </row>
    <row r="805" spans="1:10" x14ac:dyDescent="0.3">
      <c r="A805">
        <v>86</v>
      </c>
      <c r="B805">
        <v>2</v>
      </c>
      <c r="C805">
        <v>1</v>
      </c>
      <c r="D805">
        <v>0</v>
      </c>
      <c r="E805">
        <v>0</v>
      </c>
      <c r="F805">
        <v>1</v>
      </c>
      <c r="G805">
        <v>0.54</v>
      </c>
      <c r="H805">
        <v>262</v>
      </c>
      <c r="I805">
        <v>30</v>
      </c>
      <c r="J805">
        <v>4</v>
      </c>
    </row>
    <row r="806" spans="1:10" x14ac:dyDescent="0.3">
      <c r="A806">
        <v>118</v>
      </c>
      <c r="B806">
        <v>1</v>
      </c>
      <c r="C806">
        <v>1</v>
      </c>
      <c r="D806">
        <v>4</v>
      </c>
      <c r="E806">
        <v>0</v>
      </c>
      <c r="F806">
        <v>7</v>
      </c>
      <c r="G806">
        <v>0.43</v>
      </c>
      <c r="H806">
        <v>332</v>
      </c>
      <c r="I806">
        <v>30</v>
      </c>
      <c r="J806">
        <v>2</v>
      </c>
    </row>
    <row r="807" spans="1:10" x14ac:dyDescent="0.3">
      <c r="A807">
        <v>203</v>
      </c>
      <c r="B807">
        <v>1</v>
      </c>
      <c r="C807">
        <v>1</v>
      </c>
      <c r="D807">
        <v>4</v>
      </c>
      <c r="E807">
        <v>0</v>
      </c>
      <c r="F807">
        <v>5</v>
      </c>
      <c r="G807">
        <v>0.42</v>
      </c>
      <c r="H807">
        <v>82</v>
      </c>
      <c r="I807">
        <v>3</v>
      </c>
      <c r="J807">
        <v>2</v>
      </c>
    </row>
    <row r="808" spans="1:10" x14ac:dyDescent="0.3">
      <c r="A808">
        <v>120</v>
      </c>
      <c r="B808">
        <v>1</v>
      </c>
      <c r="C808">
        <v>1</v>
      </c>
      <c r="D808">
        <v>4</v>
      </c>
      <c r="E808">
        <v>0</v>
      </c>
      <c r="F808">
        <v>2</v>
      </c>
      <c r="G808">
        <v>0.14000000000000001</v>
      </c>
      <c r="H808">
        <v>321</v>
      </c>
      <c r="I808">
        <v>30</v>
      </c>
      <c r="J808">
        <v>2</v>
      </c>
    </row>
    <row r="809" spans="1:10" x14ac:dyDescent="0.3">
      <c r="A809">
        <v>191</v>
      </c>
      <c r="B809">
        <v>3</v>
      </c>
      <c r="C809">
        <v>1</v>
      </c>
      <c r="D809">
        <v>4</v>
      </c>
      <c r="E809">
        <v>1</v>
      </c>
      <c r="F809">
        <v>14</v>
      </c>
      <c r="G809">
        <v>1.1299999999999999</v>
      </c>
      <c r="H809">
        <v>275</v>
      </c>
      <c r="I809">
        <v>1</v>
      </c>
      <c r="J809">
        <v>4</v>
      </c>
    </row>
    <row r="810" spans="1:10" x14ac:dyDescent="0.3">
      <c r="A810">
        <v>99</v>
      </c>
      <c r="B810">
        <v>1</v>
      </c>
      <c r="C810">
        <v>1</v>
      </c>
      <c r="D810">
        <v>0</v>
      </c>
      <c r="E810">
        <v>1</v>
      </c>
      <c r="F810">
        <v>24</v>
      </c>
      <c r="G810">
        <v>1.84</v>
      </c>
      <c r="H810">
        <v>270</v>
      </c>
      <c r="I810">
        <v>3</v>
      </c>
      <c r="J810">
        <v>3</v>
      </c>
    </row>
    <row r="811" spans="1:10" x14ac:dyDescent="0.3">
      <c r="A811">
        <v>345</v>
      </c>
      <c r="B811">
        <v>2</v>
      </c>
      <c r="C811">
        <v>1</v>
      </c>
      <c r="D811">
        <v>4</v>
      </c>
      <c r="E811">
        <v>1</v>
      </c>
      <c r="F811">
        <v>31</v>
      </c>
      <c r="G811">
        <v>2.09</v>
      </c>
      <c r="H811">
        <v>111</v>
      </c>
      <c r="I811">
        <v>1</v>
      </c>
      <c r="J811">
        <v>4</v>
      </c>
    </row>
    <row r="812" spans="1:10" x14ac:dyDescent="0.3">
      <c r="A812">
        <v>279</v>
      </c>
      <c r="B812">
        <v>1</v>
      </c>
      <c r="C812">
        <v>1</v>
      </c>
      <c r="D812">
        <v>4</v>
      </c>
      <c r="E812">
        <v>0</v>
      </c>
      <c r="F812">
        <v>23</v>
      </c>
      <c r="G812">
        <v>1.57</v>
      </c>
      <c r="H812">
        <v>189</v>
      </c>
      <c r="I812">
        <v>7</v>
      </c>
      <c r="J812">
        <v>3</v>
      </c>
    </row>
    <row r="813" spans="1:10" x14ac:dyDescent="0.3">
      <c r="A813">
        <v>131</v>
      </c>
      <c r="B813">
        <v>3</v>
      </c>
      <c r="C813">
        <v>1</v>
      </c>
      <c r="D813">
        <v>4</v>
      </c>
      <c r="E813">
        <v>0</v>
      </c>
      <c r="F813">
        <v>3</v>
      </c>
      <c r="G813">
        <v>0.21</v>
      </c>
      <c r="H813">
        <v>254</v>
      </c>
      <c r="I813">
        <v>30</v>
      </c>
      <c r="J813">
        <v>5</v>
      </c>
    </row>
    <row r="814" spans="1:10" x14ac:dyDescent="0.3">
      <c r="A814">
        <v>120</v>
      </c>
      <c r="B814">
        <v>2</v>
      </c>
      <c r="C814">
        <v>1</v>
      </c>
      <c r="D814">
        <v>4</v>
      </c>
      <c r="E814">
        <v>0</v>
      </c>
      <c r="F814">
        <v>4</v>
      </c>
      <c r="G814">
        <v>0.69</v>
      </c>
      <c r="H814">
        <v>86</v>
      </c>
      <c r="I814">
        <v>30</v>
      </c>
      <c r="J814">
        <v>4</v>
      </c>
    </row>
    <row r="815" spans="1:10" x14ac:dyDescent="0.3">
      <c r="A815">
        <v>137</v>
      </c>
      <c r="B815">
        <v>3</v>
      </c>
      <c r="C815">
        <v>1</v>
      </c>
      <c r="D815">
        <v>4</v>
      </c>
      <c r="E815">
        <v>0</v>
      </c>
      <c r="F815">
        <v>3</v>
      </c>
      <c r="G815">
        <v>0.21</v>
      </c>
      <c r="H815">
        <v>364</v>
      </c>
      <c r="I815">
        <v>30</v>
      </c>
      <c r="J815">
        <v>4</v>
      </c>
    </row>
    <row r="816" spans="1:10" x14ac:dyDescent="0.3">
      <c r="A816">
        <v>113</v>
      </c>
      <c r="B816">
        <v>1</v>
      </c>
      <c r="C816">
        <v>1</v>
      </c>
      <c r="D816">
        <v>4</v>
      </c>
      <c r="E816">
        <v>0</v>
      </c>
      <c r="F816">
        <v>3</v>
      </c>
      <c r="G816">
        <v>0.26</v>
      </c>
      <c r="H816">
        <v>266</v>
      </c>
      <c r="I816">
        <v>30</v>
      </c>
      <c r="J816">
        <v>2</v>
      </c>
    </row>
    <row r="817" spans="1:10" x14ac:dyDescent="0.3">
      <c r="A817">
        <v>73</v>
      </c>
      <c r="B817">
        <v>1</v>
      </c>
      <c r="C817">
        <v>1</v>
      </c>
      <c r="D817">
        <v>0</v>
      </c>
      <c r="E817">
        <v>1</v>
      </c>
      <c r="F817">
        <v>4</v>
      </c>
      <c r="G817">
        <v>0.43</v>
      </c>
      <c r="H817">
        <v>210</v>
      </c>
      <c r="I817">
        <v>30</v>
      </c>
      <c r="J817">
        <v>1</v>
      </c>
    </row>
    <row r="818" spans="1:10" x14ac:dyDescent="0.3">
      <c r="A818">
        <v>85</v>
      </c>
      <c r="B818">
        <v>1</v>
      </c>
      <c r="C818">
        <v>1</v>
      </c>
      <c r="D818">
        <v>0</v>
      </c>
      <c r="E818">
        <v>1</v>
      </c>
      <c r="F818">
        <v>54</v>
      </c>
      <c r="G818">
        <v>3.79</v>
      </c>
      <c r="H818">
        <v>217</v>
      </c>
      <c r="I818">
        <v>2</v>
      </c>
      <c r="J818">
        <v>2</v>
      </c>
    </row>
    <row r="819" spans="1:10" x14ac:dyDescent="0.3">
      <c r="A819">
        <v>430</v>
      </c>
      <c r="B819">
        <v>4</v>
      </c>
      <c r="C819">
        <v>1</v>
      </c>
      <c r="D819">
        <v>4</v>
      </c>
      <c r="E819">
        <v>1</v>
      </c>
      <c r="F819">
        <v>35</v>
      </c>
      <c r="G819">
        <v>2.35</v>
      </c>
      <c r="H819">
        <v>269</v>
      </c>
      <c r="I819">
        <v>1</v>
      </c>
      <c r="J819">
        <v>8</v>
      </c>
    </row>
    <row r="820" spans="1:10" x14ac:dyDescent="0.3">
      <c r="A820">
        <v>170</v>
      </c>
      <c r="B820">
        <v>1</v>
      </c>
      <c r="C820">
        <v>1</v>
      </c>
      <c r="D820">
        <v>4</v>
      </c>
      <c r="E820">
        <v>0</v>
      </c>
      <c r="F820">
        <v>4</v>
      </c>
      <c r="G820">
        <v>0.3</v>
      </c>
      <c r="H820">
        <v>152</v>
      </c>
      <c r="I820">
        <v>30</v>
      </c>
      <c r="J820">
        <v>2</v>
      </c>
    </row>
    <row r="821" spans="1:10" x14ac:dyDescent="0.3">
      <c r="A821">
        <v>244</v>
      </c>
      <c r="B821">
        <v>2</v>
      </c>
      <c r="C821">
        <v>1</v>
      </c>
      <c r="D821">
        <v>4</v>
      </c>
      <c r="E821">
        <v>0</v>
      </c>
      <c r="F821">
        <v>30</v>
      </c>
      <c r="G821">
        <v>2.19</v>
      </c>
      <c r="H821">
        <v>303</v>
      </c>
      <c r="I821">
        <v>2</v>
      </c>
      <c r="J821">
        <v>4</v>
      </c>
    </row>
    <row r="822" spans="1:10" x14ac:dyDescent="0.3">
      <c r="A822">
        <v>78</v>
      </c>
      <c r="B822">
        <v>1</v>
      </c>
      <c r="C822">
        <v>1</v>
      </c>
      <c r="D822">
        <v>4</v>
      </c>
      <c r="E822">
        <v>0</v>
      </c>
      <c r="F822">
        <v>7</v>
      </c>
      <c r="G822">
        <v>0.49</v>
      </c>
      <c r="H822">
        <v>185</v>
      </c>
      <c r="I822">
        <v>30</v>
      </c>
      <c r="J822">
        <v>1</v>
      </c>
    </row>
    <row r="823" spans="1:10" x14ac:dyDescent="0.3">
      <c r="A823">
        <v>358</v>
      </c>
      <c r="B823">
        <v>2</v>
      </c>
      <c r="C823">
        <v>1</v>
      </c>
      <c r="D823">
        <v>4</v>
      </c>
      <c r="E823">
        <v>1</v>
      </c>
      <c r="F823">
        <v>7</v>
      </c>
      <c r="G823">
        <v>0.51</v>
      </c>
      <c r="H823">
        <v>114</v>
      </c>
      <c r="I823">
        <v>1</v>
      </c>
      <c r="J823">
        <v>4</v>
      </c>
    </row>
    <row r="824" spans="1:10" x14ac:dyDescent="0.3">
      <c r="A824">
        <v>385</v>
      </c>
      <c r="B824">
        <v>1</v>
      </c>
      <c r="C824">
        <v>1</v>
      </c>
      <c r="D824">
        <v>4</v>
      </c>
      <c r="E824">
        <v>1</v>
      </c>
      <c r="F824">
        <v>2</v>
      </c>
      <c r="G824">
        <v>0.39</v>
      </c>
      <c r="H824">
        <v>114</v>
      </c>
      <c r="I824">
        <v>1</v>
      </c>
      <c r="J824">
        <v>2</v>
      </c>
    </row>
    <row r="825" spans="1:10" x14ac:dyDescent="0.3">
      <c r="A825">
        <v>249</v>
      </c>
      <c r="B825">
        <v>1</v>
      </c>
      <c r="C825">
        <v>1</v>
      </c>
      <c r="D825">
        <v>4</v>
      </c>
      <c r="E825">
        <v>0</v>
      </c>
      <c r="F825">
        <v>3</v>
      </c>
      <c r="G825">
        <v>0.23</v>
      </c>
      <c r="H825">
        <v>335</v>
      </c>
      <c r="I825">
        <v>30</v>
      </c>
      <c r="J825">
        <v>2</v>
      </c>
    </row>
    <row r="826" spans="1:10" x14ac:dyDescent="0.3">
      <c r="A826">
        <v>290</v>
      </c>
      <c r="B826">
        <v>3</v>
      </c>
      <c r="C826">
        <v>1</v>
      </c>
      <c r="D826">
        <v>4</v>
      </c>
      <c r="E826">
        <v>0</v>
      </c>
      <c r="F826">
        <v>9</v>
      </c>
      <c r="G826">
        <v>0.8</v>
      </c>
      <c r="H826">
        <v>129</v>
      </c>
      <c r="I826">
        <v>1</v>
      </c>
      <c r="J826">
        <v>5</v>
      </c>
    </row>
    <row r="827" spans="1:10" x14ac:dyDescent="0.3">
      <c r="A827">
        <v>90</v>
      </c>
      <c r="B827">
        <v>2</v>
      </c>
      <c r="C827">
        <v>1</v>
      </c>
      <c r="D827">
        <v>4</v>
      </c>
      <c r="E827">
        <v>0</v>
      </c>
      <c r="F827">
        <v>5</v>
      </c>
      <c r="G827">
        <v>0.46</v>
      </c>
      <c r="H827">
        <v>155</v>
      </c>
      <c r="I827">
        <v>30</v>
      </c>
      <c r="J827">
        <v>3</v>
      </c>
    </row>
    <row r="828" spans="1:10" x14ac:dyDescent="0.3">
      <c r="A828">
        <v>181</v>
      </c>
      <c r="B828">
        <v>2</v>
      </c>
      <c r="C828">
        <v>1</v>
      </c>
      <c r="D828">
        <v>2</v>
      </c>
      <c r="E828">
        <v>0</v>
      </c>
      <c r="F828">
        <v>58</v>
      </c>
      <c r="G828">
        <v>3.91</v>
      </c>
      <c r="H828">
        <v>80</v>
      </c>
      <c r="I828">
        <v>30</v>
      </c>
      <c r="J828">
        <v>2</v>
      </c>
    </row>
    <row r="829" spans="1:10" x14ac:dyDescent="0.3">
      <c r="A829">
        <v>76</v>
      </c>
      <c r="B829">
        <v>1</v>
      </c>
      <c r="C829">
        <v>1</v>
      </c>
      <c r="D829">
        <v>0</v>
      </c>
      <c r="E829">
        <v>1</v>
      </c>
      <c r="F829">
        <v>30</v>
      </c>
      <c r="G829">
        <v>1.98</v>
      </c>
      <c r="H829">
        <v>81</v>
      </c>
      <c r="I829">
        <v>2</v>
      </c>
      <c r="J829">
        <v>2</v>
      </c>
    </row>
    <row r="830" spans="1:10" x14ac:dyDescent="0.3">
      <c r="A830">
        <v>316</v>
      </c>
      <c r="B830">
        <v>1</v>
      </c>
      <c r="C830">
        <v>1</v>
      </c>
      <c r="D830">
        <v>4</v>
      </c>
      <c r="E830">
        <v>1</v>
      </c>
      <c r="F830">
        <v>160</v>
      </c>
      <c r="G830">
        <v>10.74</v>
      </c>
      <c r="H830">
        <v>275</v>
      </c>
      <c r="I830">
        <v>1</v>
      </c>
      <c r="J830">
        <v>2</v>
      </c>
    </row>
    <row r="831" spans="1:10" x14ac:dyDescent="0.3">
      <c r="A831">
        <v>355</v>
      </c>
      <c r="B831">
        <v>1</v>
      </c>
      <c r="C831">
        <v>1</v>
      </c>
      <c r="D831">
        <v>4</v>
      </c>
      <c r="E831">
        <v>1</v>
      </c>
      <c r="F831">
        <v>201</v>
      </c>
      <c r="G831">
        <v>13.11</v>
      </c>
      <c r="H831">
        <v>245</v>
      </c>
      <c r="I831">
        <v>1</v>
      </c>
      <c r="J831">
        <v>2</v>
      </c>
    </row>
    <row r="832" spans="1:10" x14ac:dyDescent="0.3">
      <c r="A832">
        <v>203</v>
      </c>
      <c r="B832">
        <v>1</v>
      </c>
      <c r="C832">
        <v>1</v>
      </c>
      <c r="D832">
        <v>4</v>
      </c>
      <c r="E832">
        <v>0</v>
      </c>
      <c r="F832">
        <v>6</v>
      </c>
      <c r="G832">
        <v>0.48</v>
      </c>
      <c r="H832">
        <v>228</v>
      </c>
      <c r="I832">
        <v>30</v>
      </c>
      <c r="J832">
        <v>2</v>
      </c>
    </row>
    <row r="833" spans="1:10" x14ac:dyDescent="0.3">
      <c r="A833">
        <v>154</v>
      </c>
      <c r="B833">
        <v>1</v>
      </c>
      <c r="C833">
        <v>1</v>
      </c>
      <c r="D833">
        <v>4</v>
      </c>
      <c r="E833">
        <v>0</v>
      </c>
      <c r="F833">
        <v>2</v>
      </c>
      <c r="G833">
        <v>0.37</v>
      </c>
      <c r="H833">
        <v>224</v>
      </c>
      <c r="I833">
        <v>30</v>
      </c>
      <c r="J833">
        <v>2</v>
      </c>
    </row>
    <row r="834" spans="1:10" x14ac:dyDescent="0.3">
      <c r="A834">
        <v>69</v>
      </c>
      <c r="B834">
        <v>1</v>
      </c>
      <c r="C834">
        <v>1</v>
      </c>
      <c r="D834">
        <v>0</v>
      </c>
      <c r="E834">
        <v>0</v>
      </c>
      <c r="F834">
        <v>1</v>
      </c>
      <c r="G834">
        <v>0.48</v>
      </c>
      <c r="H834">
        <v>107</v>
      </c>
      <c r="I834">
        <v>30</v>
      </c>
      <c r="J834">
        <v>2</v>
      </c>
    </row>
    <row r="835" spans="1:10" x14ac:dyDescent="0.3">
      <c r="A835">
        <v>74</v>
      </c>
      <c r="B835">
        <v>1</v>
      </c>
      <c r="C835">
        <v>1</v>
      </c>
      <c r="D835">
        <v>4</v>
      </c>
      <c r="E835">
        <v>0</v>
      </c>
      <c r="F835">
        <v>7</v>
      </c>
      <c r="G835">
        <v>0.51</v>
      </c>
      <c r="H835">
        <v>81</v>
      </c>
      <c r="I835">
        <v>30</v>
      </c>
      <c r="J835">
        <v>2</v>
      </c>
    </row>
    <row r="836" spans="1:10" x14ac:dyDescent="0.3">
      <c r="A836">
        <v>325</v>
      </c>
      <c r="B836">
        <v>3</v>
      </c>
      <c r="C836">
        <v>2</v>
      </c>
      <c r="D836">
        <v>2</v>
      </c>
      <c r="E836">
        <v>1</v>
      </c>
      <c r="F836">
        <v>17</v>
      </c>
      <c r="G836">
        <v>2.0499999999999998</v>
      </c>
      <c r="H836">
        <v>346</v>
      </c>
      <c r="I836">
        <v>1</v>
      </c>
      <c r="J836">
        <v>2</v>
      </c>
    </row>
    <row r="837" spans="1:10" x14ac:dyDescent="0.3">
      <c r="A837">
        <v>231</v>
      </c>
      <c r="B837">
        <v>2</v>
      </c>
      <c r="C837">
        <v>1</v>
      </c>
      <c r="D837">
        <v>4</v>
      </c>
      <c r="E837">
        <v>1</v>
      </c>
      <c r="F837">
        <v>24</v>
      </c>
      <c r="G837">
        <v>1.76</v>
      </c>
      <c r="H837">
        <v>277</v>
      </c>
      <c r="I837">
        <v>1</v>
      </c>
      <c r="J837">
        <v>4</v>
      </c>
    </row>
    <row r="838" spans="1:10" x14ac:dyDescent="0.3">
      <c r="A838">
        <v>145</v>
      </c>
      <c r="B838">
        <v>1</v>
      </c>
      <c r="C838">
        <v>1</v>
      </c>
      <c r="D838">
        <v>4</v>
      </c>
      <c r="E838">
        <v>0</v>
      </c>
      <c r="F838">
        <v>1</v>
      </c>
      <c r="G838">
        <v>0.94</v>
      </c>
      <c r="H838">
        <v>169</v>
      </c>
      <c r="I838">
        <v>30</v>
      </c>
      <c r="J838">
        <v>2</v>
      </c>
    </row>
    <row r="839" spans="1:10" x14ac:dyDescent="0.3">
      <c r="A839">
        <v>160</v>
      </c>
      <c r="B839">
        <v>1</v>
      </c>
      <c r="C839">
        <v>1</v>
      </c>
      <c r="D839">
        <v>4</v>
      </c>
      <c r="E839">
        <v>1</v>
      </c>
      <c r="F839">
        <v>33</v>
      </c>
      <c r="G839">
        <v>2.81</v>
      </c>
      <c r="H839">
        <v>247</v>
      </c>
      <c r="I839">
        <v>1</v>
      </c>
      <c r="J839">
        <v>1</v>
      </c>
    </row>
    <row r="840" spans="1:10" x14ac:dyDescent="0.3">
      <c r="A840">
        <v>293</v>
      </c>
      <c r="B840">
        <v>1</v>
      </c>
      <c r="C840">
        <v>1</v>
      </c>
      <c r="D840">
        <v>4</v>
      </c>
      <c r="E840">
        <v>1</v>
      </c>
      <c r="F840">
        <v>8</v>
      </c>
      <c r="G840">
        <v>0.77</v>
      </c>
      <c r="H840">
        <v>212</v>
      </c>
      <c r="I840">
        <v>1</v>
      </c>
      <c r="J840">
        <v>2</v>
      </c>
    </row>
    <row r="841" spans="1:10" x14ac:dyDescent="0.3">
      <c r="A841">
        <v>53</v>
      </c>
      <c r="B841">
        <v>1</v>
      </c>
      <c r="C841">
        <v>1</v>
      </c>
      <c r="D841">
        <v>4</v>
      </c>
      <c r="E841">
        <v>0</v>
      </c>
      <c r="F841">
        <v>4</v>
      </c>
      <c r="G841">
        <v>0.35</v>
      </c>
      <c r="H841">
        <v>239</v>
      </c>
      <c r="I841">
        <v>30</v>
      </c>
      <c r="J841">
        <v>1</v>
      </c>
    </row>
    <row r="842" spans="1:10" x14ac:dyDescent="0.3">
      <c r="A842">
        <v>64</v>
      </c>
      <c r="B842">
        <v>1</v>
      </c>
      <c r="C842">
        <v>1</v>
      </c>
      <c r="D842">
        <v>4</v>
      </c>
      <c r="E842">
        <v>0</v>
      </c>
      <c r="F842">
        <v>5</v>
      </c>
      <c r="G842">
        <v>0.43</v>
      </c>
      <c r="H842">
        <v>241</v>
      </c>
      <c r="I842">
        <v>30</v>
      </c>
      <c r="J842">
        <v>1</v>
      </c>
    </row>
    <row r="843" spans="1:10" x14ac:dyDescent="0.3">
      <c r="A843">
        <v>250</v>
      </c>
      <c r="B843">
        <v>2</v>
      </c>
      <c r="C843">
        <v>1</v>
      </c>
      <c r="D843">
        <v>4</v>
      </c>
      <c r="E843">
        <v>1</v>
      </c>
      <c r="F843">
        <v>29</v>
      </c>
      <c r="G843">
        <v>2.64</v>
      </c>
      <c r="H843">
        <v>250</v>
      </c>
      <c r="I843">
        <v>2</v>
      </c>
      <c r="J843">
        <v>2</v>
      </c>
    </row>
    <row r="844" spans="1:10" x14ac:dyDescent="0.3">
      <c r="A844">
        <v>144</v>
      </c>
      <c r="B844">
        <v>3</v>
      </c>
      <c r="C844">
        <v>1</v>
      </c>
      <c r="D844">
        <v>4</v>
      </c>
      <c r="E844">
        <v>0</v>
      </c>
      <c r="F844">
        <v>5</v>
      </c>
      <c r="G844">
        <v>0.38</v>
      </c>
      <c r="H844">
        <v>310</v>
      </c>
      <c r="I844">
        <v>30</v>
      </c>
      <c r="J844">
        <v>3</v>
      </c>
    </row>
    <row r="845" spans="1:10" x14ac:dyDescent="0.3">
      <c r="A845">
        <v>296</v>
      </c>
      <c r="B845">
        <v>1</v>
      </c>
      <c r="C845">
        <v>1</v>
      </c>
      <c r="D845">
        <v>4</v>
      </c>
      <c r="E845">
        <v>1</v>
      </c>
      <c r="F845">
        <v>24</v>
      </c>
      <c r="G845">
        <v>1.81</v>
      </c>
      <c r="H845">
        <v>275</v>
      </c>
      <c r="I845">
        <v>1</v>
      </c>
      <c r="J845">
        <v>2</v>
      </c>
    </row>
    <row r="846" spans="1:10" x14ac:dyDescent="0.3">
      <c r="A846">
        <v>232</v>
      </c>
      <c r="B846">
        <v>5</v>
      </c>
      <c r="C846">
        <v>2</v>
      </c>
      <c r="D846">
        <v>2</v>
      </c>
      <c r="E846">
        <v>0</v>
      </c>
      <c r="F846">
        <v>1</v>
      </c>
      <c r="G846">
        <v>0.53</v>
      </c>
      <c r="H846">
        <v>269</v>
      </c>
      <c r="I846">
        <v>30</v>
      </c>
      <c r="J846">
        <v>10</v>
      </c>
    </row>
    <row r="847" spans="1:10" x14ac:dyDescent="0.3">
      <c r="A847">
        <v>209</v>
      </c>
      <c r="B847">
        <v>1</v>
      </c>
      <c r="C847">
        <v>1</v>
      </c>
      <c r="D847">
        <v>4</v>
      </c>
      <c r="E847">
        <v>1</v>
      </c>
      <c r="F847">
        <v>12</v>
      </c>
      <c r="G847">
        <v>1</v>
      </c>
      <c r="H847">
        <v>352</v>
      </c>
      <c r="I847">
        <v>5</v>
      </c>
      <c r="J847">
        <v>2</v>
      </c>
    </row>
    <row r="848" spans="1:10" x14ac:dyDescent="0.3">
      <c r="A848">
        <v>64</v>
      </c>
      <c r="B848">
        <v>1</v>
      </c>
      <c r="C848">
        <v>1</v>
      </c>
      <c r="D848">
        <v>4</v>
      </c>
      <c r="E848">
        <v>0</v>
      </c>
      <c r="F848">
        <v>5</v>
      </c>
      <c r="G848">
        <v>0.41</v>
      </c>
      <c r="H848">
        <v>182</v>
      </c>
      <c r="I848">
        <v>30</v>
      </c>
      <c r="J848">
        <v>1</v>
      </c>
    </row>
    <row r="849" spans="1:10" x14ac:dyDescent="0.3">
      <c r="A849">
        <v>132</v>
      </c>
      <c r="B849">
        <v>1</v>
      </c>
      <c r="C849">
        <v>1</v>
      </c>
      <c r="D849">
        <v>4</v>
      </c>
      <c r="E849">
        <v>0</v>
      </c>
      <c r="F849">
        <v>4</v>
      </c>
      <c r="G849">
        <v>0.3</v>
      </c>
      <c r="H849">
        <v>347</v>
      </c>
      <c r="I849">
        <v>30</v>
      </c>
      <c r="J849">
        <v>2</v>
      </c>
    </row>
    <row r="850" spans="1:10" x14ac:dyDescent="0.3">
      <c r="A850">
        <v>90</v>
      </c>
      <c r="B850">
        <v>1</v>
      </c>
      <c r="C850">
        <v>1</v>
      </c>
      <c r="D850">
        <v>0</v>
      </c>
      <c r="E850">
        <v>1</v>
      </c>
      <c r="F850">
        <v>100</v>
      </c>
      <c r="G850">
        <v>7.56</v>
      </c>
      <c r="H850">
        <v>350</v>
      </c>
      <c r="I850">
        <v>1</v>
      </c>
      <c r="J850">
        <v>2</v>
      </c>
    </row>
    <row r="851" spans="1:10" x14ac:dyDescent="0.3">
      <c r="A851">
        <v>81</v>
      </c>
      <c r="B851">
        <v>1</v>
      </c>
      <c r="C851">
        <v>1</v>
      </c>
      <c r="D851">
        <v>4</v>
      </c>
      <c r="E851">
        <v>0</v>
      </c>
      <c r="F851">
        <v>2</v>
      </c>
      <c r="G851">
        <v>0.18</v>
      </c>
      <c r="H851">
        <v>63</v>
      </c>
      <c r="I851">
        <v>30</v>
      </c>
      <c r="J851">
        <v>1</v>
      </c>
    </row>
    <row r="852" spans="1:10" x14ac:dyDescent="0.3">
      <c r="A852">
        <v>57</v>
      </c>
      <c r="B852">
        <v>1</v>
      </c>
      <c r="C852">
        <v>1</v>
      </c>
      <c r="D852">
        <v>4</v>
      </c>
      <c r="E852">
        <v>0</v>
      </c>
      <c r="F852">
        <v>1</v>
      </c>
      <c r="G852">
        <v>0.88</v>
      </c>
      <c r="H852">
        <v>56</v>
      </c>
      <c r="I852">
        <v>30</v>
      </c>
      <c r="J852">
        <v>1</v>
      </c>
    </row>
    <row r="853" spans="1:10" x14ac:dyDescent="0.3">
      <c r="A853">
        <v>388</v>
      </c>
      <c r="B853">
        <v>2</v>
      </c>
      <c r="C853">
        <v>2</v>
      </c>
      <c r="D853">
        <v>4</v>
      </c>
      <c r="E853">
        <v>0</v>
      </c>
      <c r="F853">
        <v>3</v>
      </c>
      <c r="G853">
        <v>0.44</v>
      </c>
      <c r="H853">
        <v>227</v>
      </c>
      <c r="I853">
        <v>30</v>
      </c>
      <c r="J853">
        <v>5</v>
      </c>
    </row>
    <row r="854" spans="1:10" x14ac:dyDescent="0.3">
      <c r="A854">
        <v>318</v>
      </c>
      <c r="B854">
        <v>3</v>
      </c>
      <c r="C854">
        <v>1</v>
      </c>
      <c r="D854">
        <v>4</v>
      </c>
      <c r="E854">
        <v>0</v>
      </c>
      <c r="F854">
        <v>2</v>
      </c>
      <c r="G854">
        <v>0.76</v>
      </c>
      <c r="H854">
        <v>248</v>
      </c>
      <c r="I854">
        <v>30</v>
      </c>
      <c r="J854">
        <v>5</v>
      </c>
    </row>
    <row r="855" spans="1:10" x14ac:dyDescent="0.3">
      <c r="A855">
        <v>74</v>
      </c>
      <c r="B855">
        <v>1</v>
      </c>
      <c r="C855">
        <v>1</v>
      </c>
      <c r="D855">
        <v>4</v>
      </c>
      <c r="E855">
        <v>1</v>
      </c>
      <c r="F855">
        <v>2</v>
      </c>
      <c r="G855">
        <v>0.17</v>
      </c>
      <c r="H855">
        <v>89</v>
      </c>
      <c r="I855">
        <v>30</v>
      </c>
      <c r="J855">
        <v>1</v>
      </c>
    </row>
    <row r="856" spans="1:10" x14ac:dyDescent="0.3">
      <c r="A856">
        <v>57</v>
      </c>
      <c r="B856">
        <v>1</v>
      </c>
      <c r="C856">
        <v>1</v>
      </c>
      <c r="D856">
        <v>4</v>
      </c>
      <c r="E856">
        <v>0</v>
      </c>
      <c r="F856">
        <v>4</v>
      </c>
      <c r="G856">
        <v>0.45</v>
      </c>
      <c r="H856">
        <v>262</v>
      </c>
      <c r="I856">
        <v>30</v>
      </c>
      <c r="J856">
        <v>1</v>
      </c>
    </row>
    <row r="857" spans="1:10" x14ac:dyDescent="0.3">
      <c r="A857">
        <v>120</v>
      </c>
      <c r="B857">
        <v>2</v>
      </c>
      <c r="C857">
        <v>1</v>
      </c>
      <c r="D857">
        <v>4</v>
      </c>
      <c r="E857">
        <v>1</v>
      </c>
      <c r="F857">
        <v>14</v>
      </c>
      <c r="G857">
        <v>1.23</v>
      </c>
      <c r="H857">
        <v>286</v>
      </c>
      <c r="I857">
        <v>1</v>
      </c>
      <c r="J857">
        <v>3</v>
      </c>
    </row>
    <row r="858" spans="1:10" x14ac:dyDescent="0.3">
      <c r="A858">
        <v>232</v>
      </c>
      <c r="B858">
        <v>1</v>
      </c>
      <c r="C858">
        <v>1</v>
      </c>
      <c r="D858">
        <v>4</v>
      </c>
      <c r="E858">
        <v>0</v>
      </c>
      <c r="F858">
        <v>1</v>
      </c>
      <c r="G858">
        <v>0.5</v>
      </c>
      <c r="H858">
        <v>181</v>
      </c>
      <c r="I858">
        <v>30</v>
      </c>
      <c r="J858">
        <v>3</v>
      </c>
    </row>
    <row r="859" spans="1:10" x14ac:dyDescent="0.3">
      <c r="A859">
        <v>130</v>
      </c>
      <c r="B859">
        <v>1</v>
      </c>
      <c r="C859">
        <v>1</v>
      </c>
      <c r="D859">
        <v>4</v>
      </c>
      <c r="E859">
        <v>1</v>
      </c>
      <c r="F859">
        <v>40</v>
      </c>
      <c r="G859">
        <v>2.93</v>
      </c>
      <c r="H859">
        <v>254</v>
      </c>
      <c r="I859">
        <v>5</v>
      </c>
      <c r="J859">
        <v>2</v>
      </c>
    </row>
    <row r="860" spans="1:10" x14ac:dyDescent="0.3">
      <c r="A860">
        <v>109</v>
      </c>
      <c r="B860">
        <v>1</v>
      </c>
      <c r="C860">
        <v>1</v>
      </c>
      <c r="D860">
        <v>0</v>
      </c>
      <c r="E860">
        <v>1</v>
      </c>
      <c r="F860">
        <v>27</v>
      </c>
      <c r="G860">
        <v>2.1</v>
      </c>
      <c r="H860">
        <v>350</v>
      </c>
      <c r="I860">
        <v>3</v>
      </c>
      <c r="J860">
        <v>2</v>
      </c>
    </row>
    <row r="861" spans="1:10" x14ac:dyDescent="0.3">
      <c r="A861">
        <v>96</v>
      </c>
      <c r="B861">
        <v>1</v>
      </c>
      <c r="C861">
        <v>1</v>
      </c>
      <c r="D861">
        <v>0</v>
      </c>
      <c r="E861">
        <v>0</v>
      </c>
      <c r="F861">
        <v>2</v>
      </c>
      <c r="G861">
        <v>0.2</v>
      </c>
      <c r="H861">
        <v>358</v>
      </c>
      <c r="I861">
        <v>30</v>
      </c>
      <c r="J861">
        <v>2</v>
      </c>
    </row>
    <row r="862" spans="1:10" x14ac:dyDescent="0.3">
      <c r="A862">
        <v>197</v>
      </c>
      <c r="B862">
        <v>2</v>
      </c>
      <c r="C862">
        <v>1</v>
      </c>
      <c r="D862">
        <v>4</v>
      </c>
      <c r="E862">
        <v>0</v>
      </c>
      <c r="F862">
        <v>47</v>
      </c>
      <c r="G862">
        <v>3.9</v>
      </c>
      <c r="H862">
        <v>80</v>
      </c>
      <c r="I862">
        <v>1</v>
      </c>
      <c r="J862">
        <v>5</v>
      </c>
    </row>
    <row r="863" spans="1:10" x14ac:dyDescent="0.3">
      <c r="A863">
        <v>58</v>
      </c>
      <c r="B863">
        <v>1</v>
      </c>
      <c r="C863">
        <v>1</v>
      </c>
      <c r="D863">
        <v>4</v>
      </c>
      <c r="E863">
        <v>1</v>
      </c>
      <c r="F863">
        <v>2</v>
      </c>
      <c r="G863">
        <v>0.16</v>
      </c>
      <c r="H863">
        <v>239</v>
      </c>
      <c r="I863">
        <v>30</v>
      </c>
      <c r="J863">
        <v>1</v>
      </c>
    </row>
    <row r="864" spans="1:10" x14ac:dyDescent="0.3">
      <c r="A864">
        <v>140</v>
      </c>
      <c r="B864">
        <v>2</v>
      </c>
      <c r="C864">
        <v>1</v>
      </c>
      <c r="D864">
        <v>0</v>
      </c>
      <c r="E864">
        <v>0</v>
      </c>
      <c r="F864">
        <v>1</v>
      </c>
      <c r="G864">
        <v>0.67</v>
      </c>
      <c r="H864">
        <v>185</v>
      </c>
      <c r="I864">
        <v>30</v>
      </c>
      <c r="J864">
        <v>2</v>
      </c>
    </row>
    <row r="865" spans="1:10" x14ac:dyDescent="0.3">
      <c r="A865">
        <v>262</v>
      </c>
      <c r="B865">
        <v>1</v>
      </c>
      <c r="C865">
        <v>1</v>
      </c>
      <c r="D865">
        <v>4</v>
      </c>
      <c r="E865">
        <v>1</v>
      </c>
      <c r="F865">
        <v>9</v>
      </c>
      <c r="G865">
        <v>0.75</v>
      </c>
      <c r="H865">
        <v>356</v>
      </c>
      <c r="I865">
        <v>1</v>
      </c>
      <c r="J865">
        <v>2</v>
      </c>
    </row>
    <row r="866" spans="1:10" x14ac:dyDescent="0.3">
      <c r="A866">
        <v>209</v>
      </c>
      <c r="B866">
        <v>1</v>
      </c>
      <c r="C866">
        <v>1</v>
      </c>
      <c r="D866">
        <v>4</v>
      </c>
      <c r="E866">
        <v>1</v>
      </c>
      <c r="F866">
        <v>20</v>
      </c>
      <c r="G866">
        <v>1.65</v>
      </c>
      <c r="H866">
        <v>278</v>
      </c>
      <c r="I866">
        <v>1</v>
      </c>
      <c r="J866">
        <v>2</v>
      </c>
    </row>
    <row r="867" spans="1:10" x14ac:dyDescent="0.3">
      <c r="A867">
        <v>233</v>
      </c>
      <c r="B867">
        <v>1</v>
      </c>
      <c r="C867">
        <v>1</v>
      </c>
      <c r="D867">
        <v>0</v>
      </c>
      <c r="E867">
        <v>1</v>
      </c>
      <c r="F867">
        <v>14</v>
      </c>
      <c r="G867">
        <v>1.04</v>
      </c>
      <c r="H867">
        <v>114</v>
      </c>
      <c r="I867">
        <v>1</v>
      </c>
      <c r="J867">
        <v>2</v>
      </c>
    </row>
    <row r="868" spans="1:10" x14ac:dyDescent="0.3">
      <c r="A868">
        <v>377</v>
      </c>
      <c r="B868">
        <v>1</v>
      </c>
      <c r="C868">
        <v>1</v>
      </c>
      <c r="D868">
        <v>4</v>
      </c>
      <c r="E868">
        <v>1</v>
      </c>
      <c r="F868">
        <v>12</v>
      </c>
      <c r="G868">
        <v>1.06</v>
      </c>
      <c r="H868">
        <v>241</v>
      </c>
      <c r="I868">
        <v>1</v>
      </c>
      <c r="J868">
        <v>2</v>
      </c>
    </row>
    <row r="869" spans="1:10" x14ac:dyDescent="0.3">
      <c r="A869">
        <v>302</v>
      </c>
      <c r="B869">
        <v>1</v>
      </c>
      <c r="C869">
        <v>1</v>
      </c>
      <c r="D869">
        <v>4</v>
      </c>
      <c r="E869">
        <v>0</v>
      </c>
      <c r="F869">
        <v>39</v>
      </c>
      <c r="G869">
        <v>3.27</v>
      </c>
      <c r="H869">
        <v>90</v>
      </c>
      <c r="I869">
        <v>2</v>
      </c>
      <c r="J869">
        <v>2</v>
      </c>
    </row>
    <row r="870" spans="1:10" x14ac:dyDescent="0.3">
      <c r="A870">
        <v>67</v>
      </c>
      <c r="B870">
        <v>1</v>
      </c>
      <c r="C870">
        <v>1</v>
      </c>
      <c r="D870">
        <v>4</v>
      </c>
      <c r="E870">
        <v>0</v>
      </c>
      <c r="F870">
        <v>4</v>
      </c>
      <c r="G870">
        <v>0.51</v>
      </c>
      <c r="H870">
        <v>125</v>
      </c>
      <c r="I870">
        <v>30</v>
      </c>
      <c r="J870">
        <v>1</v>
      </c>
    </row>
    <row r="871" spans="1:10" x14ac:dyDescent="0.3">
      <c r="A871">
        <v>57</v>
      </c>
      <c r="B871">
        <v>1</v>
      </c>
      <c r="C871">
        <v>1</v>
      </c>
      <c r="D871">
        <v>4</v>
      </c>
      <c r="E871">
        <v>0</v>
      </c>
      <c r="F871">
        <v>5</v>
      </c>
      <c r="G871">
        <v>0.45</v>
      </c>
      <c r="H871">
        <v>165</v>
      </c>
      <c r="I871">
        <v>30</v>
      </c>
      <c r="J871">
        <v>1</v>
      </c>
    </row>
    <row r="872" spans="1:10" x14ac:dyDescent="0.3">
      <c r="A872">
        <v>317</v>
      </c>
      <c r="B872">
        <v>1</v>
      </c>
      <c r="C872">
        <v>1</v>
      </c>
      <c r="D872">
        <v>4</v>
      </c>
      <c r="E872">
        <v>1</v>
      </c>
      <c r="F872">
        <v>23</v>
      </c>
      <c r="G872">
        <v>1.73</v>
      </c>
      <c r="H872">
        <v>112</v>
      </c>
      <c r="I872">
        <v>1</v>
      </c>
      <c r="J872">
        <v>2</v>
      </c>
    </row>
    <row r="873" spans="1:10" x14ac:dyDescent="0.3">
      <c r="A873">
        <v>120</v>
      </c>
      <c r="B873">
        <v>1</v>
      </c>
      <c r="C873">
        <v>1</v>
      </c>
      <c r="D873">
        <v>4</v>
      </c>
      <c r="E873">
        <v>0</v>
      </c>
      <c r="F873">
        <v>1</v>
      </c>
      <c r="G873">
        <v>0.48</v>
      </c>
      <c r="H873">
        <v>326</v>
      </c>
      <c r="I873">
        <v>30</v>
      </c>
      <c r="J873">
        <v>2</v>
      </c>
    </row>
    <row r="874" spans="1:10" x14ac:dyDescent="0.3">
      <c r="A874">
        <v>300</v>
      </c>
      <c r="B874">
        <v>1</v>
      </c>
      <c r="C874">
        <v>1</v>
      </c>
      <c r="D874">
        <v>4</v>
      </c>
      <c r="E874">
        <v>1</v>
      </c>
      <c r="F874">
        <v>26</v>
      </c>
      <c r="G874">
        <v>2.0499999999999998</v>
      </c>
      <c r="H874">
        <v>82</v>
      </c>
      <c r="I874">
        <v>1</v>
      </c>
      <c r="J874">
        <v>2</v>
      </c>
    </row>
    <row r="875" spans="1:10" x14ac:dyDescent="0.3">
      <c r="A875">
        <v>150</v>
      </c>
      <c r="B875">
        <v>2</v>
      </c>
      <c r="C875">
        <v>1</v>
      </c>
      <c r="D875">
        <v>4</v>
      </c>
      <c r="E875">
        <v>1</v>
      </c>
      <c r="F875">
        <v>11</v>
      </c>
      <c r="G875">
        <v>0.84</v>
      </c>
      <c r="H875">
        <v>290</v>
      </c>
      <c r="I875">
        <v>1</v>
      </c>
      <c r="J875">
        <v>4</v>
      </c>
    </row>
    <row r="876" spans="1:10" x14ac:dyDescent="0.3">
      <c r="A876">
        <v>189</v>
      </c>
      <c r="B876">
        <v>3</v>
      </c>
      <c r="C876">
        <v>2.5</v>
      </c>
      <c r="D876">
        <v>2</v>
      </c>
      <c r="E876">
        <v>0</v>
      </c>
      <c r="F876">
        <v>1</v>
      </c>
      <c r="G876">
        <v>0.77</v>
      </c>
      <c r="H876">
        <v>351</v>
      </c>
      <c r="I876">
        <v>30</v>
      </c>
      <c r="J876">
        <v>8</v>
      </c>
    </row>
    <row r="877" spans="1:10" x14ac:dyDescent="0.3">
      <c r="A877">
        <v>169</v>
      </c>
      <c r="B877">
        <v>2</v>
      </c>
      <c r="C877">
        <v>1</v>
      </c>
      <c r="D877">
        <v>4</v>
      </c>
      <c r="E877">
        <v>1</v>
      </c>
      <c r="F877">
        <v>9</v>
      </c>
      <c r="G877">
        <v>0.7</v>
      </c>
      <c r="H877">
        <v>281</v>
      </c>
      <c r="I877">
        <v>1</v>
      </c>
      <c r="J877">
        <v>3</v>
      </c>
    </row>
    <row r="878" spans="1:10" x14ac:dyDescent="0.3">
      <c r="A878">
        <v>68</v>
      </c>
      <c r="B878">
        <v>1</v>
      </c>
      <c r="C878">
        <v>1</v>
      </c>
      <c r="D878">
        <v>0</v>
      </c>
      <c r="E878">
        <v>1</v>
      </c>
      <c r="F878">
        <v>35</v>
      </c>
      <c r="G878">
        <v>2.88</v>
      </c>
      <c r="H878">
        <v>329</v>
      </c>
      <c r="I878">
        <v>3</v>
      </c>
      <c r="J878">
        <v>1</v>
      </c>
    </row>
    <row r="879" spans="1:10" x14ac:dyDescent="0.3">
      <c r="A879">
        <v>74</v>
      </c>
      <c r="B879">
        <v>1</v>
      </c>
      <c r="C879">
        <v>1</v>
      </c>
      <c r="D879">
        <v>0</v>
      </c>
      <c r="E879">
        <v>1</v>
      </c>
      <c r="F879">
        <v>22</v>
      </c>
      <c r="G879">
        <v>1.64</v>
      </c>
      <c r="H879">
        <v>187</v>
      </c>
      <c r="I879">
        <v>10</v>
      </c>
      <c r="J879">
        <v>2</v>
      </c>
    </row>
    <row r="880" spans="1:10" x14ac:dyDescent="0.3">
      <c r="A880">
        <v>53</v>
      </c>
      <c r="B880">
        <v>1</v>
      </c>
      <c r="C880">
        <v>1</v>
      </c>
      <c r="D880">
        <v>4</v>
      </c>
      <c r="E880">
        <v>0</v>
      </c>
      <c r="F880">
        <v>4</v>
      </c>
      <c r="G880">
        <v>0.56999999999999995</v>
      </c>
      <c r="H880">
        <v>286</v>
      </c>
      <c r="I880">
        <v>30</v>
      </c>
      <c r="J880">
        <v>1</v>
      </c>
    </row>
    <row r="881" spans="1:10" x14ac:dyDescent="0.3">
      <c r="A881">
        <v>81</v>
      </c>
      <c r="B881">
        <v>1</v>
      </c>
      <c r="C881">
        <v>1</v>
      </c>
      <c r="D881">
        <v>0</v>
      </c>
      <c r="E881">
        <v>0</v>
      </c>
      <c r="F881">
        <v>6</v>
      </c>
      <c r="G881">
        <v>0.56999999999999995</v>
      </c>
      <c r="H881">
        <v>120</v>
      </c>
      <c r="I881">
        <v>30</v>
      </c>
      <c r="J881">
        <v>2</v>
      </c>
    </row>
    <row r="882" spans="1:10" x14ac:dyDescent="0.3">
      <c r="A882">
        <v>66</v>
      </c>
      <c r="B882">
        <v>1</v>
      </c>
      <c r="C882">
        <v>1</v>
      </c>
      <c r="D882">
        <v>4</v>
      </c>
      <c r="E882">
        <v>0</v>
      </c>
      <c r="F882">
        <v>3</v>
      </c>
      <c r="G882">
        <v>0.26</v>
      </c>
      <c r="H882">
        <v>177</v>
      </c>
      <c r="I882">
        <v>30</v>
      </c>
      <c r="J882">
        <v>1</v>
      </c>
    </row>
    <row r="883" spans="1:10" x14ac:dyDescent="0.3">
      <c r="A883">
        <v>385</v>
      </c>
      <c r="B883">
        <v>4</v>
      </c>
      <c r="C883">
        <v>2</v>
      </c>
      <c r="D883">
        <v>4</v>
      </c>
      <c r="E883">
        <v>0</v>
      </c>
      <c r="F883">
        <v>14</v>
      </c>
      <c r="G883">
        <v>1.73</v>
      </c>
      <c r="H883">
        <v>58</v>
      </c>
      <c r="I883">
        <v>3</v>
      </c>
      <c r="J883">
        <v>8</v>
      </c>
    </row>
    <row r="884" spans="1:10" x14ac:dyDescent="0.3">
      <c r="A884">
        <v>161</v>
      </c>
      <c r="B884">
        <v>2</v>
      </c>
      <c r="C884">
        <v>1</v>
      </c>
      <c r="D884">
        <v>4</v>
      </c>
      <c r="E884">
        <v>1</v>
      </c>
      <c r="F884">
        <v>14</v>
      </c>
      <c r="G884">
        <v>1.1100000000000001</v>
      </c>
      <c r="H884">
        <v>285</v>
      </c>
      <c r="I884">
        <v>1</v>
      </c>
      <c r="J884">
        <v>3</v>
      </c>
    </row>
    <row r="885" spans="1:10" x14ac:dyDescent="0.3">
      <c r="A885">
        <v>350</v>
      </c>
      <c r="B885">
        <v>2</v>
      </c>
      <c r="C885">
        <v>1</v>
      </c>
      <c r="D885">
        <v>4</v>
      </c>
      <c r="E885">
        <v>0</v>
      </c>
      <c r="F885">
        <v>3</v>
      </c>
      <c r="G885">
        <v>0.26</v>
      </c>
      <c r="H885">
        <v>324</v>
      </c>
      <c r="I885">
        <v>30</v>
      </c>
      <c r="J885">
        <v>4</v>
      </c>
    </row>
    <row r="886" spans="1:10" x14ac:dyDescent="0.3">
      <c r="A886">
        <v>298</v>
      </c>
      <c r="B886">
        <v>1</v>
      </c>
      <c r="C886">
        <v>1</v>
      </c>
      <c r="D886">
        <v>4</v>
      </c>
      <c r="E886">
        <v>1</v>
      </c>
      <c r="F886">
        <v>96</v>
      </c>
      <c r="G886">
        <v>7.76</v>
      </c>
      <c r="H886">
        <v>96</v>
      </c>
      <c r="I886">
        <v>1</v>
      </c>
      <c r="J886">
        <v>2</v>
      </c>
    </row>
    <row r="887" spans="1:10" x14ac:dyDescent="0.3">
      <c r="A887">
        <v>178</v>
      </c>
      <c r="B887">
        <v>1</v>
      </c>
      <c r="C887">
        <v>1</v>
      </c>
      <c r="D887">
        <v>2</v>
      </c>
      <c r="E887">
        <v>0</v>
      </c>
      <c r="F887">
        <v>14</v>
      </c>
      <c r="G887">
        <v>1.4</v>
      </c>
      <c r="H887">
        <v>344</v>
      </c>
      <c r="I887">
        <v>3</v>
      </c>
      <c r="J887">
        <v>2</v>
      </c>
    </row>
    <row r="888" spans="1:10" x14ac:dyDescent="0.3">
      <c r="A888">
        <v>54</v>
      </c>
      <c r="B888">
        <v>1</v>
      </c>
      <c r="C888">
        <v>1</v>
      </c>
      <c r="D888">
        <v>2</v>
      </c>
      <c r="E888">
        <v>1</v>
      </c>
      <c r="F888">
        <v>3</v>
      </c>
      <c r="G888">
        <v>0.27</v>
      </c>
      <c r="H888">
        <v>125</v>
      </c>
      <c r="I888">
        <v>30</v>
      </c>
      <c r="J888">
        <v>1</v>
      </c>
    </row>
    <row r="889" spans="1:10" x14ac:dyDescent="0.3">
      <c r="A889">
        <v>132</v>
      </c>
      <c r="B889">
        <v>2</v>
      </c>
      <c r="C889">
        <v>1</v>
      </c>
      <c r="D889">
        <v>4</v>
      </c>
      <c r="E889">
        <v>1</v>
      </c>
      <c r="F889">
        <v>16</v>
      </c>
      <c r="G889">
        <v>1.36</v>
      </c>
      <c r="H889">
        <v>277</v>
      </c>
      <c r="I889">
        <v>1</v>
      </c>
      <c r="J889">
        <v>3</v>
      </c>
    </row>
    <row r="890" spans="1:10" x14ac:dyDescent="0.3">
      <c r="A890">
        <v>189</v>
      </c>
      <c r="B890">
        <v>1</v>
      </c>
      <c r="C890">
        <v>1</v>
      </c>
      <c r="D890">
        <v>4</v>
      </c>
      <c r="E890">
        <v>0</v>
      </c>
      <c r="F890">
        <v>2</v>
      </c>
      <c r="G890">
        <v>0.23</v>
      </c>
      <c r="H890">
        <v>233</v>
      </c>
      <c r="I890">
        <v>30</v>
      </c>
      <c r="J890">
        <v>2</v>
      </c>
    </row>
    <row r="891" spans="1:10" x14ac:dyDescent="0.3">
      <c r="A891">
        <v>192</v>
      </c>
      <c r="B891">
        <v>2</v>
      </c>
      <c r="C891">
        <v>1</v>
      </c>
      <c r="D891">
        <v>4</v>
      </c>
      <c r="E891">
        <v>1</v>
      </c>
      <c r="F891">
        <v>13</v>
      </c>
      <c r="G891">
        <v>1.1100000000000001</v>
      </c>
      <c r="H891">
        <v>292</v>
      </c>
      <c r="I891">
        <v>1</v>
      </c>
      <c r="J891">
        <v>4</v>
      </c>
    </row>
    <row r="892" spans="1:10" x14ac:dyDescent="0.3">
      <c r="A892">
        <v>134</v>
      </c>
      <c r="B892">
        <v>2</v>
      </c>
      <c r="C892">
        <v>1</v>
      </c>
      <c r="D892">
        <v>4</v>
      </c>
      <c r="E892">
        <v>1</v>
      </c>
      <c r="F892">
        <v>8</v>
      </c>
      <c r="G892">
        <v>0.65</v>
      </c>
      <c r="H892">
        <v>292</v>
      </c>
      <c r="I892">
        <v>1</v>
      </c>
      <c r="J892">
        <v>4</v>
      </c>
    </row>
    <row r="893" spans="1:10" x14ac:dyDescent="0.3">
      <c r="A893">
        <v>189</v>
      </c>
      <c r="B893">
        <v>1</v>
      </c>
      <c r="C893">
        <v>1</v>
      </c>
      <c r="D893">
        <v>4</v>
      </c>
      <c r="E893">
        <v>0</v>
      </c>
      <c r="F893">
        <v>3</v>
      </c>
      <c r="G893">
        <v>0.52</v>
      </c>
      <c r="H893">
        <v>263</v>
      </c>
      <c r="I893">
        <v>30</v>
      </c>
      <c r="J893">
        <v>2</v>
      </c>
    </row>
    <row r="894" spans="1:10" x14ac:dyDescent="0.3">
      <c r="A894">
        <v>185</v>
      </c>
      <c r="B894">
        <v>1</v>
      </c>
      <c r="C894">
        <v>1</v>
      </c>
      <c r="D894">
        <v>4</v>
      </c>
      <c r="E894">
        <v>0</v>
      </c>
      <c r="F894">
        <v>3</v>
      </c>
      <c r="G894">
        <v>0.32</v>
      </c>
      <c r="H894">
        <v>178</v>
      </c>
      <c r="I894">
        <v>30</v>
      </c>
      <c r="J894">
        <v>2</v>
      </c>
    </row>
    <row r="895" spans="1:10" x14ac:dyDescent="0.3">
      <c r="A895">
        <v>120</v>
      </c>
      <c r="B895">
        <v>1</v>
      </c>
      <c r="C895">
        <v>2</v>
      </c>
      <c r="D895">
        <v>2</v>
      </c>
      <c r="E895">
        <v>1</v>
      </c>
      <c r="F895">
        <v>17</v>
      </c>
      <c r="G895">
        <v>1.38</v>
      </c>
      <c r="H895">
        <v>257</v>
      </c>
      <c r="I895">
        <v>5</v>
      </c>
      <c r="J895">
        <v>2</v>
      </c>
    </row>
    <row r="896" spans="1:10" x14ac:dyDescent="0.3">
      <c r="A896">
        <v>146</v>
      </c>
      <c r="B896">
        <v>1</v>
      </c>
      <c r="C896">
        <v>2</v>
      </c>
      <c r="D896">
        <v>2</v>
      </c>
      <c r="E896">
        <v>1</v>
      </c>
      <c r="F896">
        <v>21</v>
      </c>
      <c r="G896">
        <v>1.71</v>
      </c>
      <c r="H896">
        <v>265</v>
      </c>
      <c r="I896">
        <v>5</v>
      </c>
      <c r="J896">
        <v>2</v>
      </c>
    </row>
    <row r="897" spans="1:10" x14ac:dyDescent="0.3">
      <c r="A897">
        <v>79</v>
      </c>
      <c r="B897">
        <v>1</v>
      </c>
      <c r="C897">
        <v>2</v>
      </c>
      <c r="D897">
        <v>4</v>
      </c>
      <c r="E897">
        <v>1</v>
      </c>
      <c r="F897">
        <v>3</v>
      </c>
      <c r="G897">
        <v>0.27</v>
      </c>
      <c r="H897">
        <v>269</v>
      </c>
      <c r="I897">
        <v>30</v>
      </c>
      <c r="J897">
        <v>2</v>
      </c>
    </row>
    <row r="898" spans="1:10" x14ac:dyDescent="0.3">
      <c r="A898">
        <v>127</v>
      </c>
      <c r="B898">
        <v>2</v>
      </c>
      <c r="C898">
        <v>1</v>
      </c>
      <c r="D898">
        <v>4</v>
      </c>
      <c r="E898">
        <v>0</v>
      </c>
      <c r="F898">
        <v>3</v>
      </c>
      <c r="G898">
        <v>0.27</v>
      </c>
      <c r="H898">
        <v>364</v>
      </c>
      <c r="I898">
        <v>30</v>
      </c>
      <c r="J898">
        <v>3</v>
      </c>
    </row>
    <row r="899" spans="1:10" x14ac:dyDescent="0.3">
      <c r="A899">
        <v>110</v>
      </c>
      <c r="B899">
        <v>1</v>
      </c>
      <c r="C899">
        <v>1</v>
      </c>
      <c r="D899">
        <v>2</v>
      </c>
      <c r="E899">
        <v>1</v>
      </c>
      <c r="F899">
        <v>24</v>
      </c>
      <c r="G899">
        <v>2.02</v>
      </c>
      <c r="H899">
        <v>269</v>
      </c>
      <c r="I899">
        <v>5</v>
      </c>
      <c r="J899">
        <v>2</v>
      </c>
    </row>
    <row r="900" spans="1:10" x14ac:dyDescent="0.3">
      <c r="A900">
        <v>163</v>
      </c>
      <c r="B900">
        <v>1</v>
      </c>
      <c r="C900">
        <v>2</v>
      </c>
      <c r="D900">
        <v>2</v>
      </c>
      <c r="E900">
        <v>1</v>
      </c>
      <c r="F900">
        <v>24</v>
      </c>
      <c r="G900">
        <v>2.0299999999999998</v>
      </c>
      <c r="H900">
        <v>263</v>
      </c>
      <c r="I900">
        <v>5</v>
      </c>
      <c r="J900">
        <v>2</v>
      </c>
    </row>
    <row r="901" spans="1:10" x14ac:dyDescent="0.3">
      <c r="A901">
        <v>141</v>
      </c>
      <c r="B901">
        <v>1</v>
      </c>
      <c r="C901">
        <v>1</v>
      </c>
      <c r="D901">
        <v>4</v>
      </c>
      <c r="E901">
        <v>0</v>
      </c>
      <c r="F901">
        <v>2</v>
      </c>
      <c r="G901">
        <v>0.51</v>
      </c>
      <c r="H901">
        <v>259</v>
      </c>
      <c r="I901">
        <v>30</v>
      </c>
      <c r="J901">
        <v>2</v>
      </c>
    </row>
    <row r="902" spans="1:10" x14ac:dyDescent="0.3">
      <c r="A902">
        <v>233</v>
      </c>
      <c r="B902">
        <v>2</v>
      </c>
      <c r="C902">
        <v>1</v>
      </c>
      <c r="D902">
        <v>4</v>
      </c>
      <c r="E902">
        <v>0</v>
      </c>
      <c r="F902">
        <v>7</v>
      </c>
      <c r="G902">
        <v>0.62</v>
      </c>
      <c r="H902">
        <v>215</v>
      </c>
      <c r="I902">
        <v>30</v>
      </c>
      <c r="J902">
        <v>4</v>
      </c>
    </row>
    <row r="903" spans="1:10" x14ac:dyDescent="0.3">
      <c r="A903">
        <v>208</v>
      </c>
      <c r="B903">
        <v>1</v>
      </c>
      <c r="C903">
        <v>1</v>
      </c>
      <c r="D903">
        <v>4</v>
      </c>
      <c r="E903">
        <v>1</v>
      </c>
      <c r="F903">
        <v>19</v>
      </c>
      <c r="G903">
        <v>1.63</v>
      </c>
      <c r="H903">
        <v>275</v>
      </c>
      <c r="I903">
        <v>1</v>
      </c>
      <c r="J903">
        <v>2</v>
      </c>
    </row>
    <row r="904" spans="1:10" x14ac:dyDescent="0.3">
      <c r="A904">
        <v>116</v>
      </c>
      <c r="B904">
        <v>1</v>
      </c>
      <c r="C904">
        <v>1</v>
      </c>
      <c r="D904">
        <v>2</v>
      </c>
      <c r="E904">
        <v>1</v>
      </c>
      <c r="F904">
        <v>23</v>
      </c>
      <c r="G904">
        <v>1.92</v>
      </c>
      <c r="H904">
        <v>264</v>
      </c>
      <c r="I904">
        <v>5</v>
      </c>
      <c r="J904">
        <v>2</v>
      </c>
    </row>
    <row r="905" spans="1:10" x14ac:dyDescent="0.3">
      <c r="A905">
        <v>198</v>
      </c>
      <c r="B905">
        <v>1</v>
      </c>
      <c r="C905">
        <v>1</v>
      </c>
      <c r="D905">
        <v>4</v>
      </c>
      <c r="E905">
        <v>0</v>
      </c>
      <c r="F905">
        <v>27</v>
      </c>
      <c r="G905">
        <v>2.38</v>
      </c>
      <c r="H905">
        <v>139</v>
      </c>
      <c r="I905">
        <v>5</v>
      </c>
      <c r="J905">
        <v>2</v>
      </c>
    </row>
    <row r="906" spans="1:10" x14ac:dyDescent="0.3">
      <c r="A906">
        <v>51</v>
      </c>
      <c r="B906">
        <v>1</v>
      </c>
      <c r="C906">
        <v>1</v>
      </c>
      <c r="D906">
        <v>2</v>
      </c>
      <c r="E906">
        <v>1</v>
      </c>
      <c r="F906">
        <v>2</v>
      </c>
      <c r="G906">
        <v>0.19</v>
      </c>
      <c r="H906">
        <v>153</v>
      </c>
      <c r="I906">
        <v>30</v>
      </c>
      <c r="J906">
        <v>2</v>
      </c>
    </row>
    <row r="907" spans="1:10" x14ac:dyDescent="0.3">
      <c r="A907">
        <v>120</v>
      </c>
      <c r="B907">
        <v>1</v>
      </c>
      <c r="C907">
        <v>1</v>
      </c>
      <c r="D907">
        <v>2</v>
      </c>
      <c r="E907">
        <v>1</v>
      </c>
      <c r="F907">
        <v>15</v>
      </c>
      <c r="G907">
        <v>1.33</v>
      </c>
      <c r="H907">
        <v>365</v>
      </c>
      <c r="I907">
        <v>5</v>
      </c>
      <c r="J907">
        <v>2</v>
      </c>
    </row>
    <row r="908" spans="1:10" x14ac:dyDescent="0.3">
      <c r="A908">
        <v>361</v>
      </c>
      <c r="B908">
        <v>4</v>
      </c>
      <c r="C908">
        <v>2</v>
      </c>
      <c r="D908">
        <v>2</v>
      </c>
      <c r="E908">
        <v>0</v>
      </c>
      <c r="F908">
        <v>21</v>
      </c>
      <c r="G908">
        <v>1.94</v>
      </c>
      <c r="H908">
        <v>140</v>
      </c>
      <c r="I908">
        <v>3</v>
      </c>
      <c r="J908">
        <v>6</v>
      </c>
    </row>
    <row r="909" spans="1:10" x14ac:dyDescent="0.3">
      <c r="A909">
        <v>99</v>
      </c>
      <c r="B909">
        <v>1</v>
      </c>
      <c r="C909">
        <v>1</v>
      </c>
      <c r="D909">
        <v>4</v>
      </c>
      <c r="E909">
        <v>1</v>
      </c>
      <c r="F909">
        <v>46</v>
      </c>
      <c r="G909">
        <v>4</v>
      </c>
      <c r="H909">
        <v>121</v>
      </c>
      <c r="I909">
        <v>1</v>
      </c>
      <c r="J909">
        <v>2</v>
      </c>
    </row>
    <row r="910" spans="1:10" x14ac:dyDescent="0.3">
      <c r="A910">
        <v>183</v>
      </c>
      <c r="B910">
        <v>2</v>
      </c>
      <c r="C910">
        <v>1</v>
      </c>
      <c r="D910">
        <v>4</v>
      </c>
      <c r="E910">
        <v>0</v>
      </c>
      <c r="F910">
        <v>2</v>
      </c>
      <c r="G910">
        <v>0.22</v>
      </c>
      <c r="H910">
        <v>86</v>
      </c>
      <c r="I910">
        <v>30</v>
      </c>
      <c r="J910">
        <v>2</v>
      </c>
    </row>
    <row r="911" spans="1:10" x14ac:dyDescent="0.3">
      <c r="A911">
        <v>109</v>
      </c>
      <c r="B911">
        <v>1</v>
      </c>
      <c r="C911">
        <v>1.5</v>
      </c>
      <c r="D911">
        <v>2</v>
      </c>
      <c r="E911">
        <v>1</v>
      </c>
      <c r="F911">
        <v>3</v>
      </c>
      <c r="G911">
        <v>0.67</v>
      </c>
      <c r="H911">
        <v>183</v>
      </c>
      <c r="I911">
        <v>30</v>
      </c>
      <c r="J911">
        <v>2</v>
      </c>
    </row>
    <row r="912" spans="1:10" x14ac:dyDescent="0.3">
      <c r="A912">
        <v>199</v>
      </c>
      <c r="B912">
        <v>1</v>
      </c>
      <c r="C912">
        <v>1</v>
      </c>
      <c r="D912">
        <v>4</v>
      </c>
      <c r="E912">
        <v>0</v>
      </c>
      <c r="F912">
        <v>2</v>
      </c>
      <c r="G912">
        <v>0.21</v>
      </c>
      <c r="H912">
        <v>237</v>
      </c>
      <c r="I912">
        <v>30</v>
      </c>
      <c r="J912">
        <v>3</v>
      </c>
    </row>
    <row r="913" spans="1:10" x14ac:dyDescent="0.3">
      <c r="A913">
        <v>61</v>
      </c>
      <c r="B913">
        <v>1</v>
      </c>
      <c r="C913">
        <v>1.5</v>
      </c>
      <c r="D913">
        <v>2</v>
      </c>
      <c r="E913">
        <v>1</v>
      </c>
      <c r="F913">
        <v>3</v>
      </c>
      <c r="G913">
        <v>0.49</v>
      </c>
      <c r="H913">
        <v>199</v>
      </c>
      <c r="I913">
        <v>30</v>
      </c>
      <c r="J913">
        <v>1</v>
      </c>
    </row>
    <row r="914" spans="1:10" x14ac:dyDescent="0.3">
      <c r="A914">
        <v>119</v>
      </c>
      <c r="B914">
        <v>1</v>
      </c>
      <c r="C914">
        <v>1</v>
      </c>
      <c r="D914">
        <v>2</v>
      </c>
      <c r="E914">
        <v>1</v>
      </c>
      <c r="F914">
        <v>20</v>
      </c>
      <c r="G914">
        <v>1.91</v>
      </c>
      <c r="H914">
        <v>238</v>
      </c>
      <c r="I914">
        <v>1</v>
      </c>
      <c r="J914">
        <v>2</v>
      </c>
    </row>
    <row r="915" spans="1:10" x14ac:dyDescent="0.3">
      <c r="A915">
        <v>116</v>
      </c>
      <c r="B915">
        <v>1</v>
      </c>
      <c r="C915">
        <v>1</v>
      </c>
      <c r="D915">
        <v>2</v>
      </c>
      <c r="E915">
        <v>0</v>
      </c>
      <c r="F915">
        <v>17</v>
      </c>
      <c r="G915">
        <v>1.63</v>
      </c>
      <c r="H915">
        <v>249</v>
      </c>
      <c r="I915">
        <v>1</v>
      </c>
      <c r="J915">
        <v>2</v>
      </c>
    </row>
    <row r="916" spans="1:10" x14ac:dyDescent="0.3">
      <c r="A916">
        <v>184</v>
      </c>
      <c r="B916">
        <v>1</v>
      </c>
      <c r="C916">
        <v>1</v>
      </c>
      <c r="D916">
        <v>2</v>
      </c>
      <c r="E916">
        <v>0</v>
      </c>
      <c r="F916">
        <v>1</v>
      </c>
      <c r="G916">
        <v>0.75</v>
      </c>
      <c r="H916">
        <v>95</v>
      </c>
      <c r="I916">
        <v>30</v>
      </c>
      <c r="J916">
        <v>2</v>
      </c>
    </row>
    <row r="917" spans="1:10" x14ac:dyDescent="0.3">
      <c r="A917">
        <v>128</v>
      </c>
      <c r="B917">
        <v>1</v>
      </c>
      <c r="C917">
        <v>1</v>
      </c>
      <c r="D917">
        <v>2</v>
      </c>
      <c r="E917">
        <v>0</v>
      </c>
      <c r="F917">
        <v>31</v>
      </c>
      <c r="G917">
        <v>3</v>
      </c>
      <c r="H917">
        <v>127</v>
      </c>
      <c r="I917">
        <v>1</v>
      </c>
      <c r="J917">
        <v>2</v>
      </c>
    </row>
    <row r="918" spans="1:10" x14ac:dyDescent="0.3">
      <c r="A918">
        <v>139</v>
      </c>
      <c r="B918">
        <v>1</v>
      </c>
      <c r="C918">
        <v>1</v>
      </c>
      <c r="D918">
        <v>2</v>
      </c>
      <c r="E918">
        <v>0</v>
      </c>
      <c r="F918">
        <v>23</v>
      </c>
      <c r="G918">
        <v>2.19</v>
      </c>
      <c r="H918">
        <v>341</v>
      </c>
      <c r="I918">
        <v>1</v>
      </c>
      <c r="J918">
        <v>2</v>
      </c>
    </row>
    <row r="919" spans="1:10" x14ac:dyDescent="0.3">
      <c r="A919">
        <v>128</v>
      </c>
      <c r="B919">
        <v>1</v>
      </c>
      <c r="C919">
        <v>1</v>
      </c>
      <c r="D919">
        <v>2</v>
      </c>
      <c r="E919">
        <v>0</v>
      </c>
      <c r="F919">
        <v>28</v>
      </c>
      <c r="G919">
        <v>2.68</v>
      </c>
      <c r="H919">
        <v>339</v>
      </c>
      <c r="I919">
        <v>1</v>
      </c>
      <c r="J919">
        <v>2</v>
      </c>
    </row>
    <row r="920" spans="1:10" x14ac:dyDescent="0.3">
      <c r="A920">
        <v>53</v>
      </c>
      <c r="B920">
        <v>1</v>
      </c>
      <c r="C920">
        <v>1</v>
      </c>
      <c r="D920">
        <v>4</v>
      </c>
      <c r="E920">
        <v>0</v>
      </c>
      <c r="F920">
        <v>1</v>
      </c>
      <c r="G920">
        <v>0.56999999999999995</v>
      </c>
      <c r="H920">
        <v>286</v>
      </c>
      <c r="I920">
        <v>30</v>
      </c>
      <c r="J920">
        <v>1</v>
      </c>
    </row>
    <row r="921" spans="1:10" x14ac:dyDescent="0.3">
      <c r="A921">
        <v>129</v>
      </c>
      <c r="B921">
        <v>1</v>
      </c>
      <c r="C921">
        <v>1</v>
      </c>
      <c r="D921">
        <v>0</v>
      </c>
      <c r="E921">
        <v>0</v>
      </c>
      <c r="F921">
        <v>23</v>
      </c>
      <c r="G921">
        <v>2.4900000000000002</v>
      </c>
      <c r="H921">
        <v>58</v>
      </c>
      <c r="I921">
        <v>5</v>
      </c>
      <c r="J921">
        <v>2</v>
      </c>
    </row>
    <row r="922" spans="1:10" x14ac:dyDescent="0.3">
      <c r="A922">
        <v>335</v>
      </c>
      <c r="B922">
        <v>3</v>
      </c>
      <c r="C922">
        <v>1</v>
      </c>
      <c r="D922">
        <v>4</v>
      </c>
      <c r="E922">
        <v>0</v>
      </c>
      <c r="F922">
        <v>5</v>
      </c>
      <c r="G922">
        <v>1.1499999999999999</v>
      </c>
      <c r="H922">
        <v>97</v>
      </c>
      <c r="I922">
        <v>1</v>
      </c>
      <c r="J922">
        <v>6</v>
      </c>
    </row>
    <row r="923" spans="1:10" x14ac:dyDescent="0.3">
      <c r="A923">
        <v>450</v>
      </c>
      <c r="B923">
        <v>2</v>
      </c>
      <c r="C923">
        <v>1.5</v>
      </c>
      <c r="D923">
        <v>4</v>
      </c>
      <c r="E923">
        <v>0</v>
      </c>
      <c r="F923">
        <v>3</v>
      </c>
      <c r="G923">
        <v>0.33</v>
      </c>
      <c r="H923">
        <v>138</v>
      </c>
      <c r="I923">
        <v>30</v>
      </c>
      <c r="J923">
        <v>4</v>
      </c>
    </row>
    <row r="924" spans="1:10" x14ac:dyDescent="0.3">
      <c r="A924">
        <v>96</v>
      </c>
      <c r="B924">
        <v>1</v>
      </c>
      <c r="C924">
        <v>1</v>
      </c>
      <c r="D924">
        <v>4</v>
      </c>
      <c r="E924">
        <v>1</v>
      </c>
      <c r="F924">
        <v>2</v>
      </c>
      <c r="G924">
        <v>0.42</v>
      </c>
      <c r="H924">
        <v>264</v>
      </c>
      <c r="I924">
        <v>30</v>
      </c>
      <c r="J924">
        <v>2</v>
      </c>
    </row>
    <row r="925" spans="1:10" x14ac:dyDescent="0.3">
      <c r="A925">
        <v>72</v>
      </c>
      <c r="B925">
        <v>2</v>
      </c>
      <c r="C925">
        <v>1</v>
      </c>
      <c r="D925">
        <v>2</v>
      </c>
      <c r="E925">
        <v>0</v>
      </c>
      <c r="F925">
        <v>1</v>
      </c>
      <c r="G925">
        <v>0.49</v>
      </c>
      <c r="H925">
        <v>233</v>
      </c>
      <c r="I925">
        <v>30</v>
      </c>
      <c r="J925">
        <v>2</v>
      </c>
    </row>
    <row r="926" spans="1:10" x14ac:dyDescent="0.3">
      <c r="A926">
        <v>119</v>
      </c>
      <c r="B926">
        <v>2</v>
      </c>
      <c r="C926">
        <v>1</v>
      </c>
      <c r="D926">
        <v>4</v>
      </c>
      <c r="E926">
        <v>0</v>
      </c>
      <c r="F926">
        <v>3</v>
      </c>
      <c r="G926">
        <v>0.69</v>
      </c>
      <c r="H926">
        <v>326</v>
      </c>
      <c r="I926">
        <v>30</v>
      </c>
      <c r="J926">
        <v>4</v>
      </c>
    </row>
    <row r="927" spans="1:10" x14ac:dyDescent="0.3">
      <c r="A927">
        <v>280</v>
      </c>
      <c r="B927">
        <v>1</v>
      </c>
      <c r="C927">
        <v>1</v>
      </c>
      <c r="D927">
        <v>4</v>
      </c>
      <c r="E927">
        <v>0</v>
      </c>
      <c r="F927">
        <v>8</v>
      </c>
      <c r="G927">
        <v>0.97</v>
      </c>
      <c r="H927">
        <v>221</v>
      </c>
      <c r="I927">
        <v>1</v>
      </c>
      <c r="J927">
        <v>2</v>
      </c>
    </row>
    <row r="928" spans="1:10" x14ac:dyDescent="0.3">
      <c r="A928">
        <v>361</v>
      </c>
      <c r="B928">
        <v>1</v>
      </c>
      <c r="C928">
        <v>1</v>
      </c>
      <c r="D928">
        <v>4</v>
      </c>
      <c r="E928">
        <v>0</v>
      </c>
      <c r="F928">
        <v>9</v>
      </c>
      <c r="G928">
        <v>1.1000000000000001</v>
      </c>
      <c r="H928">
        <v>230</v>
      </c>
      <c r="I928">
        <v>1</v>
      </c>
      <c r="J928">
        <v>2</v>
      </c>
    </row>
    <row r="929" spans="1:10" x14ac:dyDescent="0.3">
      <c r="A929">
        <v>90</v>
      </c>
      <c r="B929">
        <v>1</v>
      </c>
      <c r="C929">
        <v>1</v>
      </c>
      <c r="D929">
        <v>4</v>
      </c>
      <c r="E929">
        <v>0</v>
      </c>
      <c r="F929">
        <v>3</v>
      </c>
      <c r="G929">
        <v>0.56000000000000005</v>
      </c>
      <c r="H929">
        <v>124</v>
      </c>
      <c r="I929">
        <v>30</v>
      </c>
      <c r="J929">
        <v>2</v>
      </c>
    </row>
    <row r="930" spans="1:10" x14ac:dyDescent="0.3">
      <c r="A930">
        <v>285</v>
      </c>
      <c r="B930">
        <v>3</v>
      </c>
      <c r="C930">
        <v>1</v>
      </c>
      <c r="D930">
        <v>4</v>
      </c>
      <c r="E930">
        <v>0</v>
      </c>
      <c r="F930">
        <v>4</v>
      </c>
      <c r="G930">
        <v>0.59</v>
      </c>
      <c r="H930">
        <v>147</v>
      </c>
      <c r="I930">
        <v>30</v>
      </c>
      <c r="J930">
        <v>6</v>
      </c>
    </row>
    <row r="931" spans="1:10" x14ac:dyDescent="0.3">
      <c r="A931">
        <v>54</v>
      </c>
      <c r="B931">
        <v>1</v>
      </c>
      <c r="C931">
        <v>1</v>
      </c>
      <c r="D931">
        <v>4</v>
      </c>
      <c r="E931">
        <v>0</v>
      </c>
      <c r="F931">
        <v>2</v>
      </c>
      <c r="G931">
        <v>0.27</v>
      </c>
      <c r="H931">
        <v>236</v>
      </c>
      <c r="I931">
        <v>30</v>
      </c>
      <c r="J931">
        <v>1</v>
      </c>
    </row>
    <row r="932" spans="1:10" x14ac:dyDescent="0.3">
      <c r="A932">
        <v>73</v>
      </c>
      <c r="B932">
        <v>1</v>
      </c>
      <c r="C932">
        <v>1</v>
      </c>
      <c r="D932">
        <v>0</v>
      </c>
      <c r="E932">
        <v>1</v>
      </c>
      <c r="F932">
        <v>38</v>
      </c>
      <c r="G932">
        <v>4.37</v>
      </c>
      <c r="H932">
        <v>143</v>
      </c>
      <c r="I932">
        <v>1</v>
      </c>
      <c r="J932">
        <v>2</v>
      </c>
    </row>
    <row r="933" spans="1:10" x14ac:dyDescent="0.3">
      <c r="A933">
        <v>238</v>
      </c>
      <c r="B933">
        <v>1</v>
      </c>
      <c r="C933">
        <v>1</v>
      </c>
      <c r="D933">
        <v>4</v>
      </c>
      <c r="E933">
        <v>1</v>
      </c>
      <c r="F933">
        <v>33</v>
      </c>
      <c r="G933">
        <v>3.75</v>
      </c>
      <c r="H933">
        <v>232</v>
      </c>
      <c r="I933">
        <v>1</v>
      </c>
      <c r="J933">
        <v>2</v>
      </c>
    </row>
    <row r="934" spans="1:10" x14ac:dyDescent="0.3">
      <c r="A934">
        <v>50</v>
      </c>
      <c r="B934">
        <v>1</v>
      </c>
      <c r="C934">
        <v>1</v>
      </c>
      <c r="D934">
        <v>0</v>
      </c>
      <c r="E934">
        <v>1</v>
      </c>
      <c r="F934">
        <v>3</v>
      </c>
      <c r="G934">
        <v>0.49</v>
      </c>
      <c r="H934">
        <v>195</v>
      </c>
      <c r="I934">
        <v>30</v>
      </c>
      <c r="J934">
        <v>1</v>
      </c>
    </row>
    <row r="935" spans="1:10" x14ac:dyDescent="0.3">
      <c r="A935">
        <v>225</v>
      </c>
      <c r="B935">
        <v>1</v>
      </c>
      <c r="C935">
        <v>1</v>
      </c>
      <c r="D935">
        <v>4</v>
      </c>
      <c r="E935">
        <v>1</v>
      </c>
      <c r="F935">
        <v>1</v>
      </c>
      <c r="G935">
        <v>0.65</v>
      </c>
      <c r="H935">
        <v>214</v>
      </c>
      <c r="I935">
        <v>30</v>
      </c>
      <c r="J935">
        <v>2</v>
      </c>
    </row>
    <row r="936" spans="1:10" x14ac:dyDescent="0.3">
      <c r="A936">
        <v>104</v>
      </c>
      <c r="B936">
        <v>1</v>
      </c>
      <c r="C936">
        <v>1</v>
      </c>
      <c r="D936">
        <v>4</v>
      </c>
      <c r="E936">
        <v>0</v>
      </c>
      <c r="F936">
        <v>36</v>
      </c>
      <c r="G936">
        <v>4.2699999999999996</v>
      </c>
      <c r="H936">
        <v>85</v>
      </c>
      <c r="I936">
        <v>1</v>
      </c>
      <c r="J936">
        <v>1</v>
      </c>
    </row>
    <row r="937" spans="1:10" x14ac:dyDescent="0.3">
      <c r="A937">
        <v>58</v>
      </c>
      <c r="B937">
        <v>1</v>
      </c>
      <c r="C937">
        <v>1</v>
      </c>
      <c r="D937">
        <v>2</v>
      </c>
      <c r="E937">
        <v>1</v>
      </c>
      <c r="F937">
        <v>1</v>
      </c>
      <c r="G937">
        <v>0.88</v>
      </c>
      <c r="H937">
        <v>336</v>
      </c>
      <c r="I937">
        <v>30</v>
      </c>
      <c r="J937">
        <v>2</v>
      </c>
    </row>
    <row r="938" spans="1:10" x14ac:dyDescent="0.3">
      <c r="A938">
        <v>257</v>
      </c>
      <c r="B938">
        <v>1</v>
      </c>
      <c r="C938">
        <v>1</v>
      </c>
      <c r="D938">
        <v>4</v>
      </c>
      <c r="E938">
        <v>0</v>
      </c>
      <c r="F938">
        <v>2</v>
      </c>
      <c r="G938">
        <v>0.45</v>
      </c>
      <c r="H938">
        <v>298</v>
      </c>
      <c r="I938">
        <v>30</v>
      </c>
      <c r="J938">
        <v>2</v>
      </c>
    </row>
    <row r="939" spans="1:10" x14ac:dyDescent="0.3">
      <c r="A939">
        <v>180</v>
      </c>
      <c r="B939">
        <v>1</v>
      </c>
      <c r="C939">
        <v>1</v>
      </c>
      <c r="D939">
        <v>4</v>
      </c>
      <c r="E939">
        <v>0</v>
      </c>
      <c r="F939">
        <v>2</v>
      </c>
      <c r="G939">
        <v>0.48</v>
      </c>
      <c r="H939">
        <v>356</v>
      </c>
      <c r="I939">
        <v>30</v>
      </c>
      <c r="J939">
        <v>2</v>
      </c>
    </row>
    <row r="940" spans="1:10" x14ac:dyDescent="0.3">
      <c r="A940">
        <v>263</v>
      </c>
      <c r="B940">
        <v>2</v>
      </c>
      <c r="C940">
        <v>1</v>
      </c>
      <c r="D940">
        <v>4</v>
      </c>
      <c r="E940">
        <v>1</v>
      </c>
      <c r="F940">
        <v>5</v>
      </c>
      <c r="G940">
        <v>0.68</v>
      </c>
      <c r="H940">
        <v>348</v>
      </c>
      <c r="I940">
        <v>1</v>
      </c>
      <c r="J940">
        <v>4</v>
      </c>
    </row>
    <row r="941" spans="1:10" x14ac:dyDescent="0.3">
      <c r="A941">
        <v>255</v>
      </c>
      <c r="B941">
        <v>2</v>
      </c>
      <c r="C941">
        <v>1</v>
      </c>
      <c r="D941">
        <v>4</v>
      </c>
      <c r="E941">
        <v>1</v>
      </c>
      <c r="F941">
        <v>8</v>
      </c>
      <c r="G941">
        <v>1.37</v>
      </c>
      <c r="H941">
        <v>318</v>
      </c>
      <c r="I941">
        <v>1</v>
      </c>
      <c r="J941">
        <v>4</v>
      </c>
    </row>
    <row r="942" spans="1:10" x14ac:dyDescent="0.3">
      <c r="A942">
        <v>106</v>
      </c>
      <c r="B942">
        <v>1</v>
      </c>
      <c r="C942">
        <v>1</v>
      </c>
      <c r="D942">
        <v>0</v>
      </c>
      <c r="E942">
        <v>1</v>
      </c>
      <c r="F942">
        <v>18</v>
      </c>
      <c r="G942">
        <v>3.62</v>
      </c>
      <c r="H942">
        <v>89</v>
      </c>
      <c r="I942">
        <v>1</v>
      </c>
      <c r="J942">
        <v>1</v>
      </c>
    </row>
    <row r="943" spans="1:10" x14ac:dyDescent="0.3">
      <c r="A943">
        <v>194</v>
      </c>
      <c r="B943">
        <v>2</v>
      </c>
      <c r="C943">
        <v>1</v>
      </c>
      <c r="D943">
        <v>4</v>
      </c>
      <c r="E943">
        <v>0</v>
      </c>
      <c r="F943">
        <v>4</v>
      </c>
      <c r="G943">
        <v>0.67</v>
      </c>
      <c r="H943">
        <v>243</v>
      </c>
      <c r="I943">
        <v>30</v>
      </c>
      <c r="J943">
        <v>4</v>
      </c>
    </row>
    <row r="944" spans="1:10" x14ac:dyDescent="0.3">
      <c r="A944">
        <v>155</v>
      </c>
      <c r="B944">
        <v>2</v>
      </c>
      <c r="C944">
        <v>0</v>
      </c>
      <c r="D944">
        <v>4</v>
      </c>
      <c r="E944">
        <v>0</v>
      </c>
      <c r="F944">
        <v>2</v>
      </c>
      <c r="G944">
        <v>0.33</v>
      </c>
      <c r="H944">
        <v>273</v>
      </c>
      <c r="I944">
        <v>30</v>
      </c>
      <c r="J944">
        <v>4</v>
      </c>
    </row>
    <row r="945" spans="1:10" x14ac:dyDescent="0.3">
      <c r="A945">
        <v>137</v>
      </c>
      <c r="B945">
        <v>1</v>
      </c>
      <c r="C945">
        <v>1</v>
      </c>
      <c r="D945">
        <v>4</v>
      </c>
      <c r="E945">
        <v>0</v>
      </c>
      <c r="F945">
        <v>1</v>
      </c>
      <c r="G945">
        <v>0.48</v>
      </c>
      <c r="H945">
        <v>271</v>
      </c>
      <c r="I945">
        <v>30</v>
      </c>
      <c r="J945">
        <v>2</v>
      </c>
    </row>
    <row r="946" spans="1:10" x14ac:dyDescent="0.3">
      <c r="A946">
        <v>237</v>
      </c>
      <c r="B946">
        <v>2</v>
      </c>
      <c r="C946">
        <v>1</v>
      </c>
      <c r="D946">
        <v>4</v>
      </c>
      <c r="E946">
        <v>0</v>
      </c>
      <c r="F946">
        <v>1</v>
      </c>
      <c r="G946">
        <v>0.91</v>
      </c>
      <c r="H946">
        <v>364</v>
      </c>
      <c r="I946">
        <v>30</v>
      </c>
      <c r="J946">
        <v>4</v>
      </c>
    </row>
    <row r="947" spans="1:10" x14ac:dyDescent="0.3">
      <c r="A947">
        <v>97</v>
      </c>
      <c r="B947">
        <v>1</v>
      </c>
      <c r="C947">
        <v>1</v>
      </c>
      <c r="D947">
        <v>2</v>
      </c>
      <c r="E947">
        <v>0</v>
      </c>
      <c r="F947">
        <v>2</v>
      </c>
      <c r="G947">
        <v>0.31</v>
      </c>
      <c r="H947">
        <v>305</v>
      </c>
      <c r="I947">
        <v>30</v>
      </c>
      <c r="J947">
        <v>4</v>
      </c>
    </row>
    <row r="948" spans="1:10" x14ac:dyDescent="0.3">
      <c r="A948">
        <v>72</v>
      </c>
      <c r="B948">
        <v>1</v>
      </c>
      <c r="C948">
        <v>0</v>
      </c>
      <c r="D948">
        <v>0</v>
      </c>
      <c r="E948">
        <v>1</v>
      </c>
      <c r="F948">
        <v>3</v>
      </c>
      <c r="G948">
        <v>0.43</v>
      </c>
      <c r="H948">
        <v>288</v>
      </c>
      <c r="I948">
        <v>30</v>
      </c>
      <c r="J948">
        <v>2</v>
      </c>
    </row>
    <row r="949" spans="1:10" x14ac:dyDescent="0.3">
      <c r="A949">
        <v>339</v>
      </c>
      <c r="B949">
        <v>3</v>
      </c>
      <c r="C949">
        <v>1</v>
      </c>
      <c r="D949">
        <v>4</v>
      </c>
      <c r="E949">
        <v>1</v>
      </c>
      <c r="F949">
        <v>8</v>
      </c>
      <c r="G949">
        <v>1.01</v>
      </c>
      <c r="H949">
        <v>288</v>
      </c>
      <c r="I949">
        <v>1</v>
      </c>
      <c r="J949">
        <v>5</v>
      </c>
    </row>
    <row r="950" spans="1:10" x14ac:dyDescent="0.3">
      <c r="A950">
        <v>180</v>
      </c>
      <c r="B950">
        <v>1</v>
      </c>
      <c r="C950">
        <v>1.5</v>
      </c>
      <c r="D950">
        <v>4</v>
      </c>
      <c r="E950">
        <v>0</v>
      </c>
      <c r="F950">
        <v>1</v>
      </c>
      <c r="G950">
        <v>0.5</v>
      </c>
      <c r="H950">
        <v>85</v>
      </c>
      <c r="I950">
        <v>30</v>
      </c>
      <c r="J950">
        <v>3</v>
      </c>
    </row>
    <row r="951" spans="1:10" x14ac:dyDescent="0.3">
      <c r="A951">
        <v>162</v>
      </c>
      <c r="B951">
        <v>1</v>
      </c>
      <c r="C951">
        <v>1</v>
      </c>
      <c r="D951">
        <v>4</v>
      </c>
      <c r="E951">
        <v>1</v>
      </c>
      <c r="F951">
        <v>6</v>
      </c>
      <c r="G951">
        <v>0.92</v>
      </c>
      <c r="H951">
        <v>282</v>
      </c>
      <c r="I951">
        <v>1</v>
      </c>
      <c r="J951">
        <v>2</v>
      </c>
    </row>
    <row r="952" spans="1:10" x14ac:dyDescent="0.3">
      <c r="A952">
        <v>418</v>
      </c>
      <c r="B952">
        <v>2</v>
      </c>
      <c r="C952">
        <v>1</v>
      </c>
      <c r="D952">
        <v>2</v>
      </c>
      <c r="E952">
        <v>1</v>
      </c>
      <c r="F952">
        <v>3</v>
      </c>
      <c r="G952">
        <v>1.61</v>
      </c>
      <c r="H952">
        <v>154</v>
      </c>
      <c r="I952">
        <v>1</v>
      </c>
      <c r="J952">
        <v>4</v>
      </c>
    </row>
    <row r="953" spans="1:10" x14ac:dyDescent="0.3">
      <c r="A953">
        <v>100</v>
      </c>
      <c r="B953">
        <v>1</v>
      </c>
      <c r="C953">
        <v>1</v>
      </c>
      <c r="D953">
        <v>0</v>
      </c>
      <c r="E953">
        <v>0</v>
      </c>
      <c r="F953">
        <v>1</v>
      </c>
      <c r="G953">
        <v>0.49</v>
      </c>
      <c r="H953">
        <v>90</v>
      </c>
      <c r="I953">
        <v>30</v>
      </c>
      <c r="J953">
        <v>7</v>
      </c>
    </row>
    <row r="954" spans="1:10" x14ac:dyDescent="0.3">
      <c r="A954">
        <v>109</v>
      </c>
      <c r="B954">
        <v>2</v>
      </c>
      <c r="C954">
        <v>2</v>
      </c>
      <c r="D954">
        <v>0</v>
      </c>
      <c r="E954">
        <v>0</v>
      </c>
      <c r="F954">
        <v>2</v>
      </c>
      <c r="G954">
        <v>0.3</v>
      </c>
      <c r="H954">
        <v>116</v>
      </c>
      <c r="I954">
        <v>30</v>
      </c>
      <c r="J954">
        <v>4</v>
      </c>
    </row>
    <row r="955" spans="1:10" x14ac:dyDescent="0.3">
      <c r="A955">
        <v>244</v>
      </c>
      <c r="B955">
        <v>4</v>
      </c>
      <c r="C955">
        <v>2</v>
      </c>
      <c r="D955">
        <v>0</v>
      </c>
      <c r="E955">
        <v>0</v>
      </c>
      <c r="F955">
        <v>12</v>
      </c>
      <c r="G955">
        <v>1.72</v>
      </c>
      <c r="H955">
        <v>142</v>
      </c>
      <c r="I955">
        <v>2</v>
      </c>
      <c r="J955">
        <v>8</v>
      </c>
    </row>
    <row r="956" spans="1:10" x14ac:dyDescent="0.3">
      <c r="A956">
        <v>154</v>
      </c>
      <c r="B956">
        <v>3</v>
      </c>
      <c r="C956">
        <v>1</v>
      </c>
      <c r="D956">
        <v>4</v>
      </c>
      <c r="E956">
        <v>1</v>
      </c>
      <c r="F956">
        <v>8</v>
      </c>
      <c r="G956">
        <v>1.45</v>
      </c>
      <c r="H956">
        <v>271</v>
      </c>
      <c r="I956">
        <v>1</v>
      </c>
      <c r="J956">
        <v>4</v>
      </c>
    </row>
    <row r="957" spans="1:10" x14ac:dyDescent="0.3">
      <c r="A957">
        <v>240</v>
      </c>
      <c r="B957">
        <v>1</v>
      </c>
      <c r="C957">
        <v>1</v>
      </c>
      <c r="D957">
        <v>4</v>
      </c>
      <c r="E957">
        <v>1</v>
      </c>
      <c r="F957">
        <v>2</v>
      </c>
      <c r="G957">
        <v>0.47</v>
      </c>
      <c r="H957">
        <v>114</v>
      </c>
      <c r="I957">
        <v>1</v>
      </c>
      <c r="J957">
        <v>2</v>
      </c>
    </row>
    <row r="958" spans="1:10" x14ac:dyDescent="0.3">
      <c r="A958">
        <v>226</v>
      </c>
      <c r="B958">
        <v>1</v>
      </c>
      <c r="C958">
        <v>1</v>
      </c>
      <c r="D958">
        <v>4</v>
      </c>
      <c r="E958">
        <v>1</v>
      </c>
      <c r="F958">
        <v>2</v>
      </c>
      <c r="G958">
        <v>0.39</v>
      </c>
      <c r="H958">
        <v>105</v>
      </c>
      <c r="I958">
        <v>1</v>
      </c>
      <c r="J958">
        <v>2</v>
      </c>
    </row>
    <row r="959" spans="1:10" x14ac:dyDescent="0.3">
      <c r="A959">
        <v>222</v>
      </c>
      <c r="B959">
        <v>1</v>
      </c>
      <c r="C959">
        <v>1</v>
      </c>
      <c r="D959">
        <v>4</v>
      </c>
      <c r="E959">
        <v>1</v>
      </c>
      <c r="F959">
        <v>8</v>
      </c>
      <c r="G959">
        <v>1.94</v>
      </c>
      <c r="H959">
        <v>111</v>
      </c>
      <c r="I959">
        <v>1</v>
      </c>
      <c r="J959">
        <v>2</v>
      </c>
    </row>
    <row r="960" spans="1:10" x14ac:dyDescent="0.3">
      <c r="A960">
        <v>150</v>
      </c>
      <c r="B960">
        <v>1</v>
      </c>
      <c r="C960">
        <v>1</v>
      </c>
      <c r="D960">
        <v>4</v>
      </c>
      <c r="E960">
        <v>0</v>
      </c>
      <c r="F960">
        <v>2</v>
      </c>
      <c r="G960">
        <v>0.71</v>
      </c>
      <c r="H960">
        <v>336</v>
      </c>
      <c r="I960">
        <v>30</v>
      </c>
      <c r="J960">
        <v>2</v>
      </c>
    </row>
    <row r="961" spans="1:10" x14ac:dyDescent="0.3">
      <c r="A961">
        <v>379</v>
      </c>
      <c r="B961">
        <v>1</v>
      </c>
      <c r="C961">
        <v>1</v>
      </c>
      <c r="D961">
        <v>4</v>
      </c>
      <c r="E961">
        <v>0</v>
      </c>
      <c r="F961">
        <v>1</v>
      </c>
      <c r="G961">
        <v>0.53</v>
      </c>
      <c r="H961">
        <v>119</v>
      </c>
      <c r="I961">
        <v>30</v>
      </c>
      <c r="J961">
        <v>2</v>
      </c>
    </row>
    <row r="962" spans="1:10" x14ac:dyDescent="0.3">
      <c r="A962">
        <v>72</v>
      </c>
      <c r="B962">
        <v>1</v>
      </c>
      <c r="C962">
        <v>1</v>
      </c>
      <c r="D962">
        <v>2</v>
      </c>
      <c r="E962">
        <v>1</v>
      </c>
      <c r="F962">
        <v>2</v>
      </c>
      <c r="G962">
        <v>0.34</v>
      </c>
      <c r="H962">
        <v>351</v>
      </c>
      <c r="I962">
        <v>30</v>
      </c>
      <c r="J962">
        <v>2</v>
      </c>
    </row>
    <row r="963" spans="1:10" x14ac:dyDescent="0.3">
      <c r="A963">
        <v>170</v>
      </c>
      <c r="B963">
        <v>2</v>
      </c>
      <c r="C963">
        <v>1</v>
      </c>
      <c r="D963">
        <v>0</v>
      </c>
      <c r="E963">
        <v>0</v>
      </c>
      <c r="F963">
        <v>1</v>
      </c>
      <c r="G963">
        <v>0.91</v>
      </c>
      <c r="H963">
        <v>334</v>
      </c>
      <c r="I963">
        <v>30</v>
      </c>
      <c r="J963">
        <v>4</v>
      </c>
    </row>
    <row r="964" spans="1:10" x14ac:dyDescent="0.3">
      <c r="A964">
        <v>289</v>
      </c>
      <c r="B964">
        <v>1</v>
      </c>
      <c r="C964">
        <v>1</v>
      </c>
      <c r="D964">
        <v>4</v>
      </c>
      <c r="E964">
        <v>0</v>
      </c>
      <c r="F964">
        <v>2</v>
      </c>
      <c r="G964">
        <v>0.44</v>
      </c>
      <c r="H964">
        <v>348</v>
      </c>
      <c r="I964">
        <v>30</v>
      </c>
      <c r="J964">
        <v>2</v>
      </c>
    </row>
    <row r="965" spans="1:10" x14ac:dyDescent="0.3">
      <c r="A965">
        <v>233</v>
      </c>
      <c r="B965">
        <v>1</v>
      </c>
      <c r="C965">
        <v>1</v>
      </c>
      <c r="D965">
        <v>2</v>
      </c>
      <c r="E965">
        <v>1</v>
      </c>
      <c r="F965">
        <v>15</v>
      </c>
      <c r="G965">
        <v>2.15</v>
      </c>
      <c r="H965">
        <v>159</v>
      </c>
      <c r="I965">
        <v>1</v>
      </c>
      <c r="J965">
        <v>2</v>
      </c>
    </row>
    <row r="966" spans="1:10" x14ac:dyDescent="0.3">
      <c r="A966">
        <v>102</v>
      </c>
      <c r="B966">
        <v>1</v>
      </c>
      <c r="C966">
        <v>1</v>
      </c>
      <c r="D966">
        <v>2</v>
      </c>
      <c r="E966">
        <v>0</v>
      </c>
      <c r="F966">
        <v>2</v>
      </c>
      <c r="G966">
        <v>0.85</v>
      </c>
      <c r="H966">
        <v>148</v>
      </c>
      <c r="I966">
        <v>30</v>
      </c>
      <c r="J966">
        <v>2</v>
      </c>
    </row>
    <row r="967" spans="1:10" x14ac:dyDescent="0.3">
      <c r="A967">
        <v>115</v>
      </c>
      <c r="B967">
        <v>1</v>
      </c>
      <c r="C967">
        <v>1</v>
      </c>
      <c r="D967">
        <v>0</v>
      </c>
      <c r="E967">
        <v>0</v>
      </c>
      <c r="F967">
        <v>2</v>
      </c>
      <c r="G967">
        <v>0.52</v>
      </c>
      <c r="H967">
        <v>109</v>
      </c>
      <c r="I967">
        <v>30</v>
      </c>
      <c r="J967">
        <v>1</v>
      </c>
    </row>
    <row r="968" spans="1:10" x14ac:dyDescent="0.3">
      <c r="A968">
        <v>50</v>
      </c>
      <c r="B968">
        <v>1</v>
      </c>
      <c r="C968">
        <v>1</v>
      </c>
      <c r="D968">
        <v>0</v>
      </c>
      <c r="E968">
        <v>1</v>
      </c>
      <c r="F968">
        <v>2</v>
      </c>
      <c r="G968">
        <v>0.5</v>
      </c>
      <c r="H968">
        <v>350</v>
      </c>
      <c r="I968">
        <v>30</v>
      </c>
      <c r="J968">
        <v>2</v>
      </c>
    </row>
    <row r="969" spans="1:10" x14ac:dyDescent="0.3">
      <c r="A969">
        <v>277</v>
      </c>
      <c r="B969">
        <v>1</v>
      </c>
      <c r="C969">
        <v>1</v>
      </c>
      <c r="D969">
        <v>4</v>
      </c>
      <c r="E969">
        <v>1</v>
      </c>
      <c r="F969">
        <v>3</v>
      </c>
      <c r="G969">
        <v>0.45</v>
      </c>
      <c r="H969">
        <v>96</v>
      </c>
      <c r="I969">
        <v>1</v>
      </c>
      <c r="J969">
        <v>2</v>
      </c>
    </row>
    <row r="970" spans="1:10" x14ac:dyDescent="0.3">
      <c r="A970">
        <v>135</v>
      </c>
      <c r="B970">
        <v>2</v>
      </c>
      <c r="C970">
        <v>1</v>
      </c>
      <c r="D970">
        <v>4</v>
      </c>
      <c r="E970">
        <v>0</v>
      </c>
      <c r="F970">
        <v>1</v>
      </c>
      <c r="G970">
        <v>0.56999999999999995</v>
      </c>
      <c r="H970">
        <v>275</v>
      </c>
      <c r="I970">
        <v>30</v>
      </c>
      <c r="J970">
        <v>4</v>
      </c>
    </row>
    <row r="971" spans="1:10" x14ac:dyDescent="0.3">
      <c r="A971">
        <v>175</v>
      </c>
      <c r="B971">
        <v>1</v>
      </c>
      <c r="C971">
        <v>1.5</v>
      </c>
      <c r="D971">
        <v>4</v>
      </c>
      <c r="E971">
        <v>0</v>
      </c>
      <c r="F971">
        <v>2</v>
      </c>
      <c r="G971">
        <v>0.57999999999999996</v>
      </c>
      <c r="H971">
        <v>182</v>
      </c>
      <c r="I971">
        <v>30</v>
      </c>
      <c r="J971">
        <v>3</v>
      </c>
    </row>
    <row r="972" spans="1:10" x14ac:dyDescent="0.3">
      <c r="A972">
        <v>143</v>
      </c>
      <c r="B972">
        <v>2</v>
      </c>
      <c r="C972">
        <v>1</v>
      </c>
      <c r="D972">
        <v>4</v>
      </c>
      <c r="E972">
        <v>0</v>
      </c>
      <c r="F972">
        <v>3</v>
      </c>
      <c r="G972">
        <v>0.54</v>
      </c>
      <c r="H972">
        <v>243</v>
      </c>
      <c r="I972">
        <v>30</v>
      </c>
      <c r="J972">
        <v>5</v>
      </c>
    </row>
    <row r="973" spans="1:10" x14ac:dyDescent="0.3">
      <c r="A973">
        <v>185</v>
      </c>
      <c r="B973">
        <v>1</v>
      </c>
      <c r="C973">
        <v>1</v>
      </c>
      <c r="D973">
        <v>4</v>
      </c>
      <c r="E973">
        <v>0</v>
      </c>
      <c r="F973">
        <v>1</v>
      </c>
      <c r="G973">
        <v>0.49</v>
      </c>
      <c r="H973">
        <v>283</v>
      </c>
      <c r="I973">
        <v>30</v>
      </c>
      <c r="J973">
        <v>2</v>
      </c>
    </row>
    <row r="974" spans="1:10" x14ac:dyDescent="0.3">
      <c r="A974">
        <v>60</v>
      </c>
      <c r="B974">
        <v>1</v>
      </c>
      <c r="C974">
        <v>1</v>
      </c>
      <c r="D974">
        <v>4</v>
      </c>
      <c r="E974">
        <v>1</v>
      </c>
      <c r="F974">
        <v>1</v>
      </c>
      <c r="G974">
        <v>0.48</v>
      </c>
      <c r="H974">
        <v>169</v>
      </c>
      <c r="I974">
        <v>30</v>
      </c>
      <c r="J974">
        <v>1</v>
      </c>
    </row>
    <row r="975" spans="1:10" x14ac:dyDescent="0.3">
      <c r="A975">
        <v>221</v>
      </c>
      <c r="B975">
        <v>1</v>
      </c>
      <c r="C975">
        <v>1</v>
      </c>
      <c r="D975">
        <v>2</v>
      </c>
      <c r="E975">
        <v>0</v>
      </c>
      <c r="F975">
        <v>2</v>
      </c>
      <c r="G975">
        <v>0.63</v>
      </c>
      <c r="H975">
        <v>112</v>
      </c>
      <c r="I975">
        <v>30</v>
      </c>
      <c r="J975">
        <v>2</v>
      </c>
    </row>
    <row r="976" spans="1:10" x14ac:dyDescent="0.3">
      <c r="A976">
        <v>80</v>
      </c>
      <c r="B976">
        <v>1</v>
      </c>
      <c r="C976">
        <v>1</v>
      </c>
      <c r="D976">
        <v>4</v>
      </c>
      <c r="E976">
        <v>1</v>
      </c>
      <c r="F976">
        <v>1</v>
      </c>
      <c r="G976">
        <v>0.48</v>
      </c>
      <c r="H976">
        <v>334</v>
      </c>
      <c r="I976">
        <v>30</v>
      </c>
      <c r="J976">
        <v>1</v>
      </c>
    </row>
    <row r="977" spans="1:10" x14ac:dyDescent="0.3">
      <c r="A977">
        <v>75</v>
      </c>
      <c r="B977">
        <v>1</v>
      </c>
      <c r="C977">
        <v>1</v>
      </c>
      <c r="D977">
        <v>4</v>
      </c>
      <c r="E977">
        <v>0</v>
      </c>
      <c r="F977">
        <v>1</v>
      </c>
      <c r="G977">
        <v>0.67</v>
      </c>
      <c r="H977">
        <v>269</v>
      </c>
      <c r="I977">
        <v>30</v>
      </c>
      <c r="J977">
        <v>2</v>
      </c>
    </row>
    <row r="978" spans="1:10" x14ac:dyDescent="0.3">
      <c r="A978">
        <v>53</v>
      </c>
      <c r="B978">
        <v>1</v>
      </c>
      <c r="C978">
        <v>1</v>
      </c>
      <c r="D978">
        <v>4</v>
      </c>
      <c r="E978">
        <v>1</v>
      </c>
      <c r="F978">
        <v>1</v>
      </c>
      <c r="G978">
        <v>0.48</v>
      </c>
      <c r="H978">
        <v>59</v>
      </c>
      <c r="I978">
        <v>30</v>
      </c>
      <c r="J978">
        <v>2</v>
      </c>
    </row>
    <row r="979" spans="1:10" x14ac:dyDescent="0.3">
      <c r="A979">
        <v>350</v>
      </c>
      <c r="B979">
        <v>2</v>
      </c>
      <c r="C979">
        <v>2.5</v>
      </c>
      <c r="D979">
        <v>2</v>
      </c>
      <c r="E979">
        <v>1</v>
      </c>
      <c r="F979">
        <v>5</v>
      </c>
      <c r="G979">
        <v>1.97</v>
      </c>
      <c r="H979">
        <v>348</v>
      </c>
      <c r="I979">
        <v>1</v>
      </c>
      <c r="J979">
        <v>4</v>
      </c>
    </row>
    <row r="980" spans="1:10" x14ac:dyDescent="0.3">
      <c r="A980">
        <v>65</v>
      </c>
      <c r="B980">
        <v>2</v>
      </c>
      <c r="C980">
        <v>1</v>
      </c>
      <c r="D980">
        <v>0</v>
      </c>
      <c r="E980">
        <v>0</v>
      </c>
      <c r="F980">
        <v>3</v>
      </c>
      <c r="G980">
        <v>0.66</v>
      </c>
      <c r="H980">
        <v>58</v>
      </c>
      <c r="I980">
        <v>30</v>
      </c>
      <c r="J980">
        <v>2</v>
      </c>
    </row>
    <row r="981" spans="1:10" x14ac:dyDescent="0.3">
      <c r="A981">
        <v>243</v>
      </c>
      <c r="B981">
        <v>1</v>
      </c>
      <c r="C981">
        <v>1</v>
      </c>
      <c r="D981">
        <v>4</v>
      </c>
      <c r="E981">
        <v>0</v>
      </c>
      <c r="F981">
        <v>10</v>
      </c>
      <c r="G981">
        <v>1.89</v>
      </c>
      <c r="H981">
        <v>244</v>
      </c>
      <c r="I981">
        <v>4</v>
      </c>
      <c r="J981">
        <v>2</v>
      </c>
    </row>
    <row r="982" spans="1:10" x14ac:dyDescent="0.3">
      <c r="A982">
        <v>55</v>
      </c>
      <c r="B982">
        <v>1</v>
      </c>
      <c r="C982">
        <v>1</v>
      </c>
      <c r="D982">
        <v>2</v>
      </c>
      <c r="E982">
        <v>1</v>
      </c>
      <c r="F982">
        <v>1</v>
      </c>
      <c r="G982">
        <v>0.91</v>
      </c>
      <c r="H982">
        <v>81</v>
      </c>
      <c r="I982">
        <v>30</v>
      </c>
      <c r="J982">
        <v>1</v>
      </c>
    </row>
    <row r="983" spans="1:10" x14ac:dyDescent="0.3">
      <c r="A983">
        <v>180</v>
      </c>
      <c r="B983">
        <v>2</v>
      </c>
      <c r="C983">
        <v>1</v>
      </c>
      <c r="D983">
        <v>4</v>
      </c>
      <c r="E983">
        <v>0</v>
      </c>
      <c r="F983">
        <v>7</v>
      </c>
      <c r="G983">
        <v>1.72</v>
      </c>
      <c r="H983">
        <v>191</v>
      </c>
      <c r="I983">
        <v>1</v>
      </c>
      <c r="J983">
        <v>4</v>
      </c>
    </row>
    <row r="984" spans="1:10" x14ac:dyDescent="0.3">
      <c r="A984">
        <v>292</v>
      </c>
      <c r="B984">
        <v>1</v>
      </c>
      <c r="C984">
        <v>1</v>
      </c>
      <c r="D984">
        <v>2</v>
      </c>
      <c r="E984">
        <v>1</v>
      </c>
      <c r="F984">
        <v>3</v>
      </c>
      <c r="G984">
        <v>0.99</v>
      </c>
      <c r="H984">
        <v>109</v>
      </c>
      <c r="I984">
        <v>1</v>
      </c>
      <c r="J984">
        <v>2</v>
      </c>
    </row>
    <row r="985" spans="1:10" x14ac:dyDescent="0.3">
      <c r="A985">
        <v>54</v>
      </c>
      <c r="B985">
        <v>1</v>
      </c>
      <c r="C985">
        <v>1</v>
      </c>
      <c r="D985">
        <v>4</v>
      </c>
      <c r="E985">
        <v>1</v>
      </c>
      <c r="F985">
        <v>2</v>
      </c>
      <c r="G985">
        <v>0.39</v>
      </c>
      <c r="H985">
        <v>280</v>
      </c>
      <c r="I985">
        <v>30</v>
      </c>
      <c r="J985">
        <v>1</v>
      </c>
    </row>
    <row r="986" spans="1:10" x14ac:dyDescent="0.3">
      <c r="A986">
        <v>116</v>
      </c>
      <c r="B986">
        <v>1</v>
      </c>
      <c r="C986">
        <v>1</v>
      </c>
      <c r="D986">
        <v>2</v>
      </c>
      <c r="E986">
        <v>0</v>
      </c>
      <c r="F986">
        <v>1</v>
      </c>
      <c r="G986">
        <v>0.94</v>
      </c>
      <c r="H986">
        <v>115</v>
      </c>
      <c r="I986">
        <v>30</v>
      </c>
      <c r="J986">
        <v>2</v>
      </c>
    </row>
    <row r="987" spans="1:10" x14ac:dyDescent="0.3">
      <c r="A987">
        <v>141</v>
      </c>
      <c r="B987">
        <v>2</v>
      </c>
      <c r="C987">
        <v>1</v>
      </c>
      <c r="D987">
        <v>2</v>
      </c>
      <c r="E987">
        <v>0</v>
      </c>
      <c r="F987">
        <v>1</v>
      </c>
      <c r="G987">
        <v>0.88</v>
      </c>
      <c r="H987">
        <v>364</v>
      </c>
      <c r="I987">
        <v>30</v>
      </c>
      <c r="J987">
        <v>4</v>
      </c>
    </row>
    <row r="988" spans="1:10" x14ac:dyDescent="0.3">
      <c r="A988">
        <v>130</v>
      </c>
      <c r="B988">
        <v>1</v>
      </c>
      <c r="C988">
        <v>1</v>
      </c>
      <c r="D988">
        <v>2</v>
      </c>
      <c r="E988">
        <v>0</v>
      </c>
      <c r="F988">
        <v>2</v>
      </c>
      <c r="G988">
        <v>0.49</v>
      </c>
      <c r="H988">
        <v>180</v>
      </c>
      <c r="I988">
        <v>30</v>
      </c>
      <c r="J988">
        <v>2</v>
      </c>
    </row>
    <row r="989" spans="1:10" x14ac:dyDescent="0.3">
      <c r="A989">
        <v>55</v>
      </c>
      <c r="B989">
        <v>1</v>
      </c>
      <c r="C989">
        <v>3</v>
      </c>
      <c r="D989">
        <v>2</v>
      </c>
      <c r="E989">
        <v>1</v>
      </c>
      <c r="F989">
        <v>1</v>
      </c>
      <c r="G989">
        <v>0.48</v>
      </c>
      <c r="H989">
        <v>265</v>
      </c>
      <c r="I989">
        <v>30</v>
      </c>
      <c r="J989">
        <v>1</v>
      </c>
    </row>
    <row r="990" spans="1:10" x14ac:dyDescent="0.3">
      <c r="A990">
        <v>96</v>
      </c>
      <c r="B990">
        <v>1</v>
      </c>
      <c r="C990">
        <v>1</v>
      </c>
      <c r="D990">
        <v>2</v>
      </c>
      <c r="E990">
        <v>0</v>
      </c>
      <c r="F990">
        <v>1</v>
      </c>
      <c r="G990">
        <v>0.48</v>
      </c>
      <c r="H990">
        <v>353</v>
      </c>
      <c r="I990">
        <v>30</v>
      </c>
      <c r="J990">
        <v>2</v>
      </c>
    </row>
    <row r="991" spans="1:10" x14ac:dyDescent="0.3">
      <c r="A991">
        <v>171</v>
      </c>
      <c r="B991">
        <v>2</v>
      </c>
      <c r="C991">
        <v>1</v>
      </c>
      <c r="D991">
        <v>4</v>
      </c>
      <c r="E991">
        <v>0</v>
      </c>
      <c r="F991">
        <v>2</v>
      </c>
      <c r="G991">
        <v>0.5</v>
      </c>
      <c r="H991">
        <v>254</v>
      </c>
      <c r="I991">
        <v>30</v>
      </c>
      <c r="J991">
        <v>4</v>
      </c>
    </row>
    <row r="992" spans="1:10" x14ac:dyDescent="0.3">
      <c r="A992">
        <v>170</v>
      </c>
      <c r="B992">
        <v>2</v>
      </c>
      <c r="C992">
        <v>2</v>
      </c>
      <c r="D992">
        <v>4</v>
      </c>
      <c r="E992">
        <v>0</v>
      </c>
      <c r="F992">
        <v>1</v>
      </c>
      <c r="G992">
        <v>0.59</v>
      </c>
      <c r="H992">
        <v>335</v>
      </c>
      <c r="I992">
        <v>30</v>
      </c>
      <c r="J992">
        <v>4</v>
      </c>
    </row>
    <row r="993" spans="1:10" x14ac:dyDescent="0.3">
      <c r="A993">
        <v>150</v>
      </c>
      <c r="B993">
        <v>1</v>
      </c>
      <c r="C993">
        <v>1</v>
      </c>
      <c r="D993">
        <v>4</v>
      </c>
      <c r="E993">
        <v>0</v>
      </c>
      <c r="F993">
        <v>2</v>
      </c>
      <c r="G993">
        <v>0.49</v>
      </c>
      <c r="H993">
        <v>294</v>
      </c>
      <c r="I993">
        <v>30</v>
      </c>
      <c r="J993">
        <v>2</v>
      </c>
    </row>
    <row r="994" spans="1:10" x14ac:dyDescent="0.3">
      <c r="A994">
        <v>110</v>
      </c>
      <c r="B994">
        <v>2</v>
      </c>
      <c r="C994">
        <v>1</v>
      </c>
      <c r="D994">
        <v>0</v>
      </c>
      <c r="E994">
        <v>0</v>
      </c>
      <c r="F994">
        <v>2</v>
      </c>
      <c r="G994">
        <v>0.66</v>
      </c>
      <c r="H994">
        <v>271</v>
      </c>
      <c r="I994">
        <v>30</v>
      </c>
      <c r="J994">
        <v>5</v>
      </c>
    </row>
    <row r="995" spans="1:10" x14ac:dyDescent="0.3">
      <c r="A995">
        <v>163</v>
      </c>
      <c r="B995">
        <v>1</v>
      </c>
      <c r="C995">
        <v>1</v>
      </c>
      <c r="D995">
        <v>2</v>
      </c>
      <c r="E995">
        <v>0</v>
      </c>
      <c r="F995">
        <v>1</v>
      </c>
      <c r="G995">
        <v>0.94</v>
      </c>
      <c r="H995">
        <v>358</v>
      </c>
      <c r="I995">
        <v>30</v>
      </c>
      <c r="J995">
        <v>2</v>
      </c>
    </row>
    <row r="996" spans="1:10" x14ac:dyDescent="0.3">
      <c r="A996">
        <v>140</v>
      </c>
      <c r="B996">
        <v>1</v>
      </c>
      <c r="C996">
        <v>1</v>
      </c>
      <c r="D996">
        <v>4</v>
      </c>
      <c r="E996">
        <v>0</v>
      </c>
      <c r="F996">
        <v>1</v>
      </c>
      <c r="G996">
        <v>0.91</v>
      </c>
      <c r="H996">
        <v>32</v>
      </c>
      <c r="I996">
        <v>30</v>
      </c>
      <c r="J996">
        <v>2</v>
      </c>
    </row>
    <row r="997" spans="1:10" x14ac:dyDescent="0.3">
      <c r="A997">
        <v>126</v>
      </c>
      <c r="B997">
        <v>1</v>
      </c>
      <c r="C997">
        <v>1</v>
      </c>
      <c r="D997">
        <v>2</v>
      </c>
      <c r="E997">
        <v>0</v>
      </c>
      <c r="F997">
        <v>1</v>
      </c>
      <c r="G997">
        <v>0.56999999999999995</v>
      </c>
      <c r="H997">
        <v>340</v>
      </c>
      <c r="I997">
        <v>30</v>
      </c>
      <c r="J997">
        <v>2</v>
      </c>
    </row>
    <row r="998" spans="1:10" x14ac:dyDescent="0.3">
      <c r="A998">
        <v>433</v>
      </c>
      <c r="B998">
        <v>2</v>
      </c>
      <c r="C998">
        <v>1</v>
      </c>
      <c r="D998">
        <v>4</v>
      </c>
      <c r="E998">
        <v>0</v>
      </c>
      <c r="F998">
        <v>18</v>
      </c>
      <c r="G998">
        <v>0.47</v>
      </c>
      <c r="H998">
        <v>257</v>
      </c>
      <c r="I998">
        <v>1</v>
      </c>
      <c r="J998">
        <v>4</v>
      </c>
    </row>
    <row r="999" spans="1:10" x14ac:dyDescent="0.3">
      <c r="A999">
        <v>394</v>
      </c>
      <c r="B999">
        <v>1</v>
      </c>
      <c r="C999">
        <v>1</v>
      </c>
      <c r="D999">
        <v>4</v>
      </c>
      <c r="E999">
        <v>0</v>
      </c>
      <c r="F999">
        <v>3</v>
      </c>
      <c r="G999">
        <v>0.18</v>
      </c>
      <c r="H999">
        <v>300</v>
      </c>
      <c r="I999">
        <v>1</v>
      </c>
      <c r="J999">
        <v>2</v>
      </c>
    </row>
    <row r="1000" spans="1:10" x14ac:dyDescent="0.3">
      <c r="A1000">
        <v>394</v>
      </c>
      <c r="B1000">
        <v>1</v>
      </c>
      <c r="C1000">
        <v>1</v>
      </c>
      <c r="D1000">
        <v>4</v>
      </c>
      <c r="E1000">
        <v>0</v>
      </c>
      <c r="F1000">
        <v>8</v>
      </c>
      <c r="G1000">
        <v>0.35</v>
      </c>
      <c r="H1000">
        <v>300</v>
      </c>
      <c r="I1000">
        <v>1</v>
      </c>
      <c r="J1000">
        <v>2</v>
      </c>
    </row>
    <row r="1001" spans="1:10" x14ac:dyDescent="0.3">
      <c r="A1001">
        <v>210</v>
      </c>
      <c r="B1001">
        <v>1</v>
      </c>
      <c r="C1001">
        <v>1</v>
      </c>
      <c r="D1001">
        <v>2</v>
      </c>
      <c r="E1001">
        <v>0</v>
      </c>
      <c r="F1001">
        <v>1</v>
      </c>
      <c r="G1001">
        <v>0.48</v>
      </c>
      <c r="H1001">
        <v>180</v>
      </c>
      <c r="I1001">
        <v>30</v>
      </c>
      <c r="J1001">
        <v>4</v>
      </c>
    </row>
    <row r="1002" spans="1:10" x14ac:dyDescent="0.3">
      <c r="A1002">
        <v>117</v>
      </c>
      <c r="B1002">
        <v>2</v>
      </c>
      <c r="C1002">
        <v>1</v>
      </c>
      <c r="D1002">
        <v>2</v>
      </c>
      <c r="E1002">
        <v>0</v>
      </c>
      <c r="F1002">
        <v>2</v>
      </c>
      <c r="G1002">
        <v>0.66</v>
      </c>
      <c r="H1002">
        <v>278</v>
      </c>
      <c r="I1002">
        <v>30</v>
      </c>
      <c r="J1002">
        <v>3</v>
      </c>
    </row>
    <row r="1003" spans="1:10" x14ac:dyDescent="0.3">
      <c r="A1003">
        <v>80</v>
      </c>
      <c r="B1003">
        <v>3</v>
      </c>
      <c r="C1003">
        <v>1</v>
      </c>
      <c r="D1003">
        <v>0</v>
      </c>
      <c r="E1003">
        <v>0</v>
      </c>
      <c r="F1003">
        <v>1</v>
      </c>
      <c r="G1003">
        <v>0.54</v>
      </c>
      <c r="H1003">
        <v>244</v>
      </c>
      <c r="I1003">
        <v>30</v>
      </c>
      <c r="J1003">
        <v>5</v>
      </c>
    </row>
    <row r="1004" spans="1:10" x14ac:dyDescent="0.3">
      <c r="A1004">
        <v>105</v>
      </c>
      <c r="B1004">
        <v>2</v>
      </c>
      <c r="C1004">
        <v>1</v>
      </c>
      <c r="D1004">
        <v>0</v>
      </c>
      <c r="E1004">
        <v>0</v>
      </c>
      <c r="F1004">
        <v>2</v>
      </c>
      <c r="G1004">
        <v>0.46</v>
      </c>
      <c r="H1004">
        <v>212</v>
      </c>
      <c r="I1004">
        <v>30</v>
      </c>
      <c r="J1004">
        <v>4</v>
      </c>
    </row>
    <row r="1005" spans="1:10" x14ac:dyDescent="0.3">
      <c r="A1005">
        <v>140</v>
      </c>
      <c r="B1005">
        <v>1</v>
      </c>
      <c r="C1005">
        <v>1</v>
      </c>
      <c r="D1005">
        <v>2</v>
      </c>
      <c r="E1005">
        <v>0</v>
      </c>
      <c r="F1005">
        <v>2</v>
      </c>
      <c r="G1005">
        <v>0.67</v>
      </c>
      <c r="H1005">
        <v>179</v>
      </c>
      <c r="I1005">
        <v>30</v>
      </c>
      <c r="J1005">
        <v>3</v>
      </c>
    </row>
    <row r="1006" spans="1:10" x14ac:dyDescent="0.3">
      <c r="A1006">
        <v>92</v>
      </c>
      <c r="B1006">
        <v>1</v>
      </c>
      <c r="C1006">
        <v>1</v>
      </c>
      <c r="D1006">
        <v>4</v>
      </c>
      <c r="E1006">
        <v>0</v>
      </c>
      <c r="F1006">
        <v>1</v>
      </c>
      <c r="G1006">
        <v>0.48</v>
      </c>
      <c r="H1006">
        <v>92</v>
      </c>
      <c r="I1006">
        <v>30</v>
      </c>
      <c r="J1006">
        <v>2</v>
      </c>
    </row>
    <row r="1007" spans="1:10" x14ac:dyDescent="0.3">
      <c r="A1007">
        <v>179</v>
      </c>
      <c r="B1007">
        <v>2</v>
      </c>
      <c r="C1007">
        <v>1</v>
      </c>
      <c r="D1007">
        <v>4</v>
      </c>
      <c r="E1007">
        <v>0</v>
      </c>
      <c r="F1007">
        <v>1</v>
      </c>
      <c r="G1007">
        <v>0.51</v>
      </c>
      <c r="H1007">
        <v>133</v>
      </c>
      <c r="I1007">
        <v>30</v>
      </c>
      <c r="J1007">
        <v>4</v>
      </c>
    </row>
    <row r="1008" spans="1:10" x14ac:dyDescent="0.3">
      <c r="A1008">
        <v>150</v>
      </c>
      <c r="B1008">
        <v>1</v>
      </c>
      <c r="C1008">
        <v>1</v>
      </c>
      <c r="D1008">
        <v>4</v>
      </c>
      <c r="E1008">
        <v>0</v>
      </c>
      <c r="F1008">
        <v>2</v>
      </c>
      <c r="G1008">
        <v>0.67</v>
      </c>
      <c r="H1008">
        <v>365</v>
      </c>
      <c r="I1008">
        <v>30</v>
      </c>
      <c r="J1008">
        <v>2</v>
      </c>
    </row>
    <row r="1009" spans="1:10" x14ac:dyDescent="0.3">
      <c r="A1009">
        <v>125</v>
      </c>
      <c r="B1009">
        <v>1</v>
      </c>
      <c r="C1009">
        <v>1</v>
      </c>
      <c r="D1009">
        <v>4</v>
      </c>
      <c r="E1009">
        <v>0</v>
      </c>
      <c r="F1009">
        <v>1</v>
      </c>
      <c r="G1009">
        <v>0.48</v>
      </c>
      <c r="H1009">
        <v>270</v>
      </c>
      <c r="I1009">
        <v>30</v>
      </c>
      <c r="J1009">
        <v>2</v>
      </c>
    </row>
    <row r="1010" spans="1:10" x14ac:dyDescent="0.3">
      <c r="A1010">
        <v>239</v>
      </c>
      <c r="B1010">
        <v>1</v>
      </c>
      <c r="C1010">
        <v>1</v>
      </c>
      <c r="D1010">
        <v>4</v>
      </c>
      <c r="E1010">
        <v>0</v>
      </c>
      <c r="F1010">
        <v>1</v>
      </c>
      <c r="G1010">
        <v>0.79</v>
      </c>
      <c r="H1010">
        <v>218</v>
      </c>
      <c r="I1010">
        <v>3</v>
      </c>
      <c r="J1010">
        <v>3</v>
      </c>
    </row>
    <row r="1011" spans="1:10" x14ac:dyDescent="0.3">
      <c r="A1011">
        <v>77</v>
      </c>
      <c r="B1011">
        <v>1</v>
      </c>
      <c r="C1011">
        <v>1</v>
      </c>
      <c r="D1011">
        <v>2</v>
      </c>
      <c r="E1011">
        <v>0</v>
      </c>
      <c r="F1011">
        <v>1</v>
      </c>
      <c r="G1011">
        <v>0.48</v>
      </c>
      <c r="H1011">
        <v>264</v>
      </c>
      <c r="I1011">
        <v>30</v>
      </c>
      <c r="J1011">
        <v>2</v>
      </c>
    </row>
    <row r="1012" spans="1:10" x14ac:dyDescent="0.3">
      <c r="A1012">
        <v>105</v>
      </c>
      <c r="B1012">
        <v>1</v>
      </c>
      <c r="C1012">
        <v>1</v>
      </c>
      <c r="D1012">
        <v>4</v>
      </c>
      <c r="E1012">
        <v>0</v>
      </c>
      <c r="F1012">
        <v>1</v>
      </c>
      <c r="G1012">
        <v>0.6</v>
      </c>
      <c r="H1012">
        <v>274</v>
      </c>
      <c r="I1012">
        <v>30</v>
      </c>
      <c r="J1012">
        <v>3</v>
      </c>
    </row>
    <row r="1013" spans="1:10" x14ac:dyDescent="0.3">
      <c r="A1013">
        <v>260</v>
      </c>
      <c r="B1013">
        <v>2</v>
      </c>
      <c r="C1013">
        <v>1</v>
      </c>
      <c r="D1013">
        <v>4</v>
      </c>
      <c r="E1013">
        <v>1</v>
      </c>
      <c r="F1013">
        <v>5</v>
      </c>
      <c r="G1013">
        <v>1.39</v>
      </c>
      <c r="H1013">
        <v>291</v>
      </c>
      <c r="I1013">
        <v>1</v>
      </c>
      <c r="J1013">
        <v>8</v>
      </c>
    </row>
    <row r="1014" spans="1:10" x14ac:dyDescent="0.3">
      <c r="A1014">
        <v>151</v>
      </c>
      <c r="B1014">
        <v>1</v>
      </c>
      <c r="C1014">
        <v>1</v>
      </c>
      <c r="D1014">
        <v>0</v>
      </c>
      <c r="E1014">
        <v>0</v>
      </c>
      <c r="F1014">
        <v>1</v>
      </c>
      <c r="G1014">
        <v>0.51</v>
      </c>
      <c r="H1014">
        <v>175</v>
      </c>
      <c r="I1014">
        <v>30</v>
      </c>
      <c r="J1014">
        <v>2</v>
      </c>
    </row>
    <row r="1015" spans="1:10" x14ac:dyDescent="0.3">
      <c r="A1015">
        <v>120</v>
      </c>
      <c r="B1015">
        <v>1</v>
      </c>
      <c r="C1015">
        <v>1</v>
      </c>
      <c r="D1015">
        <v>0</v>
      </c>
      <c r="E1015">
        <v>0</v>
      </c>
      <c r="F1015">
        <v>1</v>
      </c>
      <c r="G1015">
        <v>0.91</v>
      </c>
      <c r="H1015">
        <v>289</v>
      </c>
      <c r="I1015">
        <v>30</v>
      </c>
      <c r="J1015">
        <v>2</v>
      </c>
    </row>
    <row r="1016" spans="1:10" x14ac:dyDescent="0.3">
      <c r="A1016">
        <v>276</v>
      </c>
      <c r="B1016">
        <v>4</v>
      </c>
      <c r="C1016">
        <v>0</v>
      </c>
      <c r="D1016">
        <v>4</v>
      </c>
      <c r="E1016">
        <v>1</v>
      </c>
      <c r="F1016">
        <v>2</v>
      </c>
      <c r="G1016">
        <v>0.46</v>
      </c>
      <c r="H1016">
        <v>282</v>
      </c>
      <c r="I1016">
        <v>1</v>
      </c>
      <c r="J1016">
        <v>8</v>
      </c>
    </row>
    <row r="1017" spans="1:10" x14ac:dyDescent="0.3">
      <c r="A1017">
        <v>120</v>
      </c>
      <c r="B1017">
        <v>1</v>
      </c>
      <c r="C1017">
        <v>1</v>
      </c>
      <c r="D1017">
        <v>4</v>
      </c>
      <c r="E1017">
        <v>0</v>
      </c>
      <c r="F1017">
        <v>1</v>
      </c>
      <c r="G1017">
        <v>0.48</v>
      </c>
      <c r="H1017">
        <v>294</v>
      </c>
      <c r="I1017">
        <v>30</v>
      </c>
      <c r="J1017">
        <v>2</v>
      </c>
    </row>
    <row r="1018" spans="1:10" x14ac:dyDescent="0.3">
      <c r="A1018">
        <v>114</v>
      </c>
      <c r="B1018">
        <v>1</v>
      </c>
      <c r="C1018">
        <v>1</v>
      </c>
      <c r="D1018">
        <v>2</v>
      </c>
      <c r="E1018">
        <v>1</v>
      </c>
      <c r="F1018">
        <v>3</v>
      </c>
      <c r="G1018">
        <v>1.48</v>
      </c>
      <c r="H1018">
        <v>346</v>
      </c>
      <c r="I1018">
        <v>1</v>
      </c>
      <c r="J1018">
        <v>2</v>
      </c>
    </row>
    <row r="1019" spans="1:10" x14ac:dyDescent="0.3">
      <c r="A1019">
        <v>97</v>
      </c>
      <c r="B1019">
        <v>1</v>
      </c>
      <c r="C1019">
        <v>1</v>
      </c>
      <c r="D1019">
        <v>4</v>
      </c>
      <c r="E1019">
        <v>1</v>
      </c>
      <c r="F1019">
        <v>1</v>
      </c>
      <c r="G1019">
        <v>0.91</v>
      </c>
      <c r="H1019">
        <v>91</v>
      </c>
      <c r="I1019">
        <v>30</v>
      </c>
      <c r="J1019">
        <v>1</v>
      </c>
    </row>
    <row r="1020" spans="1:10" x14ac:dyDescent="0.3">
      <c r="A1020">
        <v>80</v>
      </c>
      <c r="B1020">
        <v>1</v>
      </c>
      <c r="C1020">
        <v>1</v>
      </c>
      <c r="D1020">
        <v>0</v>
      </c>
      <c r="E1020">
        <v>1</v>
      </c>
      <c r="F1020">
        <v>2</v>
      </c>
      <c r="G1020">
        <v>0.87</v>
      </c>
      <c r="H1020">
        <v>229</v>
      </c>
      <c r="I1020">
        <v>1</v>
      </c>
      <c r="J1020">
        <v>2</v>
      </c>
    </row>
    <row r="1021" spans="1:10" x14ac:dyDescent="0.3">
      <c r="A1021">
        <v>128</v>
      </c>
      <c r="B1021">
        <v>1</v>
      </c>
      <c r="C1021">
        <v>1</v>
      </c>
      <c r="D1021">
        <v>2</v>
      </c>
      <c r="E1021">
        <v>0</v>
      </c>
      <c r="F1021">
        <v>1</v>
      </c>
      <c r="G1021">
        <v>0.88</v>
      </c>
      <c r="H1021">
        <v>120</v>
      </c>
      <c r="I1021">
        <v>30</v>
      </c>
      <c r="J1021">
        <v>2</v>
      </c>
    </row>
    <row r="1022" spans="1:10" x14ac:dyDescent="0.3">
      <c r="A1022">
        <v>85</v>
      </c>
      <c r="B1022">
        <v>1</v>
      </c>
      <c r="C1022">
        <v>1</v>
      </c>
      <c r="D1022">
        <v>2</v>
      </c>
      <c r="E1022">
        <v>0</v>
      </c>
      <c r="F1022">
        <v>1</v>
      </c>
      <c r="G1022">
        <v>0.88</v>
      </c>
      <c r="H1022">
        <v>302</v>
      </c>
      <c r="I1022">
        <v>30</v>
      </c>
      <c r="J1022">
        <v>2</v>
      </c>
    </row>
    <row r="1023" spans="1:10" x14ac:dyDescent="0.3">
      <c r="A1023">
        <v>184</v>
      </c>
      <c r="B1023">
        <v>1</v>
      </c>
      <c r="C1023">
        <v>1</v>
      </c>
      <c r="D1023">
        <v>2</v>
      </c>
      <c r="E1023">
        <v>0</v>
      </c>
      <c r="F1023">
        <v>1</v>
      </c>
      <c r="G1023">
        <v>0.71</v>
      </c>
      <c r="H1023">
        <v>122</v>
      </c>
      <c r="I1023">
        <v>30</v>
      </c>
      <c r="J1023">
        <v>2</v>
      </c>
    </row>
    <row r="1024" spans="1:10" x14ac:dyDescent="0.3">
      <c r="A1024">
        <v>150</v>
      </c>
      <c r="B1024">
        <v>1</v>
      </c>
      <c r="C1024">
        <v>1</v>
      </c>
      <c r="D1024">
        <v>2</v>
      </c>
      <c r="E1024">
        <v>0</v>
      </c>
      <c r="F1024">
        <v>1</v>
      </c>
      <c r="G1024">
        <v>0.91</v>
      </c>
      <c r="H1024">
        <v>123</v>
      </c>
      <c r="I1024">
        <v>30</v>
      </c>
      <c r="J1024">
        <v>2</v>
      </c>
    </row>
    <row r="1025" spans="1:10" x14ac:dyDescent="0.3">
      <c r="A1025">
        <v>89</v>
      </c>
      <c r="B1025">
        <v>1</v>
      </c>
      <c r="C1025">
        <v>1</v>
      </c>
      <c r="D1025">
        <v>0</v>
      </c>
      <c r="E1025">
        <v>1</v>
      </c>
      <c r="F1025">
        <v>1</v>
      </c>
      <c r="G1025">
        <v>0.65</v>
      </c>
      <c r="H1025">
        <v>350</v>
      </c>
      <c r="I1025">
        <v>1</v>
      </c>
      <c r="J1025">
        <v>2</v>
      </c>
    </row>
    <row r="1026" spans="1:10" x14ac:dyDescent="0.3">
      <c r="A1026">
        <v>100</v>
      </c>
      <c r="B1026">
        <v>2</v>
      </c>
      <c r="C1026">
        <v>1</v>
      </c>
      <c r="D1026">
        <v>2</v>
      </c>
      <c r="E1026">
        <v>0</v>
      </c>
      <c r="F1026">
        <v>1</v>
      </c>
      <c r="G1026">
        <v>0.94</v>
      </c>
      <c r="H1026">
        <v>169</v>
      </c>
      <c r="I1026">
        <v>30</v>
      </c>
      <c r="J1026">
        <v>2</v>
      </c>
    </row>
    <row r="1027" spans="1:10" x14ac:dyDescent="0.3">
      <c r="A1027">
        <v>90</v>
      </c>
      <c r="B1027">
        <v>1</v>
      </c>
      <c r="C1027">
        <v>1</v>
      </c>
      <c r="D1027">
        <v>0</v>
      </c>
      <c r="E1027">
        <v>0</v>
      </c>
      <c r="F1027">
        <v>1</v>
      </c>
      <c r="G1027">
        <v>0.88</v>
      </c>
      <c r="H1027">
        <v>322</v>
      </c>
      <c r="I1027">
        <v>5</v>
      </c>
      <c r="J1027">
        <v>2</v>
      </c>
    </row>
    <row r="1028" spans="1:10" x14ac:dyDescent="0.3">
      <c r="A1028">
        <v>141</v>
      </c>
      <c r="B1028">
        <v>2</v>
      </c>
      <c r="C1028">
        <v>1</v>
      </c>
      <c r="D1028">
        <v>0</v>
      </c>
      <c r="E1028">
        <v>0</v>
      </c>
      <c r="F1028">
        <v>1</v>
      </c>
      <c r="G1028">
        <v>0.88</v>
      </c>
      <c r="H1028">
        <v>265</v>
      </c>
      <c r="I1028">
        <v>30</v>
      </c>
      <c r="J1028">
        <v>4</v>
      </c>
    </row>
    <row r="1029" spans="1:10" x14ac:dyDescent="0.3">
      <c r="A1029">
        <v>103</v>
      </c>
      <c r="B1029">
        <v>2</v>
      </c>
      <c r="C1029">
        <v>1</v>
      </c>
      <c r="D1029">
        <v>4</v>
      </c>
      <c r="E1029">
        <v>0</v>
      </c>
      <c r="F1029">
        <v>1</v>
      </c>
      <c r="G1029">
        <v>0.64</v>
      </c>
      <c r="H1029">
        <v>349</v>
      </c>
      <c r="I1029">
        <v>30</v>
      </c>
      <c r="J1029">
        <v>2</v>
      </c>
    </row>
    <row r="1030" spans="1:10" x14ac:dyDescent="0.3">
      <c r="A1030">
        <v>53</v>
      </c>
      <c r="B1030">
        <v>1</v>
      </c>
      <c r="C1030">
        <v>1</v>
      </c>
      <c r="D1030">
        <v>4</v>
      </c>
      <c r="E1030">
        <v>0</v>
      </c>
      <c r="F1030">
        <v>1</v>
      </c>
      <c r="G1030">
        <v>0.56000000000000005</v>
      </c>
      <c r="H1030">
        <v>268</v>
      </c>
      <c r="I1030">
        <v>30</v>
      </c>
      <c r="J1030">
        <v>1</v>
      </c>
    </row>
    <row r="1031" spans="1:10" x14ac:dyDescent="0.3">
      <c r="A1031">
        <v>292</v>
      </c>
      <c r="B1031">
        <v>3</v>
      </c>
      <c r="C1031">
        <v>3</v>
      </c>
      <c r="D1031">
        <v>2</v>
      </c>
      <c r="E1031">
        <v>1</v>
      </c>
      <c r="F1031">
        <v>1</v>
      </c>
      <c r="G1031">
        <v>0.91</v>
      </c>
      <c r="H1031">
        <v>326</v>
      </c>
      <c r="I1031">
        <v>30</v>
      </c>
      <c r="J1031">
        <v>6</v>
      </c>
    </row>
    <row r="1032" spans="1:10" x14ac:dyDescent="0.3">
      <c r="A1032">
        <v>92</v>
      </c>
      <c r="B1032">
        <v>2</v>
      </c>
      <c r="C1032">
        <v>1</v>
      </c>
      <c r="D1032">
        <v>4</v>
      </c>
      <c r="E1032">
        <v>0</v>
      </c>
      <c r="F1032">
        <v>1</v>
      </c>
      <c r="G1032">
        <v>0.73</v>
      </c>
      <c r="H1032">
        <v>126</v>
      </c>
      <c r="I1032">
        <v>30</v>
      </c>
      <c r="J1032">
        <v>4</v>
      </c>
    </row>
    <row r="1033" spans="1:10" x14ac:dyDescent="0.3">
      <c r="A1033">
        <v>68</v>
      </c>
      <c r="B1033">
        <v>1</v>
      </c>
      <c r="C1033">
        <v>2</v>
      </c>
      <c r="D1033">
        <v>4</v>
      </c>
      <c r="E1033">
        <v>1</v>
      </c>
      <c r="F1033">
        <v>1</v>
      </c>
      <c r="G1033">
        <v>0.77</v>
      </c>
      <c r="H1033">
        <v>338</v>
      </c>
      <c r="I1033">
        <v>30</v>
      </c>
      <c r="J1033">
        <v>1</v>
      </c>
    </row>
    <row r="1034" spans="1:10" x14ac:dyDescent="0.3">
      <c r="A1034">
        <v>115</v>
      </c>
      <c r="B1034">
        <v>1</v>
      </c>
      <c r="C1034">
        <v>1.5</v>
      </c>
      <c r="D1034">
        <v>2</v>
      </c>
      <c r="E1034">
        <v>0</v>
      </c>
      <c r="F1034">
        <v>1</v>
      </c>
      <c r="G1034">
        <v>0.86</v>
      </c>
      <c r="H1034">
        <v>308</v>
      </c>
      <c r="I1034">
        <v>30</v>
      </c>
      <c r="J1034">
        <v>2</v>
      </c>
    </row>
    <row r="1035" spans="1:10" x14ac:dyDescent="0.3">
      <c r="A1035">
        <v>53</v>
      </c>
      <c r="B1035">
        <v>1</v>
      </c>
      <c r="C1035">
        <v>1</v>
      </c>
      <c r="D1035">
        <v>4</v>
      </c>
      <c r="E1035">
        <v>0</v>
      </c>
      <c r="F1035">
        <v>1</v>
      </c>
      <c r="G1035">
        <v>0.79</v>
      </c>
      <c r="H1035">
        <v>153</v>
      </c>
      <c r="I1035">
        <v>30</v>
      </c>
      <c r="J1035">
        <v>1</v>
      </c>
    </row>
    <row r="1036" spans="1:10" x14ac:dyDescent="0.3">
      <c r="A1036">
        <v>108</v>
      </c>
      <c r="B1036">
        <v>3</v>
      </c>
      <c r="C1036">
        <v>1</v>
      </c>
      <c r="D1036">
        <v>2</v>
      </c>
      <c r="E1036">
        <v>0</v>
      </c>
      <c r="F1036">
        <v>1</v>
      </c>
      <c r="G1036">
        <v>0.79</v>
      </c>
      <c r="H1036">
        <v>288</v>
      </c>
      <c r="I1036">
        <v>30</v>
      </c>
      <c r="J1036">
        <v>6</v>
      </c>
    </row>
    <row r="1037" spans="1:10" x14ac:dyDescent="0.3">
      <c r="A1037">
        <v>70</v>
      </c>
      <c r="B1037">
        <v>1</v>
      </c>
      <c r="C1037">
        <v>1</v>
      </c>
      <c r="D1037">
        <v>2</v>
      </c>
      <c r="E1037">
        <v>0</v>
      </c>
      <c r="F1037">
        <v>1</v>
      </c>
      <c r="G1037">
        <v>0.91</v>
      </c>
      <c r="H1037">
        <v>292</v>
      </c>
      <c r="I1037">
        <v>30</v>
      </c>
      <c r="J1037">
        <v>2</v>
      </c>
    </row>
    <row r="1038" spans="1:10" x14ac:dyDescent="0.3">
      <c r="A1038">
        <v>250</v>
      </c>
      <c r="B1038">
        <v>1</v>
      </c>
      <c r="C1038">
        <v>1</v>
      </c>
      <c r="D1038">
        <v>0</v>
      </c>
      <c r="E1038">
        <v>0</v>
      </c>
      <c r="F1038">
        <v>1</v>
      </c>
      <c r="G1038">
        <v>0.86</v>
      </c>
      <c r="H1038">
        <v>150</v>
      </c>
      <c r="I1038">
        <v>30</v>
      </c>
      <c r="J1038">
        <v>2</v>
      </c>
    </row>
    <row r="1039" spans="1:10" x14ac:dyDescent="0.3">
      <c r="A1039">
        <v>50</v>
      </c>
      <c r="B1039">
        <v>1</v>
      </c>
      <c r="C1039">
        <v>2</v>
      </c>
      <c r="D1039">
        <v>0</v>
      </c>
      <c r="E1039">
        <v>1</v>
      </c>
      <c r="F1039">
        <v>1</v>
      </c>
      <c r="G1039">
        <v>0.91</v>
      </c>
      <c r="H1039">
        <v>336</v>
      </c>
      <c r="I1039">
        <v>30</v>
      </c>
      <c r="J1039">
        <v>2</v>
      </c>
    </row>
    <row r="1040" spans="1:10" x14ac:dyDescent="0.3">
      <c r="A1040">
        <v>354</v>
      </c>
      <c r="B1040">
        <v>6</v>
      </c>
      <c r="C1040">
        <v>1</v>
      </c>
      <c r="D1040">
        <v>4</v>
      </c>
      <c r="E1040">
        <v>0</v>
      </c>
      <c r="F1040">
        <v>1</v>
      </c>
      <c r="G1040">
        <v>0.52</v>
      </c>
      <c r="H1040">
        <v>222</v>
      </c>
      <c r="I1040">
        <v>5</v>
      </c>
      <c r="J1040">
        <v>6</v>
      </c>
    </row>
    <row r="1041" spans="1:10" x14ac:dyDescent="0.3">
      <c r="A1041">
        <v>104</v>
      </c>
      <c r="B1041">
        <v>3</v>
      </c>
      <c r="C1041">
        <v>1</v>
      </c>
      <c r="D1041">
        <v>4</v>
      </c>
      <c r="E1041">
        <v>0</v>
      </c>
      <c r="F1041">
        <v>2</v>
      </c>
      <c r="G1041">
        <v>1.22</v>
      </c>
      <c r="H1041">
        <v>52</v>
      </c>
      <c r="I1041">
        <v>1</v>
      </c>
      <c r="J1041">
        <v>2</v>
      </c>
    </row>
    <row r="1042" spans="1:10" x14ac:dyDescent="0.3">
      <c r="A1042">
        <v>274</v>
      </c>
      <c r="B1042">
        <v>1</v>
      </c>
      <c r="C1042">
        <v>1</v>
      </c>
      <c r="D1042">
        <v>4</v>
      </c>
      <c r="E1042">
        <v>1</v>
      </c>
      <c r="F1042">
        <v>1</v>
      </c>
      <c r="G1042">
        <v>0.56000000000000005</v>
      </c>
      <c r="H1042">
        <v>91</v>
      </c>
      <c r="I1042">
        <v>1</v>
      </c>
      <c r="J1042">
        <v>2</v>
      </c>
    </row>
    <row r="1043" spans="1:10" x14ac:dyDescent="0.3">
      <c r="A1043">
        <v>359</v>
      </c>
      <c r="B1043">
        <v>2</v>
      </c>
      <c r="C1043">
        <v>1</v>
      </c>
      <c r="D1043">
        <v>4</v>
      </c>
      <c r="E1043">
        <v>1</v>
      </c>
      <c r="F1043">
        <v>1</v>
      </c>
      <c r="G1043">
        <v>0.83</v>
      </c>
      <c r="H1043">
        <v>66</v>
      </c>
      <c r="I1043">
        <v>1</v>
      </c>
      <c r="J1043">
        <v>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68F2B-6089-481E-82C1-CEBE2E30B470}">
  <dimension ref="A1:AC1043"/>
  <sheetViews>
    <sheetView tabSelected="1" topLeftCell="N3" workbookViewId="0">
      <selection activeCell="V9" sqref="V9"/>
    </sheetView>
  </sheetViews>
  <sheetFormatPr defaultRowHeight="14.4" x14ac:dyDescent="0.3"/>
  <cols>
    <col min="1" max="1" width="53.77734375" bestFit="1" customWidth="1"/>
    <col min="2" max="2" width="22.5546875" bestFit="1" customWidth="1"/>
    <col min="3" max="3" width="21.5546875" bestFit="1" customWidth="1"/>
    <col min="4" max="4" width="18.77734375" bestFit="1" customWidth="1"/>
    <col min="5" max="5" width="12.6640625" bestFit="1" customWidth="1"/>
    <col min="6" max="6" width="13.88671875" bestFit="1" customWidth="1"/>
    <col min="7" max="7" width="16.44140625" bestFit="1" customWidth="1"/>
    <col min="8" max="8" width="12.21875" bestFit="1" customWidth="1"/>
    <col min="9" max="9" width="11.6640625" bestFit="1" customWidth="1"/>
    <col min="10" max="10" width="7.33203125" bestFit="1" customWidth="1"/>
    <col min="11" max="11" width="16.88671875" bestFit="1" customWidth="1"/>
    <col min="12" max="12" width="16.109375" bestFit="1" customWidth="1"/>
    <col min="13" max="13" width="19.109375" bestFit="1" customWidth="1"/>
    <col min="14" max="14" width="18.6640625" bestFit="1" customWidth="1"/>
    <col min="15" max="15" width="8" bestFit="1" customWidth="1"/>
    <col min="16" max="16" width="9.88671875" bestFit="1" customWidth="1"/>
    <col min="17" max="17" width="8.109375" bestFit="1" customWidth="1"/>
    <col min="18" max="18" width="12.88671875" bestFit="1" customWidth="1"/>
    <col min="19" max="19" width="16.5546875" bestFit="1" customWidth="1"/>
    <col min="21" max="21" width="16.44140625" bestFit="1" customWidth="1"/>
    <col min="22" max="22" width="12.6640625" bestFit="1" customWidth="1"/>
    <col min="23" max="23" width="13.21875" bestFit="1" customWidth="1"/>
    <col min="24" max="24" width="12.6640625" bestFit="1" customWidth="1"/>
    <col min="25" max="25" width="12" bestFit="1" customWidth="1"/>
    <col min="26" max="26" width="12.77734375" bestFit="1" customWidth="1"/>
    <col min="27" max="29" width="12.6640625" bestFit="1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1405</v>
      </c>
      <c r="P1" t="s">
        <v>1406</v>
      </c>
      <c r="Q1" t="s">
        <v>14</v>
      </c>
      <c r="R1" t="s">
        <v>15</v>
      </c>
      <c r="S1" t="s">
        <v>1450</v>
      </c>
    </row>
    <row r="2" spans="1:26" x14ac:dyDescent="0.3">
      <c r="A2" t="s">
        <v>25</v>
      </c>
      <c r="B2" t="s">
        <v>24</v>
      </c>
      <c r="C2" t="s">
        <v>20</v>
      </c>
      <c r="D2">
        <v>40.787779999999998</v>
      </c>
      <c r="E2">
        <v>-73.947590000000005</v>
      </c>
      <c r="F2" t="s">
        <v>18</v>
      </c>
      <c r="G2">
        <v>1</v>
      </c>
      <c r="H2">
        <v>1</v>
      </c>
      <c r="I2">
        <v>2</v>
      </c>
      <c r="J2">
        <v>2</v>
      </c>
      <c r="K2">
        <v>30</v>
      </c>
      <c r="L2">
        <v>209</v>
      </c>
      <c r="M2">
        <v>252</v>
      </c>
      <c r="N2">
        <v>1.33</v>
      </c>
      <c r="O2">
        <f>IF(F2="Private room",1,0)</f>
        <v>1</v>
      </c>
      <c r="P2">
        <f>IF(C2="Manhattan",4,IF(C2="Brooklyn",2,0))</f>
        <v>4</v>
      </c>
      <c r="Q2" s="2">
        <v>59</v>
      </c>
      <c r="R2" s="1">
        <v>45745</v>
      </c>
      <c r="S2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94.070000000000007</v>
      </c>
    </row>
    <row r="3" spans="1:26" x14ac:dyDescent="0.3">
      <c r="A3" t="s">
        <v>34</v>
      </c>
      <c r="B3" t="s">
        <v>33</v>
      </c>
      <c r="C3" t="s">
        <v>17</v>
      </c>
      <c r="D3" s="3" t="s">
        <v>35</v>
      </c>
      <c r="E3">
        <v>-73.974618967319799</v>
      </c>
      <c r="F3" t="s">
        <v>18</v>
      </c>
      <c r="G3">
        <v>2</v>
      </c>
      <c r="H3">
        <v>1</v>
      </c>
      <c r="I3">
        <v>1</v>
      </c>
      <c r="J3">
        <v>1</v>
      </c>
      <c r="K3">
        <v>30</v>
      </c>
      <c r="L3">
        <v>211</v>
      </c>
      <c r="M3">
        <v>74</v>
      </c>
      <c r="N3">
        <v>0.42</v>
      </c>
      <c r="O3">
        <f>IF(F3="Private room",1,0)</f>
        <v>1</v>
      </c>
      <c r="P3">
        <f>IF(C3="Manhattan",4,IF(C3="Brooklyn",2,0))</f>
        <v>2</v>
      </c>
      <c r="Q3" s="2">
        <v>85</v>
      </c>
      <c r="R3" s="1">
        <v>45737</v>
      </c>
      <c r="S3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82.510000000000019</v>
      </c>
    </row>
    <row r="4" spans="1:26" x14ac:dyDescent="0.3">
      <c r="A4" t="s">
        <v>39</v>
      </c>
      <c r="B4" t="s">
        <v>27</v>
      </c>
      <c r="C4" t="s">
        <v>17</v>
      </c>
      <c r="D4">
        <v>40.682940000000002</v>
      </c>
      <c r="E4">
        <v>-73.956819999999993</v>
      </c>
      <c r="F4" t="s">
        <v>18</v>
      </c>
      <c r="G4">
        <v>2</v>
      </c>
      <c r="H4">
        <v>1</v>
      </c>
      <c r="I4">
        <v>1</v>
      </c>
      <c r="J4">
        <v>2</v>
      </c>
      <c r="K4">
        <v>30</v>
      </c>
      <c r="L4">
        <v>182</v>
      </c>
      <c r="M4">
        <v>82</v>
      </c>
      <c r="N4">
        <v>0.45</v>
      </c>
      <c r="O4">
        <f>IF(F4="Private room",1,0)</f>
        <v>1</v>
      </c>
      <c r="P4">
        <f>IF(C4="Manhattan",4,IF(C4="Brooklyn",2,0))</f>
        <v>2</v>
      </c>
      <c r="Q4" s="2">
        <v>90</v>
      </c>
      <c r="R4" s="1">
        <v>45747</v>
      </c>
      <c r="S4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83.670000000000016</v>
      </c>
      <c r="U4" t="s">
        <v>1427</v>
      </c>
    </row>
    <row r="5" spans="1:26" ht="15" thickBot="1" x14ac:dyDescent="0.35">
      <c r="A5" t="s">
        <v>47</v>
      </c>
      <c r="B5" t="s">
        <v>24</v>
      </c>
      <c r="C5" t="s">
        <v>20</v>
      </c>
      <c r="D5">
        <v>40.807470000000002</v>
      </c>
      <c r="E5">
        <v>-73.940759999999997</v>
      </c>
      <c r="F5" t="s">
        <v>21</v>
      </c>
      <c r="G5">
        <v>2</v>
      </c>
      <c r="H5">
        <v>1</v>
      </c>
      <c r="I5">
        <v>1</v>
      </c>
      <c r="J5">
        <v>1</v>
      </c>
      <c r="K5">
        <v>30</v>
      </c>
      <c r="L5">
        <v>244</v>
      </c>
      <c r="M5">
        <v>392</v>
      </c>
      <c r="N5">
        <v>2.2200000000000002</v>
      </c>
      <c r="O5">
        <f>IF(F5="Private room",1,0)</f>
        <v>0</v>
      </c>
      <c r="P5">
        <f>IF(C5="Manhattan",4,IF(C5="Brooklyn",2,0))</f>
        <v>4</v>
      </c>
      <c r="Q5" s="2">
        <v>116</v>
      </c>
      <c r="R5" s="1">
        <v>45742</v>
      </c>
      <c r="S5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154.95000000000002</v>
      </c>
    </row>
    <row r="6" spans="1:26" x14ac:dyDescent="0.3">
      <c r="A6" t="s">
        <v>52</v>
      </c>
      <c r="B6" t="s">
        <v>28</v>
      </c>
      <c r="C6" t="s">
        <v>20</v>
      </c>
      <c r="D6">
        <v>40.81006</v>
      </c>
      <c r="E6">
        <v>-73.945589999999996</v>
      </c>
      <c r="F6" t="s">
        <v>18</v>
      </c>
      <c r="G6">
        <v>2</v>
      </c>
      <c r="H6">
        <v>1.5</v>
      </c>
      <c r="I6">
        <v>1</v>
      </c>
      <c r="J6">
        <v>2</v>
      </c>
      <c r="K6">
        <v>30</v>
      </c>
      <c r="L6">
        <v>59</v>
      </c>
      <c r="M6">
        <v>283</v>
      </c>
      <c r="N6">
        <v>1.62</v>
      </c>
      <c r="O6">
        <f>IF(F6="Private room",1,0)</f>
        <v>1</v>
      </c>
      <c r="P6">
        <f>IF(C6="Manhattan",4,IF(C6="Brooklyn",2,0))</f>
        <v>4</v>
      </c>
      <c r="Q6" s="2">
        <v>60</v>
      </c>
      <c r="R6" s="1">
        <v>45725</v>
      </c>
      <c r="S6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124.66000000000004</v>
      </c>
      <c r="U6" s="15" t="s">
        <v>1428</v>
      </c>
      <c r="V6" s="15"/>
    </row>
    <row r="7" spans="1:26" x14ac:dyDescent="0.3">
      <c r="A7" t="s">
        <v>63</v>
      </c>
      <c r="B7" t="s">
        <v>23</v>
      </c>
      <c r="C7" t="s">
        <v>17</v>
      </c>
      <c r="D7">
        <v>40.715119999999999</v>
      </c>
      <c r="E7">
        <v>-73.95899</v>
      </c>
      <c r="F7" t="s">
        <v>21</v>
      </c>
      <c r="G7">
        <v>2</v>
      </c>
      <c r="H7">
        <v>1</v>
      </c>
      <c r="I7">
        <v>1</v>
      </c>
      <c r="J7">
        <v>1</v>
      </c>
      <c r="K7">
        <v>30</v>
      </c>
      <c r="L7">
        <v>191</v>
      </c>
      <c r="M7">
        <v>299</v>
      </c>
      <c r="N7">
        <v>1.66</v>
      </c>
      <c r="O7">
        <f>IF(F7="Private room",1,0)</f>
        <v>0</v>
      </c>
      <c r="P7">
        <f>IF(C7="Manhattan",4,IF(C7="Brooklyn",2,0))</f>
        <v>2</v>
      </c>
      <c r="Q7" s="2">
        <v>195</v>
      </c>
      <c r="R7" s="1">
        <v>45747</v>
      </c>
      <c r="S7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126.61000000000001</v>
      </c>
      <c r="U7" s="12" t="s">
        <v>1429</v>
      </c>
      <c r="V7" s="12">
        <v>0.68616936479311275</v>
      </c>
    </row>
    <row r="8" spans="1:26" x14ac:dyDescent="0.3">
      <c r="A8" t="s">
        <v>69</v>
      </c>
      <c r="B8" t="s">
        <v>33</v>
      </c>
      <c r="C8" t="s">
        <v>17</v>
      </c>
      <c r="D8">
        <v>40.674970000000002</v>
      </c>
      <c r="E8">
        <v>-73.977959999999996</v>
      </c>
      <c r="F8" t="s">
        <v>18</v>
      </c>
      <c r="G8">
        <v>4</v>
      </c>
      <c r="H8">
        <v>2.5</v>
      </c>
      <c r="I8">
        <v>2</v>
      </c>
      <c r="J8">
        <v>2</v>
      </c>
      <c r="K8">
        <v>2</v>
      </c>
      <c r="L8">
        <v>55</v>
      </c>
      <c r="M8">
        <v>48</v>
      </c>
      <c r="N8">
        <v>0.31</v>
      </c>
      <c r="O8">
        <f>IF(F8="Private room",1,0)</f>
        <v>1</v>
      </c>
      <c r="P8">
        <f>IF(C8="Manhattan",4,IF(C8="Brooklyn",2,0))</f>
        <v>2</v>
      </c>
      <c r="Q8" s="2">
        <v>336</v>
      </c>
      <c r="R8" s="1">
        <v>45734</v>
      </c>
      <c r="S8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237.34000000000006</v>
      </c>
      <c r="U8" s="12" t="s">
        <v>1430</v>
      </c>
      <c r="V8" s="12">
        <v>0.47082839718058378</v>
      </c>
    </row>
    <row r="9" spans="1:26" x14ac:dyDescent="0.3">
      <c r="A9" t="s">
        <v>77</v>
      </c>
      <c r="B9" t="s">
        <v>53</v>
      </c>
      <c r="C9" t="s">
        <v>20</v>
      </c>
      <c r="D9">
        <v>40.796320000000001</v>
      </c>
      <c r="E9">
        <v>-73.976429999999993</v>
      </c>
      <c r="F9" t="s">
        <v>21</v>
      </c>
      <c r="G9">
        <v>2</v>
      </c>
      <c r="H9">
        <v>1</v>
      </c>
      <c r="I9">
        <v>1</v>
      </c>
      <c r="J9">
        <v>1</v>
      </c>
      <c r="K9">
        <v>30</v>
      </c>
      <c r="L9">
        <v>99</v>
      </c>
      <c r="M9">
        <v>245</v>
      </c>
      <c r="N9">
        <v>1.51</v>
      </c>
      <c r="O9">
        <f>IF(F9="Private room",1,0)</f>
        <v>0</v>
      </c>
      <c r="P9">
        <f>IF(C9="Manhattan",4,IF(C9="Brooklyn",2,0))</f>
        <v>4</v>
      </c>
      <c r="Q9" s="2">
        <v>246</v>
      </c>
      <c r="R9" s="1">
        <v>45747</v>
      </c>
      <c r="S9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160.75000000000003</v>
      </c>
      <c r="U9" s="12" t="s">
        <v>1431</v>
      </c>
      <c r="V9" s="16">
        <v>0.46569579191560395</v>
      </c>
    </row>
    <row r="10" spans="1:26" x14ac:dyDescent="0.3">
      <c r="A10" t="s">
        <v>79</v>
      </c>
      <c r="B10" t="s">
        <v>24</v>
      </c>
      <c r="C10" t="s">
        <v>20</v>
      </c>
      <c r="D10">
        <v>40.789589999999997</v>
      </c>
      <c r="E10">
        <v>-73.947050000000004</v>
      </c>
      <c r="F10" t="s">
        <v>21</v>
      </c>
      <c r="G10">
        <v>3</v>
      </c>
      <c r="H10">
        <v>1</v>
      </c>
      <c r="I10">
        <v>1</v>
      </c>
      <c r="J10">
        <v>1</v>
      </c>
      <c r="K10">
        <v>30</v>
      </c>
      <c r="L10">
        <v>281</v>
      </c>
      <c r="M10">
        <v>127</v>
      </c>
      <c r="N10">
        <v>0.77</v>
      </c>
      <c r="O10">
        <f>IF(F10="Private room",1,0)</f>
        <v>0</v>
      </c>
      <c r="P10">
        <f>IF(C10="Manhattan",4,IF(C10="Brooklyn",2,0))</f>
        <v>4</v>
      </c>
      <c r="Q10" s="2">
        <v>130</v>
      </c>
      <c r="R10" s="1">
        <v>45746</v>
      </c>
      <c r="S10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172.45000000000002</v>
      </c>
      <c r="U10" s="12" t="s">
        <v>1409</v>
      </c>
      <c r="V10" s="12">
        <v>64.2914959253023</v>
      </c>
    </row>
    <row r="11" spans="1:26" ht="15" thickBot="1" x14ac:dyDescent="0.35">
      <c r="A11" t="s">
        <v>81</v>
      </c>
      <c r="B11" t="s">
        <v>16</v>
      </c>
      <c r="C11" t="s">
        <v>17</v>
      </c>
      <c r="D11">
        <v>40.642949999999999</v>
      </c>
      <c r="E11">
        <v>-73.972930000000005</v>
      </c>
      <c r="F11" t="s">
        <v>18</v>
      </c>
      <c r="G11">
        <v>1</v>
      </c>
      <c r="H11">
        <v>1</v>
      </c>
      <c r="I11">
        <v>1</v>
      </c>
      <c r="J11">
        <v>1</v>
      </c>
      <c r="K11">
        <v>30</v>
      </c>
      <c r="L11">
        <v>53</v>
      </c>
      <c r="M11">
        <v>62</v>
      </c>
      <c r="N11">
        <v>0.53</v>
      </c>
      <c r="O11">
        <f>IF(F11="Private room",1,0)</f>
        <v>1</v>
      </c>
      <c r="P11">
        <f>IF(C11="Manhattan",4,IF(C11="Brooklyn",2,0))</f>
        <v>2</v>
      </c>
      <c r="Q11" s="2">
        <v>78</v>
      </c>
      <c r="R11" s="1">
        <v>45744</v>
      </c>
      <c r="S11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69.849999999999994</v>
      </c>
      <c r="U11" s="13" t="s">
        <v>1432</v>
      </c>
      <c r="V11" s="13">
        <v>1042</v>
      </c>
    </row>
    <row r="12" spans="1:26" x14ac:dyDescent="0.3">
      <c r="A12" t="s">
        <v>88</v>
      </c>
      <c r="B12" t="s">
        <v>27</v>
      </c>
      <c r="C12" t="s">
        <v>17</v>
      </c>
      <c r="D12">
        <v>40.690489999999997</v>
      </c>
      <c r="E12">
        <v>-73.932119999999998</v>
      </c>
      <c r="F12" t="s">
        <v>21</v>
      </c>
      <c r="G12">
        <v>4</v>
      </c>
      <c r="H12">
        <v>1</v>
      </c>
      <c r="I12">
        <v>2</v>
      </c>
      <c r="J12">
        <v>2</v>
      </c>
      <c r="K12">
        <v>30</v>
      </c>
      <c r="L12">
        <v>249</v>
      </c>
      <c r="M12">
        <v>67</v>
      </c>
      <c r="N12">
        <v>0.4</v>
      </c>
      <c r="O12">
        <f>IF(F12="Private room",1,0)</f>
        <v>0</v>
      </c>
      <c r="P12">
        <f>IF(C12="Manhattan",4,IF(C12="Brooklyn",2,0))</f>
        <v>2</v>
      </c>
      <c r="Q12" s="2">
        <v>95</v>
      </c>
      <c r="R12" s="1">
        <v>45717</v>
      </c>
      <c r="S12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162.25000000000003</v>
      </c>
    </row>
    <row r="13" spans="1:26" ht="15" thickBot="1" x14ac:dyDescent="0.35">
      <c r="A13" t="s">
        <v>90</v>
      </c>
      <c r="B13" t="s">
        <v>27</v>
      </c>
      <c r="C13" t="s">
        <v>17</v>
      </c>
      <c r="D13">
        <v>40.684350000000002</v>
      </c>
      <c r="E13">
        <v>-73.948250000000002</v>
      </c>
      <c r="F13" t="s">
        <v>18</v>
      </c>
      <c r="G13">
        <v>2</v>
      </c>
      <c r="H13">
        <v>1</v>
      </c>
      <c r="I13">
        <v>2</v>
      </c>
      <c r="J13">
        <v>1</v>
      </c>
      <c r="K13">
        <v>30</v>
      </c>
      <c r="L13">
        <v>173</v>
      </c>
      <c r="M13">
        <v>50</v>
      </c>
      <c r="N13">
        <v>0.32</v>
      </c>
      <c r="O13">
        <f>IF(F13="Private room",1,0)</f>
        <v>1</v>
      </c>
      <c r="P13">
        <f>IF(C13="Manhattan",4,IF(C13="Brooklyn",2,0))</f>
        <v>2</v>
      </c>
      <c r="Q13" s="2">
        <v>50</v>
      </c>
      <c r="R13" s="1">
        <v>45731</v>
      </c>
      <c r="S13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84.03000000000003</v>
      </c>
      <c r="U13" t="s">
        <v>1433</v>
      </c>
    </row>
    <row r="14" spans="1:26" x14ac:dyDescent="0.3">
      <c r="A14" t="s">
        <v>100</v>
      </c>
      <c r="B14" t="s">
        <v>38</v>
      </c>
      <c r="C14" t="s">
        <v>20</v>
      </c>
      <c r="D14">
        <v>40.761139999999997</v>
      </c>
      <c r="E14">
        <v>-73.993690000000001</v>
      </c>
      <c r="F14" t="s">
        <v>21</v>
      </c>
      <c r="G14">
        <v>2</v>
      </c>
      <c r="H14">
        <v>1</v>
      </c>
      <c r="I14">
        <v>0</v>
      </c>
      <c r="J14">
        <v>1</v>
      </c>
      <c r="K14">
        <v>30</v>
      </c>
      <c r="L14">
        <v>81</v>
      </c>
      <c r="M14">
        <v>80</v>
      </c>
      <c r="N14">
        <v>0.52</v>
      </c>
      <c r="O14">
        <f>IF(F14="Private room",1,0)</f>
        <v>0</v>
      </c>
      <c r="P14">
        <f>IF(C14="Manhattan",4,IF(C14="Brooklyn",2,0))</f>
        <v>4</v>
      </c>
      <c r="Q14" s="2">
        <v>150</v>
      </c>
      <c r="R14" s="1">
        <v>45747</v>
      </c>
      <c r="S14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161.47000000000003</v>
      </c>
      <c r="U14" s="14"/>
      <c r="V14" s="14" t="s">
        <v>1438</v>
      </c>
      <c r="W14" s="14" t="s">
        <v>1439</v>
      </c>
      <c r="X14" s="14" t="s">
        <v>1440</v>
      </c>
      <c r="Y14" s="14" t="s">
        <v>1441</v>
      </c>
      <c r="Z14" s="14" t="s">
        <v>1442</v>
      </c>
    </row>
    <row r="15" spans="1:26" x14ac:dyDescent="0.3">
      <c r="A15" t="s">
        <v>103</v>
      </c>
      <c r="B15" t="s">
        <v>26</v>
      </c>
      <c r="C15" t="s">
        <v>17</v>
      </c>
      <c r="D15">
        <v>40.69106</v>
      </c>
      <c r="E15">
        <v>-73.971100000000007</v>
      </c>
      <c r="F15" t="s">
        <v>21</v>
      </c>
      <c r="G15">
        <v>2</v>
      </c>
      <c r="H15">
        <v>1</v>
      </c>
      <c r="I15">
        <v>1</v>
      </c>
      <c r="J15">
        <v>1</v>
      </c>
      <c r="K15">
        <v>30</v>
      </c>
      <c r="L15">
        <v>136</v>
      </c>
      <c r="M15">
        <v>124</v>
      </c>
      <c r="N15">
        <v>0.81</v>
      </c>
      <c r="O15">
        <f>IF(F15="Private room",1,0)</f>
        <v>0</v>
      </c>
      <c r="P15">
        <f>IF(C15="Manhattan",4,IF(C15="Brooklyn",2,0))</f>
        <v>2</v>
      </c>
      <c r="Q15" s="2">
        <v>117</v>
      </c>
      <c r="R15" s="1">
        <v>45719</v>
      </c>
      <c r="S15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128.81000000000003</v>
      </c>
      <c r="U15" s="12" t="s">
        <v>1434</v>
      </c>
      <c r="V15" s="12">
        <v>10</v>
      </c>
      <c r="W15" s="12">
        <v>3791681.4642843325</v>
      </c>
      <c r="X15" s="12">
        <v>379168.14642843325</v>
      </c>
      <c r="Y15" s="12">
        <v>91.732828236974839</v>
      </c>
      <c r="Z15" s="12">
        <v>4.8568430531264519E-135</v>
      </c>
    </row>
    <row r="16" spans="1:26" x14ac:dyDescent="0.3">
      <c r="A16" t="s">
        <v>105</v>
      </c>
      <c r="B16" t="s">
        <v>72</v>
      </c>
      <c r="C16" t="s">
        <v>20</v>
      </c>
      <c r="D16">
        <v>40.733422889655699</v>
      </c>
      <c r="E16">
        <v>-73.985510255823797</v>
      </c>
      <c r="F16" t="s">
        <v>21</v>
      </c>
      <c r="G16">
        <v>2</v>
      </c>
      <c r="H16">
        <v>1</v>
      </c>
      <c r="I16">
        <v>1</v>
      </c>
      <c r="J16">
        <v>1</v>
      </c>
      <c r="K16">
        <v>30</v>
      </c>
      <c r="L16">
        <v>70</v>
      </c>
      <c r="M16">
        <v>242</v>
      </c>
      <c r="N16">
        <v>1.61</v>
      </c>
      <c r="O16">
        <f>IF(F16="Private room",1,0)</f>
        <v>0</v>
      </c>
      <c r="P16">
        <f>IF(C16="Manhattan",4,IF(C16="Brooklyn",2,0))</f>
        <v>4</v>
      </c>
      <c r="Q16" s="2">
        <v>297</v>
      </c>
      <c r="R16" s="1">
        <v>45746</v>
      </c>
      <c r="S16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161.91000000000003</v>
      </c>
      <c r="U16" s="12" t="s">
        <v>1435</v>
      </c>
      <c r="V16" s="12">
        <v>1031</v>
      </c>
      <c r="W16" s="12">
        <v>4261531.7382108709</v>
      </c>
      <c r="X16" s="12">
        <v>4133.3964483131631</v>
      </c>
      <c r="Y16" s="12"/>
      <c r="Z16" s="12"/>
    </row>
    <row r="17" spans="1:29" ht="15" thickBot="1" x14ac:dyDescent="0.35">
      <c r="A17" t="s">
        <v>107</v>
      </c>
      <c r="B17" t="s">
        <v>27</v>
      </c>
      <c r="C17" t="s">
        <v>17</v>
      </c>
      <c r="D17">
        <v>40.68524</v>
      </c>
      <c r="E17">
        <v>-73.936040000000006</v>
      </c>
      <c r="F17" t="s">
        <v>21</v>
      </c>
      <c r="G17">
        <v>4</v>
      </c>
      <c r="H17">
        <v>1</v>
      </c>
      <c r="I17">
        <v>2</v>
      </c>
      <c r="J17">
        <v>3</v>
      </c>
      <c r="K17">
        <v>30</v>
      </c>
      <c r="L17">
        <v>86</v>
      </c>
      <c r="M17">
        <v>272</v>
      </c>
      <c r="N17">
        <v>1.79</v>
      </c>
      <c r="O17">
        <f>IF(F17="Private room",1,0)</f>
        <v>0</v>
      </c>
      <c r="P17">
        <f>IF(C17="Manhattan",4,IF(C17="Brooklyn",2,0))</f>
        <v>2</v>
      </c>
      <c r="Q17" s="2">
        <v>109</v>
      </c>
      <c r="R17" s="1">
        <v>45719</v>
      </c>
      <c r="S17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168.77000000000004</v>
      </c>
      <c r="U17" s="13" t="s">
        <v>1436</v>
      </c>
      <c r="V17" s="13">
        <v>1041</v>
      </c>
      <c r="W17" s="13">
        <v>8053213.2024952034</v>
      </c>
      <c r="X17" s="13"/>
      <c r="Y17" s="13"/>
      <c r="Z17" s="13"/>
    </row>
    <row r="18" spans="1:29" ht="15" thickBot="1" x14ac:dyDescent="0.35">
      <c r="A18" t="s">
        <v>108</v>
      </c>
      <c r="B18" t="s">
        <v>48</v>
      </c>
      <c r="C18" t="s">
        <v>20</v>
      </c>
      <c r="D18">
        <v>40.728230000000003</v>
      </c>
      <c r="E18">
        <v>-74.001260000000002</v>
      </c>
      <c r="F18" t="s">
        <v>21</v>
      </c>
      <c r="G18">
        <v>3</v>
      </c>
      <c r="H18">
        <v>1</v>
      </c>
      <c r="I18">
        <v>1</v>
      </c>
      <c r="J18">
        <v>2</v>
      </c>
      <c r="K18">
        <v>30</v>
      </c>
      <c r="L18">
        <v>317</v>
      </c>
      <c r="M18">
        <v>102</v>
      </c>
      <c r="N18">
        <v>0.69</v>
      </c>
      <c r="O18">
        <f>IF(F18="Private room",1,0)</f>
        <v>0</v>
      </c>
      <c r="P18">
        <f>IF(C18="Manhattan",4,IF(C18="Brooklyn",2,0))</f>
        <v>4</v>
      </c>
      <c r="Q18" s="2">
        <v>293</v>
      </c>
      <c r="R18" s="1">
        <v>45741</v>
      </c>
      <c r="S18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171.01</v>
      </c>
    </row>
    <row r="19" spans="1:29" x14ac:dyDescent="0.3">
      <c r="A19" t="s">
        <v>109</v>
      </c>
      <c r="B19" t="s">
        <v>23</v>
      </c>
      <c r="C19" t="s">
        <v>17</v>
      </c>
      <c r="D19" s="3" t="s">
        <v>110</v>
      </c>
      <c r="E19">
        <v>-73.960429146246099</v>
      </c>
      <c r="F19" t="s">
        <v>18</v>
      </c>
      <c r="G19">
        <v>2</v>
      </c>
      <c r="H19">
        <v>1</v>
      </c>
      <c r="I19">
        <v>1</v>
      </c>
      <c r="J19">
        <v>2</v>
      </c>
      <c r="K19">
        <v>4</v>
      </c>
      <c r="L19">
        <v>194</v>
      </c>
      <c r="M19">
        <v>127</v>
      </c>
      <c r="N19">
        <v>0.86</v>
      </c>
      <c r="O19">
        <f>IF(F19="Private room",1,0)</f>
        <v>1</v>
      </c>
      <c r="P19">
        <f>IF(C19="Manhattan",4,IF(C19="Brooklyn",2,0))</f>
        <v>2</v>
      </c>
      <c r="Q19" s="2">
        <v>165</v>
      </c>
      <c r="R19" s="1">
        <v>45724</v>
      </c>
      <c r="S19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170.29000000000005</v>
      </c>
      <c r="U19" s="14"/>
      <c r="V19" s="14" t="s">
        <v>1443</v>
      </c>
      <c r="W19" s="14" t="s">
        <v>1409</v>
      </c>
      <c r="X19" s="14" t="s">
        <v>1444</v>
      </c>
      <c r="Y19" s="14" t="s">
        <v>1445</v>
      </c>
      <c r="Z19" s="14" t="s">
        <v>1446</v>
      </c>
      <c r="AA19" s="14" t="s">
        <v>1447</v>
      </c>
      <c r="AB19" s="14" t="s">
        <v>1448</v>
      </c>
      <c r="AC19" s="14" t="s">
        <v>1449</v>
      </c>
    </row>
    <row r="20" spans="1:29" x14ac:dyDescent="0.3">
      <c r="A20" t="s">
        <v>112</v>
      </c>
      <c r="B20" t="s">
        <v>27</v>
      </c>
      <c r="C20" t="s">
        <v>17</v>
      </c>
      <c r="D20">
        <v>40.699080000000002</v>
      </c>
      <c r="E20">
        <v>-73.95317</v>
      </c>
      <c r="F20" t="s">
        <v>21</v>
      </c>
      <c r="G20">
        <v>4</v>
      </c>
      <c r="H20">
        <v>1</v>
      </c>
      <c r="I20">
        <v>2</v>
      </c>
      <c r="J20">
        <v>2</v>
      </c>
      <c r="K20">
        <v>30</v>
      </c>
      <c r="L20">
        <v>64</v>
      </c>
      <c r="M20">
        <v>58</v>
      </c>
      <c r="N20">
        <v>0.39</v>
      </c>
      <c r="O20">
        <f>IF(F20="Private room",1,0)</f>
        <v>0</v>
      </c>
      <c r="P20">
        <f>IF(C20="Manhattan",4,IF(C20="Brooklyn",2,0))</f>
        <v>2</v>
      </c>
      <c r="Q20" s="2">
        <v>128</v>
      </c>
      <c r="R20" s="1">
        <v>45735</v>
      </c>
      <c r="S20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169.65000000000003</v>
      </c>
      <c r="U20" s="12" t="s">
        <v>1437</v>
      </c>
      <c r="V20" s="12">
        <v>160.72650623784227</v>
      </c>
      <c r="W20" s="12">
        <v>11.131385973143257</v>
      </c>
      <c r="X20" s="12">
        <v>14.43903810591312</v>
      </c>
      <c r="Y20" s="12">
        <v>3.5403749982708186E-43</v>
      </c>
      <c r="Z20" s="12">
        <v>138.88374837532112</v>
      </c>
      <c r="AA20" s="12">
        <v>182.56926410036343</v>
      </c>
      <c r="AB20" s="12">
        <v>138.88374837532112</v>
      </c>
      <c r="AC20" s="12">
        <v>182.56926410036343</v>
      </c>
    </row>
    <row r="21" spans="1:29" x14ac:dyDescent="0.3">
      <c r="A21" t="s">
        <v>115</v>
      </c>
      <c r="B21" t="s">
        <v>22</v>
      </c>
      <c r="C21" t="s">
        <v>17</v>
      </c>
      <c r="D21">
        <v>40.662410000000001</v>
      </c>
      <c r="E21">
        <v>-73.991969999999995</v>
      </c>
      <c r="F21" t="s">
        <v>21</v>
      </c>
      <c r="G21">
        <v>2</v>
      </c>
      <c r="H21">
        <v>1</v>
      </c>
      <c r="I21">
        <v>1</v>
      </c>
      <c r="J21">
        <v>1</v>
      </c>
      <c r="K21">
        <v>30</v>
      </c>
      <c r="L21">
        <v>166</v>
      </c>
      <c r="M21">
        <v>79</v>
      </c>
      <c r="N21">
        <v>0.68</v>
      </c>
      <c r="O21">
        <f>IF(F21="Private room",1,0)</f>
        <v>0</v>
      </c>
      <c r="P21">
        <f>IF(C21="Manhattan",4,IF(C21="Brooklyn",2,0))</f>
        <v>2</v>
      </c>
      <c r="Q21" s="2">
        <v>110</v>
      </c>
      <c r="R21" s="1">
        <v>45747</v>
      </c>
      <c r="S21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127.61000000000001</v>
      </c>
      <c r="U21" s="12" t="s">
        <v>6</v>
      </c>
      <c r="V21" s="12">
        <v>20.604376459693757</v>
      </c>
      <c r="W21" s="12">
        <v>2.2348693856759381</v>
      </c>
      <c r="X21" s="12">
        <v>9.2194991759941018</v>
      </c>
      <c r="Y21" s="12">
        <v>1.6348918875902602E-19</v>
      </c>
      <c r="Z21" s="12">
        <v>16.218964709220025</v>
      </c>
      <c r="AA21" s="12">
        <v>24.98978821016749</v>
      </c>
      <c r="AB21" s="12">
        <v>16.218964709220025</v>
      </c>
      <c r="AC21" s="12">
        <v>24.98978821016749</v>
      </c>
    </row>
    <row r="22" spans="1:29" x14ac:dyDescent="0.3">
      <c r="A22" t="s">
        <v>116</v>
      </c>
      <c r="B22" t="s">
        <v>53</v>
      </c>
      <c r="C22" t="s">
        <v>20</v>
      </c>
      <c r="D22">
        <v>40.787410000000001</v>
      </c>
      <c r="E22">
        <v>-73.973209999999995</v>
      </c>
      <c r="F22" t="s">
        <v>21</v>
      </c>
      <c r="G22">
        <v>3</v>
      </c>
      <c r="H22">
        <v>1</v>
      </c>
      <c r="I22">
        <v>1</v>
      </c>
      <c r="J22">
        <v>2</v>
      </c>
      <c r="K22">
        <v>30</v>
      </c>
      <c r="L22">
        <v>365</v>
      </c>
      <c r="M22">
        <v>26</v>
      </c>
      <c r="N22">
        <v>0.22</v>
      </c>
      <c r="O22">
        <f>IF(F22="Private room",1,0)</f>
        <v>0</v>
      </c>
      <c r="P22">
        <f>IF(C22="Manhattan",4,IF(C22="Brooklyn",2,0))</f>
        <v>4</v>
      </c>
      <c r="Q22" s="2">
        <v>232</v>
      </c>
      <c r="R22" s="1">
        <v>45747</v>
      </c>
      <c r="S22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169.09000000000003</v>
      </c>
      <c r="U22" s="12" t="s">
        <v>7</v>
      </c>
      <c r="V22" s="12">
        <v>10.32233162798369</v>
      </c>
      <c r="W22" s="12">
        <v>4.4347745632133986</v>
      </c>
      <c r="X22" s="12">
        <v>2.3275888054395755</v>
      </c>
      <c r="Y22" s="12">
        <v>2.0126759243783283E-2</v>
      </c>
      <c r="Z22" s="12">
        <v>1.6201172592742257</v>
      </c>
      <c r="AA22" s="12">
        <v>19.024545996693156</v>
      </c>
      <c r="AB22" s="12">
        <v>1.6201172592742257</v>
      </c>
      <c r="AC22" s="12">
        <v>19.024545996693156</v>
      </c>
    </row>
    <row r="23" spans="1:29" x14ac:dyDescent="0.3">
      <c r="A23" t="s">
        <v>117</v>
      </c>
      <c r="B23" t="s">
        <v>56</v>
      </c>
      <c r="C23" t="s">
        <v>17</v>
      </c>
      <c r="D23">
        <v>40.671169999999996</v>
      </c>
      <c r="E23">
        <v>-73.957170000000005</v>
      </c>
      <c r="F23" t="s">
        <v>21</v>
      </c>
      <c r="G23">
        <v>4</v>
      </c>
      <c r="H23">
        <v>1</v>
      </c>
      <c r="I23">
        <v>1</v>
      </c>
      <c r="J23">
        <v>1</v>
      </c>
      <c r="K23">
        <v>30</v>
      </c>
      <c r="L23">
        <v>288</v>
      </c>
      <c r="M23">
        <v>210</v>
      </c>
      <c r="N23">
        <v>1.41</v>
      </c>
      <c r="O23">
        <f>IF(F23="Private room",1,0)</f>
        <v>0</v>
      </c>
      <c r="P23">
        <f>IF(C23="Manhattan",4,IF(C23="Brooklyn",2,0))</f>
        <v>2</v>
      </c>
      <c r="Q23" s="2">
        <v>143</v>
      </c>
      <c r="R23" s="1">
        <v>45732</v>
      </c>
      <c r="S23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160.69000000000003</v>
      </c>
      <c r="U23" s="12" t="s">
        <v>8</v>
      </c>
      <c r="V23" s="12">
        <v>4.6035324995445812</v>
      </c>
      <c r="W23" s="12">
        <v>3.6797991796199034</v>
      </c>
      <c r="X23" s="12">
        <v>1.2510281879078229</v>
      </c>
      <c r="Y23" s="12">
        <v>0.21120800127206624</v>
      </c>
      <c r="Z23" s="12">
        <v>-2.6172181470566009</v>
      </c>
      <c r="AA23" s="12">
        <v>11.824283146145763</v>
      </c>
      <c r="AB23" s="12">
        <v>-2.6172181470566009</v>
      </c>
      <c r="AC23" s="12">
        <v>11.824283146145763</v>
      </c>
    </row>
    <row r="24" spans="1:29" x14ac:dyDescent="0.3">
      <c r="A24" t="s">
        <v>118</v>
      </c>
      <c r="B24" t="s">
        <v>61</v>
      </c>
      <c r="C24" t="s">
        <v>30</v>
      </c>
      <c r="D24">
        <v>40.764719999999997</v>
      </c>
      <c r="E24">
        <v>-73.926400000000001</v>
      </c>
      <c r="F24" t="s">
        <v>21</v>
      </c>
      <c r="G24">
        <v>1</v>
      </c>
      <c r="H24">
        <v>1</v>
      </c>
      <c r="I24">
        <v>1</v>
      </c>
      <c r="J24">
        <v>1</v>
      </c>
      <c r="K24">
        <v>30</v>
      </c>
      <c r="L24">
        <v>246</v>
      </c>
      <c r="M24">
        <v>81</v>
      </c>
      <c r="N24">
        <v>0.55000000000000004</v>
      </c>
      <c r="O24">
        <f>IF(F24="Private room",1,0)</f>
        <v>0</v>
      </c>
      <c r="P24">
        <f>IF(C24="Manhattan",4,IF(C24="Brooklyn",2,0))</f>
        <v>0</v>
      </c>
      <c r="Q24" s="2">
        <v>165</v>
      </c>
      <c r="R24" s="1">
        <v>45723</v>
      </c>
      <c r="S24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74.97</v>
      </c>
      <c r="U24" s="12" t="s">
        <v>9</v>
      </c>
      <c r="V24" s="12">
        <v>-6.4374034843365759</v>
      </c>
      <c r="W24" s="12">
        <v>3.6846749347630707</v>
      </c>
      <c r="X24" s="12">
        <v>-1.7470750061566853</v>
      </c>
      <c r="Y24" s="12">
        <v>8.0922074870760502E-2</v>
      </c>
      <c r="Z24" s="12">
        <v>-13.667721667203782</v>
      </c>
      <c r="AA24" s="12">
        <v>0.79291469853062946</v>
      </c>
      <c r="AB24" s="12">
        <v>-13.667721667203782</v>
      </c>
      <c r="AC24" s="12">
        <v>0.79291469853062946</v>
      </c>
    </row>
    <row r="25" spans="1:29" x14ac:dyDescent="0.3">
      <c r="A25" t="s">
        <v>120</v>
      </c>
      <c r="B25" t="s">
        <v>28</v>
      </c>
      <c r="C25" t="s">
        <v>20</v>
      </c>
      <c r="D25">
        <v>40.810609999999997</v>
      </c>
      <c r="E25">
        <v>-73.945049999999995</v>
      </c>
      <c r="F25" t="s">
        <v>21</v>
      </c>
      <c r="G25">
        <v>3</v>
      </c>
      <c r="H25">
        <v>1</v>
      </c>
      <c r="I25">
        <v>1</v>
      </c>
      <c r="J25">
        <v>2</v>
      </c>
      <c r="K25">
        <v>30</v>
      </c>
      <c r="L25">
        <v>242</v>
      </c>
      <c r="M25">
        <v>92</v>
      </c>
      <c r="N25">
        <v>0.62</v>
      </c>
      <c r="O25">
        <f>IF(F25="Private room",1,0)</f>
        <v>0</v>
      </c>
      <c r="P25">
        <f>IF(C25="Manhattan",4,IF(C25="Brooklyn",2,0))</f>
        <v>4</v>
      </c>
      <c r="Q25" s="2">
        <v>98</v>
      </c>
      <c r="R25" s="1">
        <v>45745</v>
      </c>
      <c r="S25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174.01</v>
      </c>
      <c r="U25" s="12" t="s">
        <v>10</v>
      </c>
      <c r="V25" s="12">
        <v>-3.4326382553179497</v>
      </c>
      <c r="W25" s="12">
        <v>0.21063554210683508</v>
      </c>
      <c r="X25" s="12">
        <v>-16.296576641262678</v>
      </c>
      <c r="Y25" s="12">
        <v>2.6604753889429792E-53</v>
      </c>
      <c r="Z25" s="12">
        <v>-3.8459615516784385</v>
      </c>
      <c r="AA25" s="12">
        <v>-3.019314958957461</v>
      </c>
      <c r="AB25" s="12">
        <v>-3.8459615516784385</v>
      </c>
      <c r="AC25" s="12">
        <v>-3.019314958957461</v>
      </c>
    </row>
    <row r="26" spans="1:29" x14ac:dyDescent="0.3">
      <c r="A26" t="s">
        <v>123</v>
      </c>
      <c r="B26" t="s">
        <v>28</v>
      </c>
      <c r="C26" t="s">
        <v>20</v>
      </c>
      <c r="D26">
        <v>40.799630000000001</v>
      </c>
      <c r="E26">
        <v>-73.955060000000003</v>
      </c>
      <c r="F26" t="s">
        <v>18</v>
      </c>
      <c r="G26">
        <v>1</v>
      </c>
      <c r="H26">
        <v>1.5</v>
      </c>
      <c r="I26">
        <v>1</v>
      </c>
      <c r="J26">
        <v>1</v>
      </c>
      <c r="K26">
        <v>30</v>
      </c>
      <c r="L26">
        <v>284</v>
      </c>
      <c r="M26">
        <v>121</v>
      </c>
      <c r="N26">
        <v>0.84</v>
      </c>
      <c r="O26">
        <f>IF(F26="Private room",1,0)</f>
        <v>1</v>
      </c>
      <c r="P26">
        <f>IF(C26="Manhattan",4,IF(C26="Brooklyn",2,0))</f>
        <v>4</v>
      </c>
      <c r="Q26" s="2">
        <v>159</v>
      </c>
      <c r="R26" s="1">
        <v>45738</v>
      </c>
      <c r="S26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96.680000000000021</v>
      </c>
      <c r="U26" s="12" t="s">
        <v>11</v>
      </c>
      <c r="V26" s="12">
        <v>-4.6019925318090182E-2</v>
      </c>
      <c r="W26" s="12">
        <v>2.095465880087688E-2</v>
      </c>
      <c r="X26" s="12">
        <v>-2.1961667691847317</v>
      </c>
      <c r="Y26" s="12">
        <v>2.8302110584249782E-2</v>
      </c>
      <c r="Z26" s="12">
        <v>-8.7138573021405319E-2</v>
      </c>
      <c r="AA26" s="12">
        <v>-4.9012776147750389E-3</v>
      </c>
      <c r="AB26" s="12">
        <v>-8.7138573021405319E-2</v>
      </c>
      <c r="AC26" s="12">
        <v>-4.9012776147750389E-3</v>
      </c>
    </row>
    <row r="27" spans="1:29" x14ac:dyDescent="0.3">
      <c r="A27" t="s">
        <v>124</v>
      </c>
      <c r="B27" t="s">
        <v>26</v>
      </c>
      <c r="C27" t="s">
        <v>17</v>
      </c>
      <c r="D27">
        <v>40.693399999999997</v>
      </c>
      <c r="E27">
        <v>-73.973190000000002</v>
      </c>
      <c r="F27" t="s">
        <v>21</v>
      </c>
      <c r="G27">
        <v>2</v>
      </c>
      <c r="H27">
        <v>1</v>
      </c>
      <c r="I27">
        <v>1</v>
      </c>
      <c r="J27">
        <v>1</v>
      </c>
      <c r="K27">
        <v>30</v>
      </c>
      <c r="L27">
        <v>239</v>
      </c>
      <c r="M27">
        <v>265</v>
      </c>
      <c r="N27">
        <v>1.83</v>
      </c>
      <c r="O27">
        <f>IF(F27="Private room",1,0)</f>
        <v>0</v>
      </c>
      <c r="P27">
        <f>IF(C27="Manhattan",4,IF(C27="Brooklyn",2,0))</f>
        <v>2</v>
      </c>
      <c r="Q27" s="2">
        <v>153</v>
      </c>
      <c r="R27" s="1">
        <v>45738</v>
      </c>
      <c r="S27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124.69000000000003</v>
      </c>
      <c r="U27" s="12" t="s">
        <v>12</v>
      </c>
      <c r="V27" s="12">
        <v>-2.1588661168888169E-2</v>
      </c>
      <c r="W27" s="12">
        <v>3.7906343094606776E-2</v>
      </c>
      <c r="X27" s="12">
        <v>-0.56952634853241102</v>
      </c>
      <c r="Y27" s="12">
        <v>0.56912305660632012</v>
      </c>
      <c r="Z27" s="12">
        <v>-9.597104945969176E-2</v>
      </c>
      <c r="AA27" s="12">
        <v>5.2793727121915414E-2</v>
      </c>
      <c r="AB27" s="12">
        <v>-9.597104945969176E-2</v>
      </c>
      <c r="AC27" s="12">
        <v>5.2793727121915414E-2</v>
      </c>
    </row>
    <row r="28" spans="1:29" x14ac:dyDescent="0.3">
      <c r="A28" t="s">
        <v>125</v>
      </c>
      <c r="B28" t="s">
        <v>53</v>
      </c>
      <c r="C28" t="s">
        <v>20</v>
      </c>
      <c r="D28">
        <v>40.782550000000001</v>
      </c>
      <c r="E28">
        <v>-73.979219999999998</v>
      </c>
      <c r="F28" t="s">
        <v>18</v>
      </c>
      <c r="G28">
        <v>1</v>
      </c>
      <c r="H28">
        <v>1</v>
      </c>
      <c r="I28">
        <v>1</v>
      </c>
      <c r="J28">
        <v>2</v>
      </c>
      <c r="K28">
        <v>30</v>
      </c>
      <c r="L28">
        <v>107</v>
      </c>
      <c r="M28">
        <v>320</v>
      </c>
      <c r="N28">
        <v>2.2200000000000002</v>
      </c>
      <c r="O28">
        <f>IF(F28="Private room",1,0)</f>
        <v>1</v>
      </c>
      <c r="P28">
        <f>IF(C28="Manhattan",4,IF(C28="Brooklyn",2,0))</f>
        <v>4</v>
      </c>
      <c r="Q28" s="2">
        <v>93</v>
      </c>
      <c r="R28" s="1">
        <v>45744</v>
      </c>
      <c r="S28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98.15</v>
      </c>
      <c r="U28" s="12" t="s">
        <v>13</v>
      </c>
      <c r="V28" s="12">
        <v>-0.52983585676827305</v>
      </c>
      <c r="W28" s="12">
        <v>2.6264379971226313</v>
      </c>
      <c r="X28" s="12">
        <v>-0.20173172081302876</v>
      </c>
      <c r="Y28" s="12">
        <v>0.84016625772743558</v>
      </c>
      <c r="Z28" s="12">
        <v>-5.6836100004812149</v>
      </c>
      <c r="AA28" s="12">
        <v>4.6239382869446697</v>
      </c>
      <c r="AB28" s="12">
        <v>-5.6836100004812149</v>
      </c>
      <c r="AC28" s="12">
        <v>4.6239382869446697</v>
      </c>
    </row>
    <row r="29" spans="1:29" x14ac:dyDescent="0.3">
      <c r="A29" t="s">
        <v>130</v>
      </c>
      <c r="B29" t="s">
        <v>37</v>
      </c>
      <c r="C29" t="s">
        <v>30</v>
      </c>
      <c r="D29">
        <v>40.777569999999997</v>
      </c>
      <c r="E29">
        <v>-73.915800000000004</v>
      </c>
      <c r="F29" t="s">
        <v>21</v>
      </c>
      <c r="G29">
        <v>7</v>
      </c>
      <c r="H29">
        <v>1</v>
      </c>
      <c r="I29">
        <v>2</v>
      </c>
      <c r="J29">
        <v>4</v>
      </c>
      <c r="K29">
        <v>30</v>
      </c>
      <c r="L29">
        <v>153</v>
      </c>
      <c r="M29">
        <v>490</v>
      </c>
      <c r="N29">
        <v>3.59</v>
      </c>
      <c r="O29">
        <f>IF(F29="Private room",1,0)</f>
        <v>0</v>
      </c>
      <c r="P29">
        <f>IF(C29="Manhattan",4,IF(C29="Brooklyn",2,0))</f>
        <v>0</v>
      </c>
      <c r="Q29" s="2">
        <v>223</v>
      </c>
      <c r="R29" s="1">
        <v>45719</v>
      </c>
      <c r="S29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192.57000000000005</v>
      </c>
      <c r="U29" s="12" t="s">
        <v>1405</v>
      </c>
      <c r="V29" s="12">
        <v>-44.362985293520168</v>
      </c>
      <c r="W29" s="12">
        <v>5.1908006017765294</v>
      </c>
      <c r="X29" s="12">
        <v>-8.546463001937914</v>
      </c>
      <c r="Y29" s="12">
        <v>4.5178202973139449E-17</v>
      </c>
      <c r="Z29" s="12">
        <v>-54.548725050527025</v>
      </c>
      <c r="AA29" s="12">
        <v>-34.177245536513311</v>
      </c>
      <c r="AB29" s="12">
        <v>-54.548725050527025</v>
      </c>
      <c r="AC29" s="12">
        <v>-34.177245536513311</v>
      </c>
    </row>
    <row r="30" spans="1:29" ht="15" thickBot="1" x14ac:dyDescent="0.35">
      <c r="A30" t="s">
        <v>133</v>
      </c>
      <c r="B30" t="s">
        <v>36</v>
      </c>
      <c r="C30" t="s">
        <v>20</v>
      </c>
      <c r="D30">
        <v>40.768419999999999</v>
      </c>
      <c r="E30">
        <v>-73.95532</v>
      </c>
      <c r="F30" t="s">
        <v>21</v>
      </c>
      <c r="G30">
        <v>2</v>
      </c>
      <c r="H30">
        <v>1</v>
      </c>
      <c r="I30">
        <v>1</v>
      </c>
      <c r="J30">
        <v>1</v>
      </c>
      <c r="K30">
        <v>30</v>
      </c>
      <c r="L30">
        <v>89</v>
      </c>
      <c r="M30">
        <v>69</v>
      </c>
      <c r="N30">
        <v>0.56000000000000005</v>
      </c>
      <c r="O30">
        <f>IF(F30="Private room",1,0)</f>
        <v>0</v>
      </c>
      <c r="P30">
        <f>IF(C30="Manhattan",4,IF(C30="Brooklyn",2,0))</f>
        <v>4</v>
      </c>
      <c r="Q30" s="2">
        <v>140</v>
      </c>
      <c r="R30" s="1">
        <v>45745</v>
      </c>
      <c r="S30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161.15000000000003</v>
      </c>
      <c r="U30" s="13" t="s">
        <v>1406</v>
      </c>
      <c r="V30" s="13">
        <v>15.240142194735306</v>
      </c>
      <c r="W30" s="13">
        <v>1.397492230534499</v>
      </c>
      <c r="X30" s="13">
        <v>10.905350213579654</v>
      </c>
      <c r="Y30" s="13">
        <v>2.7778716592384962E-26</v>
      </c>
      <c r="Z30" s="13">
        <v>12.497888491560548</v>
      </c>
      <c r="AA30" s="13">
        <v>17.982395897910063</v>
      </c>
      <c r="AB30" s="13">
        <v>12.497888491560548</v>
      </c>
      <c r="AC30" s="13">
        <v>17.982395897910063</v>
      </c>
    </row>
    <row r="31" spans="1:29" x14ac:dyDescent="0.3">
      <c r="A31" t="s">
        <v>136</v>
      </c>
      <c r="B31" t="s">
        <v>53</v>
      </c>
      <c r="C31" t="s">
        <v>20</v>
      </c>
      <c r="D31">
        <v>40.776519999999998</v>
      </c>
      <c r="E31">
        <v>-73.977919999999997</v>
      </c>
      <c r="F31" t="s">
        <v>21</v>
      </c>
      <c r="G31">
        <v>2</v>
      </c>
      <c r="H31">
        <v>1</v>
      </c>
      <c r="I31">
        <v>1</v>
      </c>
      <c r="J31">
        <v>1</v>
      </c>
      <c r="K31">
        <v>30</v>
      </c>
      <c r="L31">
        <v>277</v>
      </c>
      <c r="M31">
        <v>309</v>
      </c>
      <c r="N31">
        <v>2.23</v>
      </c>
      <c r="O31">
        <f>IF(F31="Private room",1,0)</f>
        <v>0</v>
      </c>
      <c r="P31">
        <f>IF(C31="Manhattan",4,IF(C31="Brooklyn",2,0))</f>
        <v>4</v>
      </c>
      <c r="Q31" s="2">
        <v>140</v>
      </c>
      <c r="R31" s="1">
        <v>45747</v>
      </c>
      <c r="S31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153.63000000000002</v>
      </c>
    </row>
    <row r="32" spans="1:29" x14ac:dyDescent="0.3">
      <c r="A32" t="s">
        <v>139</v>
      </c>
      <c r="B32" t="s">
        <v>23</v>
      </c>
      <c r="C32" t="s">
        <v>17</v>
      </c>
      <c r="D32">
        <v>40.71181</v>
      </c>
      <c r="E32">
        <v>-73.948269999999994</v>
      </c>
      <c r="F32" t="s">
        <v>21</v>
      </c>
      <c r="G32">
        <v>4</v>
      </c>
      <c r="H32">
        <v>1</v>
      </c>
      <c r="I32">
        <v>3</v>
      </c>
      <c r="J32">
        <v>3</v>
      </c>
      <c r="K32">
        <v>30</v>
      </c>
      <c r="L32">
        <v>272</v>
      </c>
      <c r="M32">
        <v>6</v>
      </c>
      <c r="N32">
        <v>0.19</v>
      </c>
      <c r="O32">
        <f>IF(F32="Private room",1,0)</f>
        <v>0</v>
      </c>
      <c r="P32">
        <f>IF(C32="Manhattan",4,IF(C32="Brooklyn",2,0))</f>
        <v>2</v>
      </c>
      <c r="Q32" s="2">
        <v>160</v>
      </c>
      <c r="R32" s="1">
        <v>45735</v>
      </c>
      <c r="S32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161.33000000000004</v>
      </c>
    </row>
    <row r="33" spans="1:19" x14ac:dyDescent="0.3">
      <c r="A33" t="s">
        <v>141</v>
      </c>
      <c r="B33" t="s">
        <v>27</v>
      </c>
      <c r="C33" t="s">
        <v>17</v>
      </c>
      <c r="D33">
        <v>40.688540000000003</v>
      </c>
      <c r="E33">
        <v>-73.946640000000002</v>
      </c>
      <c r="F33" t="s">
        <v>21</v>
      </c>
      <c r="G33">
        <v>2</v>
      </c>
      <c r="H33">
        <v>1</v>
      </c>
      <c r="I33">
        <v>1</v>
      </c>
      <c r="J33">
        <v>1</v>
      </c>
      <c r="K33">
        <v>30</v>
      </c>
      <c r="L33">
        <v>144</v>
      </c>
      <c r="M33">
        <v>336</v>
      </c>
      <c r="N33">
        <v>2.4700000000000002</v>
      </c>
      <c r="O33">
        <f>IF(F33="Private room",1,0)</f>
        <v>0</v>
      </c>
      <c r="P33">
        <f>IF(C33="Manhattan",4,IF(C33="Brooklyn",2,0))</f>
        <v>2</v>
      </c>
      <c r="Q33" s="2">
        <v>86</v>
      </c>
      <c r="R33" s="1">
        <v>45733</v>
      </c>
      <c r="S33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128.49</v>
      </c>
    </row>
    <row r="34" spans="1:19" x14ac:dyDescent="0.3">
      <c r="A34" t="s">
        <v>143</v>
      </c>
      <c r="B34" t="s">
        <v>49</v>
      </c>
      <c r="C34" t="s">
        <v>20</v>
      </c>
      <c r="D34">
        <v>40.742010000000001</v>
      </c>
      <c r="E34">
        <v>-73.976780000000005</v>
      </c>
      <c r="F34" t="s">
        <v>21</v>
      </c>
      <c r="G34">
        <v>3</v>
      </c>
      <c r="H34">
        <v>1</v>
      </c>
      <c r="I34">
        <v>1</v>
      </c>
      <c r="J34">
        <v>1</v>
      </c>
      <c r="K34">
        <v>30</v>
      </c>
      <c r="L34">
        <v>83</v>
      </c>
      <c r="M34">
        <v>280</v>
      </c>
      <c r="N34">
        <v>2.6</v>
      </c>
      <c r="O34">
        <f>IF(F34="Private room",1,0)</f>
        <v>0</v>
      </c>
      <c r="P34">
        <f>IF(C34="Manhattan",4,IF(C34="Brooklyn",2,0))</f>
        <v>4</v>
      </c>
      <c r="Q34" s="2">
        <v>153</v>
      </c>
      <c r="R34" s="1">
        <v>45717</v>
      </c>
      <c r="S34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180.37</v>
      </c>
    </row>
    <row r="35" spans="1:19" x14ac:dyDescent="0.3">
      <c r="A35" t="s">
        <v>144</v>
      </c>
      <c r="B35" t="s">
        <v>23</v>
      </c>
      <c r="C35" t="s">
        <v>17</v>
      </c>
      <c r="D35">
        <v>40.712980000000002</v>
      </c>
      <c r="E35">
        <v>-73.943560000000005</v>
      </c>
      <c r="F35" t="s">
        <v>21</v>
      </c>
      <c r="G35">
        <v>2</v>
      </c>
      <c r="H35">
        <v>1</v>
      </c>
      <c r="I35">
        <v>1</v>
      </c>
      <c r="J35">
        <v>1</v>
      </c>
      <c r="K35">
        <v>30</v>
      </c>
      <c r="L35">
        <v>248</v>
      </c>
      <c r="M35">
        <v>311</v>
      </c>
      <c r="N35">
        <v>2.2999999999999998</v>
      </c>
      <c r="O35">
        <f>IF(F35="Private room",1,0)</f>
        <v>0</v>
      </c>
      <c r="P35">
        <f>IF(C35="Manhattan",4,IF(C35="Brooklyn",2,0))</f>
        <v>2</v>
      </c>
      <c r="Q35" s="2">
        <v>168</v>
      </c>
      <c r="R35" s="1">
        <v>45746</v>
      </c>
      <c r="S35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124.33000000000001</v>
      </c>
    </row>
    <row r="36" spans="1:19" x14ac:dyDescent="0.3">
      <c r="A36" t="s">
        <v>147</v>
      </c>
      <c r="B36" t="s">
        <v>36</v>
      </c>
      <c r="C36" t="s">
        <v>20</v>
      </c>
      <c r="D36">
        <v>40.772620000000003</v>
      </c>
      <c r="E36">
        <v>-73.955979999999997</v>
      </c>
      <c r="F36" t="s">
        <v>21</v>
      </c>
      <c r="G36">
        <v>2</v>
      </c>
      <c r="H36">
        <v>1</v>
      </c>
      <c r="I36">
        <v>1</v>
      </c>
      <c r="J36">
        <v>1</v>
      </c>
      <c r="K36">
        <v>30</v>
      </c>
      <c r="L36">
        <v>338</v>
      </c>
      <c r="M36">
        <v>14</v>
      </c>
      <c r="N36">
        <v>0.14000000000000001</v>
      </c>
      <c r="O36">
        <f>IF(F36="Private room",1,0)</f>
        <v>0</v>
      </c>
      <c r="P36">
        <f>IF(C36="Manhattan",4,IF(C36="Brooklyn",2,0))</f>
        <v>4</v>
      </c>
      <c r="Q36" s="2">
        <v>125</v>
      </c>
      <c r="R36" s="1">
        <v>45738</v>
      </c>
      <c r="S36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151.19000000000003</v>
      </c>
    </row>
    <row r="37" spans="1:19" x14ac:dyDescent="0.3">
      <c r="A37" t="s">
        <v>148</v>
      </c>
      <c r="B37" t="s">
        <v>36</v>
      </c>
      <c r="C37" t="s">
        <v>20</v>
      </c>
      <c r="D37">
        <v>40.77073</v>
      </c>
      <c r="E37">
        <v>-73.956829999999997</v>
      </c>
      <c r="F37" t="s">
        <v>21</v>
      </c>
      <c r="G37">
        <v>2</v>
      </c>
      <c r="H37">
        <v>1</v>
      </c>
      <c r="I37">
        <v>1</v>
      </c>
      <c r="J37">
        <v>1</v>
      </c>
      <c r="K37">
        <v>30</v>
      </c>
      <c r="L37">
        <v>193</v>
      </c>
      <c r="M37">
        <v>25</v>
      </c>
      <c r="N37">
        <v>0.19</v>
      </c>
      <c r="O37">
        <f>IF(F37="Private room",1,0)</f>
        <v>0</v>
      </c>
      <c r="P37">
        <f>IF(C37="Manhattan",4,IF(C37="Brooklyn",2,0))</f>
        <v>4</v>
      </c>
      <c r="Q37" s="2">
        <v>100</v>
      </c>
      <c r="R37" s="1">
        <v>45747</v>
      </c>
      <c r="S37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156.99</v>
      </c>
    </row>
    <row r="38" spans="1:19" x14ac:dyDescent="0.3">
      <c r="A38" t="s">
        <v>151</v>
      </c>
      <c r="B38" t="s">
        <v>36</v>
      </c>
      <c r="C38" t="s">
        <v>20</v>
      </c>
      <c r="D38">
        <v>40.770899999999997</v>
      </c>
      <c r="E38">
        <v>-73.957409999999996</v>
      </c>
      <c r="F38" t="s">
        <v>21</v>
      </c>
      <c r="G38">
        <v>2</v>
      </c>
      <c r="H38">
        <v>1</v>
      </c>
      <c r="I38">
        <v>1</v>
      </c>
      <c r="J38">
        <v>2</v>
      </c>
      <c r="K38">
        <v>30</v>
      </c>
      <c r="L38">
        <v>257</v>
      </c>
      <c r="M38">
        <v>11</v>
      </c>
      <c r="N38">
        <v>0.11</v>
      </c>
      <c r="O38">
        <f>IF(F38="Private room",1,0)</f>
        <v>0</v>
      </c>
      <c r="P38">
        <f>IF(C38="Manhattan",4,IF(C38="Brooklyn",2,0))</f>
        <v>4</v>
      </c>
      <c r="Q38" s="2">
        <v>117</v>
      </c>
      <c r="R38" s="1">
        <v>45729</v>
      </c>
      <c r="S38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154.43</v>
      </c>
    </row>
    <row r="39" spans="1:19" x14ac:dyDescent="0.3">
      <c r="A39" t="s">
        <v>152</v>
      </c>
      <c r="B39" t="s">
        <v>28</v>
      </c>
      <c r="C39" t="s">
        <v>20</v>
      </c>
      <c r="D39">
        <v>40.802410000000002</v>
      </c>
      <c r="E39">
        <v>-73.952610000000007</v>
      </c>
      <c r="F39" t="s">
        <v>18</v>
      </c>
      <c r="G39">
        <v>1</v>
      </c>
      <c r="H39">
        <v>1</v>
      </c>
      <c r="I39">
        <v>1</v>
      </c>
      <c r="J39">
        <v>1</v>
      </c>
      <c r="K39">
        <v>7</v>
      </c>
      <c r="L39">
        <v>270</v>
      </c>
      <c r="M39">
        <v>172</v>
      </c>
      <c r="N39">
        <v>1.3</v>
      </c>
      <c r="O39">
        <f>IF(F39="Private room",1,0)</f>
        <v>1</v>
      </c>
      <c r="P39">
        <f>IF(C39="Manhattan",4,IF(C39="Brooklyn",2,0))</f>
        <v>4</v>
      </c>
      <c r="Q39" s="2">
        <v>110</v>
      </c>
      <c r="R39" s="1">
        <v>45731</v>
      </c>
      <c r="S39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168.68</v>
      </c>
    </row>
    <row r="40" spans="1:19" x14ac:dyDescent="0.3">
      <c r="A40" t="s">
        <v>153</v>
      </c>
      <c r="B40" t="s">
        <v>56</v>
      </c>
      <c r="C40" t="s">
        <v>17</v>
      </c>
      <c r="D40">
        <v>40.671219999999998</v>
      </c>
      <c r="E40">
        <v>-73.950119999999998</v>
      </c>
      <c r="F40" t="s">
        <v>21</v>
      </c>
      <c r="G40">
        <v>3</v>
      </c>
      <c r="H40">
        <v>1</v>
      </c>
      <c r="I40">
        <v>3</v>
      </c>
      <c r="J40">
        <v>3</v>
      </c>
      <c r="K40">
        <v>30</v>
      </c>
      <c r="L40">
        <v>268</v>
      </c>
      <c r="M40">
        <v>105</v>
      </c>
      <c r="N40">
        <v>0.79</v>
      </c>
      <c r="O40">
        <f>IF(F40="Private room",1,0)</f>
        <v>0</v>
      </c>
      <c r="P40">
        <f>IF(C40="Manhattan",4,IF(C40="Brooklyn",2,0))</f>
        <v>2</v>
      </c>
      <c r="Q40" s="2">
        <v>220</v>
      </c>
      <c r="R40" s="1">
        <v>45730</v>
      </c>
      <c r="S40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142.51000000000002</v>
      </c>
    </row>
    <row r="41" spans="1:19" x14ac:dyDescent="0.3">
      <c r="A41" t="s">
        <v>155</v>
      </c>
      <c r="B41" t="s">
        <v>156</v>
      </c>
      <c r="C41" t="s">
        <v>91</v>
      </c>
      <c r="D41">
        <v>40.541530000000002</v>
      </c>
      <c r="E41">
        <v>-74.164420000000007</v>
      </c>
      <c r="F41" t="s">
        <v>18</v>
      </c>
      <c r="G41">
        <v>2</v>
      </c>
      <c r="H41">
        <v>1</v>
      </c>
      <c r="I41">
        <v>1</v>
      </c>
      <c r="J41">
        <v>1</v>
      </c>
      <c r="K41">
        <v>1</v>
      </c>
      <c r="L41">
        <v>338</v>
      </c>
      <c r="M41">
        <v>248</v>
      </c>
      <c r="N41">
        <v>1.88</v>
      </c>
      <c r="O41">
        <f>IF(F41="Private room",1,0)</f>
        <v>1</v>
      </c>
      <c r="P41">
        <f>IF(C41="Manhattan",4,IF(C41="Brooklyn",2,0))</f>
        <v>0</v>
      </c>
      <c r="Q41" s="2">
        <v>83</v>
      </c>
      <c r="R41" s="1">
        <v>45746</v>
      </c>
      <c r="S41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144.12</v>
      </c>
    </row>
    <row r="42" spans="1:19" x14ac:dyDescent="0.3">
      <c r="A42" t="s">
        <v>158</v>
      </c>
      <c r="B42" t="s">
        <v>59</v>
      </c>
      <c r="C42" t="s">
        <v>17</v>
      </c>
      <c r="D42">
        <v>40.683619999999998</v>
      </c>
      <c r="E42">
        <v>-73.960139999999996</v>
      </c>
      <c r="F42" t="s">
        <v>21</v>
      </c>
      <c r="G42">
        <v>5</v>
      </c>
      <c r="H42">
        <v>2</v>
      </c>
      <c r="I42">
        <v>2</v>
      </c>
      <c r="J42">
        <v>2</v>
      </c>
      <c r="K42">
        <v>30</v>
      </c>
      <c r="L42">
        <v>325</v>
      </c>
      <c r="M42">
        <v>25</v>
      </c>
      <c r="N42">
        <v>0.2</v>
      </c>
      <c r="O42">
        <f>IF(F42="Private room",1,0)</f>
        <v>0</v>
      </c>
      <c r="P42">
        <f>IF(C42="Manhattan",4,IF(C42="Brooklyn",2,0))</f>
        <v>2</v>
      </c>
      <c r="Q42" s="2">
        <v>149</v>
      </c>
      <c r="R42" s="1">
        <v>45733</v>
      </c>
      <c r="S42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189.41000000000005</v>
      </c>
    </row>
    <row r="43" spans="1:19" x14ac:dyDescent="0.3">
      <c r="A43" t="s">
        <v>159</v>
      </c>
      <c r="B43" t="s">
        <v>50</v>
      </c>
      <c r="C43" t="s">
        <v>20</v>
      </c>
      <c r="D43">
        <v>40.73404</v>
      </c>
      <c r="E43">
        <v>-74.003640000000004</v>
      </c>
      <c r="F43" t="s">
        <v>21</v>
      </c>
      <c r="G43">
        <v>2</v>
      </c>
      <c r="H43">
        <v>1</v>
      </c>
      <c r="I43">
        <v>1</v>
      </c>
      <c r="J43">
        <v>1</v>
      </c>
      <c r="K43">
        <v>30</v>
      </c>
      <c r="L43">
        <v>132</v>
      </c>
      <c r="M43">
        <v>271</v>
      </c>
      <c r="N43">
        <v>2.09</v>
      </c>
      <c r="O43">
        <f>IF(F43="Private room",1,0)</f>
        <v>0</v>
      </c>
      <c r="P43">
        <f>IF(C43="Manhattan",4,IF(C43="Brooklyn",2,0))</f>
        <v>4</v>
      </c>
      <c r="Q43" s="2">
        <v>241</v>
      </c>
      <c r="R43" s="1">
        <v>45740</v>
      </c>
      <c r="S43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159.43</v>
      </c>
    </row>
    <row r="44" spans="1:19" x14ac:dyDescent="0.3">
      <c r="A44" t="s">
        <v>162</v>
      </c>
      <c r="B44" t="s">
        <v>26</v>
      </c>
      <c r="C44" t="s">
        <v>17</v>
      </c>
      <c r="D44">
        <v>40.693309999999997</v>
      </c>
      <c r="E44">
        <v>-73.981859999999998</v>
      </c>
      <c r="F44" t="s">
        <v>21</v>
      </c>
      <c r="G44">
        <v>3</v>
      </c>
      <c r="H44">
        <v>1</v>
      </c>
      <c r="I44">
        <v>1</v>
      </c>
      <c r="J44">
        <v>1</v>
      </c>
      <c r="K44">
        <v>30</v>
      </c>
      <c r="L44">
        <v>121</v>
      </c>
      <c r="M44">
        <v>36</v>
      </c>
      <c r="N44">
        <v>0.28000000000000003</v>
      </c>
      <c r="O44">
        <f>IF(F44="Private room",1,0)</f>
        <v>0</v>
      </c>
      <c r="P44">
        <f>IF(C44="Manhattan",4,IF(C44="Brooklyn",2,0))</f>
        <v>2</v>
      </c>
      <c r="Q44" s="2">
        <v>200</v>
      </c>
      <c r="R44" s="1">
        <v>45719</v>
      </c>
      <c r="S44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148.39000000000001</v>
      </c>
    </row>
    <row r="45" spans="1:19" x14ac:dyDescent="0.3">
      <c r="A45" t="s">
        <v>163</v>
      </c>
      <c r="B45" t="s">
        <v>164</v>
      </c>
      <c r="C45" t="s">
        <v>91</v>
      </c>
      <c r="D45">
        <v>40.644889999999997</v>
      </c>
      <c r="E45">
        <v>-74.077889999999996</v>
      </c>
      <c r="F45" t="s">
        <v>18</v>
      </c>
      <c r="G45">
        <v>3</v>
      </c>
      <c r="H45">
        <v>1.5</v>
      </c>
      <c r="I45">
        <v>1</v>
      </c>
      <c r="J45">
        <v>1</v>
      </c>
      <c r="K45">
        <v>30</v>
      </c>
      <c r="L45">
        <v>358</v>
      </c>
      <c r="M45">
        <v>223</v>
      </c>
      <c r="N45">
        <v>1.94</v>
      </c>
      <c r="O45">
        <f>IF(F45="Private room",1,0)</f>
        <v>1</v>
      </c>
      <c r="P45">
        <f>IF(C45="Manhattan",4,IF(C45="Brooklyn",2,0))</f>
        <v>0</v>
      </c>
      <c r="Q45" s="2">
        <v>75</v>
      </c>
      <c r="R45" s="1">
        <v>45744</v>
      </c>
      <c r="S45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70.760000000000034</v>
      </c>
    </row>
    <row r="46" spans="1:19" x14ac:dyDescent="0.3">
      <c r="A46" t="s">
        <v>165</v>
      </c>
      <c r="B46" t="s">
        <v>36</v>
      </c>
      <c r="C46" t="s">
        <v>20</v>
      </c>
      <c r="D46">
        <v>40.771160000000002</v>
      </c>
      <c r="E46">
        <v>-73.956850000000003</v>
      </c>
      <c r="F46" t="s">
        <v>21</v>
      </c>
      <c r="G46">
        <v>2</v>
      </c>
      <c r="H46">
        <v>1</v>
      </c>
      <c r="I46">
        <v>1</v>
      </c>
      <c r="J46">
        <v>1</v>
      </c>
      <c r="K46">
        <v>30</v>
      </c>
      <c r="L46">
        <v>228</v>
      </c>
      <c r="M46">
        <v>9</v>
      </c>
      <c r="N46">
        <v>0.09</v>
      </c>
      <c r="O46">
        <f>IF(F46="Private room",1,0)</f>
        <v>0</v>
      </c>
      <c r="P46">
        <f>IF(C46="Manhattan",4,IF(C46="Brooklyn",2,0))</f>
        <v>4</v>
      </c>
      <c r="Q46" s="2">
        <v>121</v>
      </c>
      <c r="R46" s="1">
        <v>45727</v>
      </c>
      <c r="S46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155.59000000000003</v>
      </c>
    </row>
    <row r="47" spans="1:19" x14ac:dyDescent="0.3">
      <c r="A47" t="s">
        <v>166</v>
      </c>
      <c r="B47" t="s">
        <v>27</v>
      </c>
      <c r="C47" t="s">
        <v>17</v>
      </c>
      <c r="D47">
        <v>40.680843701285198</v>
      </c>
      <c r="E47">
        <v>-73.948621231925998</v>
      </c>
      <c r="F47" t="s">
        <v>18</v>
      </c>
      <c r="G47">
        <v>2</v>
      </c>
      <c r="H47">
        <v>1</v>
      </c>
      <c r="I47">
        <v>0</v>
      </c>
      <c r="J47">
        <v>2</v>
      </c>
      <c r="K47">
        <v>2</v>
      </c>
      <c r="L47">
        <v>319</v>
      </c>
      <c r="M47">
        <v>427</v>
      </c>
      <c r="N47">
        <v>3.3</v>
      </c>
      <c r="O47">
        <f>IF(F47="Private room",1,0)</f>
        <v>1</v>
      </c>
      <c r="P47">
        <f>IF(C47="Manhattan",4,IF(C47="Brooklyn",2,0))</f>
        <v>2</v>
      </c>
      <c r="Q47" s="2">
        <v>154</v>
      </c>
      <c r="R47" s="1">
        <v>45734</v>
      </c>
      <c r="S47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171.99000000000004</v>
      </c>
    </row>
    <row r="48" spans="1:19" x14ac:dyDescent="0.3">
      <c r="A48" t="s">
        <v>167</v>
      </c>
      <c r="B48" t="s">
        <v>33</v>
      </c>
      <c r="C48" t="s">
        <v>17</v>
      </c>
      <c r="D48">
        <v>40.66724</v>
      </c>
      <c r="E48">
        <v>-73.980249999999998</v>
      </c>
      <c r="F48" t="s">
        <v>21</v>
      </c>
      <c r="G48">
        <v>2</v>
      </c>
      <c r="H48">
        <v>1</v>
      </c>
      <c r="I48">
        <v>1</v>
      </c>
      <c r="J48">
        <v>4</v>
      </c>
      <c r="K48">
        <v>30</v>
      </c>
      <c r="L48">
        <v>98</v>
      </c>
      <c r="M48">
        <v>41</v>
      </c>
      <c r="N48">
        <v>0.32</v>
      </c>
      <c r="O48">
        <f>IF(F48="Private room",1,0)</f>
        <v>0</v>
      </c>
      <c r="P48">
        <f>IF(C48="Manhattan",4,IF(C48="Brooklyn",2,0))</f>
        <v>2</v>
      </c>
      <c r="Q48" s="2">
        <v>119</v>
      </c>
      <c r="R48" s="1">
        <v>45747</v>
      </c>
      <c r="S48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130.33000000000001</v>
      </c>
    </row>
    <row r="49" spans="1:19" x14ac:dyDescent="0.3">
      <c r="A49" t="s">
        <v>168</v>
      </c>
      <c r="B49" t="s">
        <v>83</v>
      </c>
      <c r="C49" t="s">
        <v>20</v>
      </c>
      <c r="D49">
        <v>40.872709999999998</v>
      </c>
      <c r="E49">
        <v>-73.920259999999999</v>
      </c>
      <c r="F49" t="s">
        <v>21</v>
      </c>
      <c r="G49">
        <v>2</v>
      </c>
      <c r="H49">
        <v>1</v>
      </c>
      <c r="I49">
        <v>1</v>
      </c>
      <c r="J49">
        <v>1</v>
      </c>
      <c r="K49">
        <v>30</v>
      </c>
      <c r="L49">
        <v>268</v>
      </c>
      <c r="M49">
        <v>77</v>
      </c>
      <c r="N49">
        <v>0.6</v>
      </c>
      <c r="O49">
        <f>IF(F49="Private room",1,0)</f>
        <v>0</v>
      </c>
      <c r="P49">
        <f>IF(C49="Manhattan",4,IF(C49="Brooklyn",2,0))</f>
        <v>4</v>
      </c>
      <c r="Q49" s="2">
        <v>150</v>
      </c>
      <c r="R49" s="1">
        <v>45747</v>
      </c>
      <c r="S49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153.99</v>
      </c>
    </row>
    <row r="50" spans="1:19" x14ac:dyDescent="0.3">
      <c r="A50" t="s">
        <v>170</v>
      </c>
      <c r="B50" t="s">
        <v>24</v>
      </c>
      <c r="C50" t="s">
        <v>20</v>
      </c>
      <c r="D50">
        <v>40.807110000000002</v>
      </c>
      <c r="E50">
        <v>-73.937839999999994</v>
      </c>
      <c r="F50" t="s">
        <v>21</v>
      </c>
      <c r="G50">
        <v>3</v>
      </c>
      <c r="H50">
        <v>1</v>
      </c>
      <c r="I50">
        <v>0</v>
      </c>
      <c r="J50">
        <v>2</v>
      </c>
      <c r="K50">
        <v>30</v>
      </c>
      <c r="L50">
        <v>280</v>
      </c>
      <c r="M50">
        <v>27</v>
      </c>
      <c r="N50">
        <v>0.22</v>
      </c>
      <c r="O50">
        <f>IF(F50="Private room",1,0)</f>
        <v>0</v>
      </c>
      <c r="P50">
        <f>IF(C50="Manhattan",4,IF(C50="Brooklyn",2,0))</f>
        <v>4</v>
      </c>
      <c r="Q50" s="2">
        <v>100</v>
      </c>
      <c r="R50" s="1">
        <v>45731</v>
      </c>
      <c r="S50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172.49</v>
      </c>
    </row>
    <row r="51" spans="1:19" x14ac:dyDescent="0.3">
      <c r="A51" t="s">
        <v>171</v>
      </c>
      <c r="B51" t="s">
        <v>45</v>
      </c>
      <c r="C51" t="s">
        <v>20</v>
      </c>
      <c r="D51">
        <v>40.749119999999998</v>
      </c>
      <c r="E51">
        <v>-73.996669999999995</v>
      </c>
      <c r="F51" t="s">
        <v>21</v>
      </c>
      <c r="G51">
        <v>2</v>
      </c>
      <c r="H51">
        <v>1</v>
      </c>
      <c r="I51">
        <v>1</v>
      </c>
      <c r="J51">
        <v>1</v>
      </c>
      <c r="K51">
        <v>30</v>
      </c>
      <c r="L51">
        <v>114</v>
      </c>
      <c r="M51">
        <v>375</v>
      </c>
      <c r="N51">
        <v>2.92</v>
      </c>
      <c r="O51">
        <f>IF(F51="Private room",1,0)</f>
        <v>0</v>
      </c>
      <c r="P51">
        <f>IF(C51="Manhattan",4,IF(C51="Brooklyn",2,0))</f>
        <v>4</v>
      </c>
      <c r="Q51" s="2">
        <v>166</v>
      </c>
      <c r="R51" s="1">
        <v>45747</v>
      </c>
      <c r="S51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160.15000000000003</v>
      </c>
    </row>
    <row r="52" spans="1:19" x14ac:dyDescent="0.3">
      <c r="A52" t="s">
        <v>172</v>
      </c>
      <c r="B52" t="s">
        <v>38</v>
      </c>
      <c r="C52" t="s">
        <v>20</v>
      </c>
      <c r="D52">
        <v>40.760910000000003</v>
      </c>
      <c r="E52">
        <v>-73.990849999999995</v>
      </c>
      <c r="F52" t="s">
        <v>18</v>
      </c>
      <c r="G52">
        <v>2</v>
      </c>
      <c r="H52">
        <v>1</v>
      </c>
      <c r="I52">
        <v>0</v>
      </c>
      <c r="J52">
        <v>1</v>
      </c>
      <c r="K52">
        <v>30</v>
      </c>
      <c r="L52">
        <v>106</v>
      </c>
      <c r="M52">
        <v>17</v>
      </c>
      <c r="N52">
        <v>0.15</v>
      </c>
      <c r="O52">
        <f>IF(F52="Private room",1,0)</f>
        <v>1</v>
      </c>
      <c r="P52">
        <f>IF(C52="Manhattan",4,IF(C52="Brooklyn",2,0))</f>
        <v>4</v>
      </c>
      <c r="Q52" s="2">
        <v>96</v>
      </c>
      <c r="R52" s="1">
        <v>45717</v>
      </c>
      <c r="S52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117.17000000000003</v>
      </c>
    </row>
    <row r="53" spans="1:19" x14ac:dyDescent="0.3">
      <c r="A53" t="s">
        <v>173</v>
      </c>
      <c r="B53" t="s">
        <v>53</v>
      </c>
      <c r="C53" t="s">
        <v>20</v>
      </c>
      <c r="D53">
        <v>40.776249999999997</v>
      </c>
      <c r="E53">
        <v>-73.979089999999999</v>
      </c>
      <c r="F53" t="s">
        <v>18</v>
      </c>
      <c r="G53">
        <v>2</v>
      </c>
      <c r="H53">
        <v>1.5</v>
      </c>
      <c r="I53">
        <v>1</v>
      </c>
      <c r="J53">
        <v>1</v>
      </c>
      <c r="K53">
        <v>30</v>
      </c>
      <c r="L53">
        <v>111</v>
      </c>
      <c r="M53">
        <v>244</v>
      </c>
      <c r="N53">
        <v>1.91</v>
      </c>
      <c r="O53">
        <f>IF(F53="Private room",1,0)</f>
        <v>1</v>
      </c>
      <c r="P53">
        <f>IF(C53="Manhattan",4,IF(C53="Brooklyn",2,0))</f>
        <v>4</v>
      </c>
      <c r="Q53" s="2">
        <v>90</v>
      </c>
      <c r="R53" s="1">
        <v>45745</v>
      </c>
      <c r="S53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122.58000000000004</v>
      </c>
    </row>
    <row r="54" spans="1:19" x14ac:dyDescent="0.3">
      <c r="A54" t="s">
        <v>174</v>
      </c>
      <c r="B54" t="s">
        <v>28</v>
      </c>
      <c r="C54" t="s">
        <v>20</v>
      </c>
      <c r="D54">
        <v>40.804679999999998</v>
      </c>
      <c r="E54">
        <v>-73.949129999999997</v>
      </c>
      <c r="F54" t="s">
        <v>18</v>
      </c>
      <c r="G54">
        <v>1</v>
      </c>
      <c r="H54">
        <v>1.5</v>
      </c>
      <c r="I54">
        <v>1</v>
      </c>
      <c r="J54">
        <v>1</v>
      </c>
      <c r="K54">
        <v>30</v>
      </c>
      <c r="L54">
        <v>146</v>
      </c>
      <c r="M54">
        <v>68</v>
      </c>
      <c r="N54">
        <v>0.65</v>
      </c>
      <c r="O54">
        <f>IF(F54="Private room",1,0)</f>
        <v>1</v>
      </c>
      <c r="P54">
        <f>IF(C54="Manhattan",4,IF(C54="Brooklyn",2,0))</f>
        <v>4</v>
      </c>
      <c r="Q54" s="2">
        <v>68</v>
      </c>
      <c r="R54" s="1">
        <v>45738</v>
      </c>
      <c r="S54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102.20000000000002</v>
      </c>
    </row>
    <row r="55" spans="1:19" x14ac:dyDescent="0.3">
      <c r="A55" t="s">
        <v>175</v>
      </c>
      <c r="B55" t="s">
        <v>28</v>
      </c>
      <c r="C55" t="s">
        <v>20</v>
      </c>
      <c r="D55">
        <v>40.819510000000001</v>
      </c>
      <c r="E55">
        <v>-73.954599999999999</v>
      </c>
      <c r="F55" t="s">
        <v>18</v>
      </c>
      <c r="G55">
        <v>1</v>
      </c>
      <c r="H55">
        <v>1</v>
      </c>
      <c r="I55">
        <v>1</v>
      </c>
      <c r="J55">
        <v>1</v>
      </c>
      <c r="K55">
        <v>30</v>
      </c>
      <c r="L55">
        <v>274</v>
      </c>
      <c r="M55">
        <v>189</v>
      </c>
      <c r="N55">
        <v>1.48</v>
      </c>
      <c r="O55">
        <f>IF(F55="Private room",1,0)</f>
        <v>1</v>
      </c>
      <c r="P55">
        <f>IF(C55="Manhattan",4,IF(C55="Brooklyn",2,0))</f>
        <v>4</v>
      </c>
      <c r="Q55" s="2">
        <v>52</v>
      </c>
      <c r="R55" s="1">
        <v>45747</v>
      </c>
      <c r="S55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91.47</v>
      </c>
    </row>
    <row r="56" spans="1:19" x14ac:dyDescent="0.3">
      <c r="A56" t="s">
        <v>176</v>
      </c>
      <c r="B56" t="s">
        <v>59</v>
      </c>
      <c r="C56" t="s">
        <v>17</v>
      </c>
      <c r="D56">
        <v>40.686729999999997</v>
      </c>
      <c r="E56">
        <v>-73.965869999999995</v>
      </c>
      <c r="F56" t="s">
        <v>21</v>
      </c>
      <c r="G56">
        <v>2</v>
      </c>
      <c r="H56">
        <v>1</v>
      </c>
      <c r="I56">
        <v>1</v>
      </c>
      <c r="J56">
        <v>1</v>
      </c>
      <c r="K56">
        <v>30</v>
      </c>
      <c r="L56">
        <v>270</v>
      </c>
      <c r="M56">
        <v>353</v>
      </c>
      <c r="N56">
        <v>2.79</v>
      </c>
      <c r="O56">
        <f>IF(F56="Private room",1,0)</f>
        <v>0</v>
      </c>
      <c r="P56">
        <f>IF(C56="Manhattan",4,IF(C56="Brooklyn",2,0))</f>
        <v>2</v>
      </c>
      <c r="Q56" s="2">
        <v>119</v>
      </c>
      <c r="R56" s="1">
        <v>45744</v>
      </c>
      <c r="S56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123.45000000000002</v>
      </c>
    </row>
    <row r="57" spans="1:19" x14ac:dyDescent="0.3">
      <c r="A57" t="s">
        <v>177</v>
      </c>
      <c r="B57" t="s">
        <v>36</v>
      </c>
      <c r="C57" t="s">
        <v>20</v>
      </c>
      <c r="D57">
        <v>40.782179999999997</v>
      </c>
      <c r="E57">
        <v>-73.948269999999994</v>
      </c>
      <c r="F57" t="s">
        <v>21</v>
      </c>
      <c r="G57">
        <v>4</v>
      </c>
      <c r="H57">
        <v>1</v>
      </c>
      <c r="I57">
        <v>2</v>
      </c>
      <c r="J57">
        <v>3</v>
      </c>
      <c r="K57">
        <v>30</v>
      </c>
      <c r="L57">
        <v>291</v>
      </c>
      <c r="M57">
        <v>28</v>
      </c>
      <c r="N57">
        <v>0.24</v>
      </c>
      <c r="O57">
        <f>IF(F57="Private room",1,0)</f>
        <v>0</v>
      </c>
      <c r="P57">
        <f>IF(C57="Manhattan",4,IF(C57="Brooklyn",2,0))</f>
        <v>4</v>
      </c>
      <c r="Q57" s="2">
        <v>140</v>
      </c>
      <c r="R57" s="1">
        <v>45717</v>
      </c>
      <c r="S57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191.03000000000003</v>
      </c>
    </row>
    <row r="58" spans="1:19" x14ac:dyDescent="0.3">
      <c r="A58" t="s">
        <v>180</v>
      </c>
      <c r="B58" t="s">
        <v>92</v>
      </c>
      <c r="C58" t="s">
        <v>17</v>
      </c>
      <c r="D58">
        <v>40.621279999999999</v>
      </c>
      <c r="E58">
        <v>-73.994829999999993</v>
      </c>
      <c r="F58" t="s">
        <v>21</v>
      </c>
      <c r="G58">
        <v>4</v>
      </c>
      <c r="H58">
        <v>1</v>
      </c>
      <c r="I58">
        <v>1</v>
      </c>
      <c r="J58">
        <v>3</v>
      </c>
      <c r="K58">
        <v>30</v>
      </c>
      <c r="L58">
        <v>242</v>
      </c>
      <c r="M58">
        <v>109</v>
      </c>
      <c r="N58">
        <v>0.88</v>
      </c>
      <c r="O58">
        <f>IF(F58="Private room",1,0)</f>
        <v>0</v>
      </c>
      <c r="P58">
        <f>IF(C58="Manhattan",4,IF(C58="Brooklyn",2,0))</f>
        <v>2</v>
      </c>
      <c r="Q58" s="2">
        <v>95</v>
      </c>
      <c r="R58" s="1">
        <v>45733</v>
      </c>
      <c r="S58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162.53000000000003</v>
      </c>
    </row>
    <row r="59" spans="1:19" x14ac:dyDescent="0.3">
      <c r="A59" t="s">
        <v>181</v>
      </c>
      <c r="B59" t="s">
        <v>48</v>
      </c>
      <c r="C59" t="s">
        <v>20</v>
      </c>
      <c r="D59" s="3" t="s">
        <v>182</v>
      </c>
      <c r="E59">
        <v>-73.996971544973505</v>
      </c>
      <c r="F59" t="s">
        <v>18</v>
      </c>
      <c r="G59">
        <v>1</v>
      </c>
      <c r="H59">
        <v>1</v>
      </c>
      <c r="I59">
        <v>1</v>
      </c>
      <c r="J59">
        <v>1</v>
      </c>
      <c r="K59">
        <v>30</v>
      </c>
      <c r="L59">
        <v>136</v>
      </c>
      <c r="M59">
        <v>79</v>
      </c>
      <c r="N59">
        <v>0.63</v>
      </c>
      <c r="O59">
        <f>IF(F59="Private room",1,0)</f>
        <v>1</v>
      </c>
      <c r="P59">
        <f>IF(C59="Manhattan",4,IF(C59="Brooklyn",2,0))</f>
        <v>4</v>
      </c>
      <c r="Q59" s="2">
        <v>126</v>
      </c>
      <c r="R59" s="1">
        <v>45747</v>
      </c>
      <c r="S59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96.990000000000009</v>
      </c>
    </row>
    <row r="60" spans="1:19" x14ac:dyDescent="0.3">
      <c r="A60" t="s">
        <v>183</v>
      </c>
      <c r="B60" t="s">
        <v>53</v>
      </c>
      <c r="C60" t="s">
        <v>20</v>
      </c>
      <c r="D60">
        <v>40.79495</v>
      </c>
      <c r="E60">
        <v>-73.972369999999998</v>
      </c>
      <c r="F60" t="s">
        <v>21</v>
      </c>
      <c r="G60">
        <v>2</v>
      </c>
      <c r="H60">
        <v>1</v>
      </c>
      <c r="I60">
        <v>1</v>
      </c>
      <c r="J60">
        <v>1</v>
      </c>
      <c r="K60">
        <v>30</v>
      </c>
      <c r="L60">
        <v>158</v>
      </c>
      <c r="M60">
        <v>99</v>
      </c>
      <c r="N60">
        <v>0.8</v>
      </c>
      <c r="O60">
        <f>IF(F60="Private room",1,0)</f>
        <v>0</v>
      </c>
      <c r="P60">
        <f>IF(C60="Manhattan",4,IF(C60="Brooklyn",2,0))</f>
        <v>4</v>
      </c>
      <c r="Q60" s="2">
        <v>160</v>
      </c>
      <c r="R60" s="1">
        <v>45747</v>
      </c>
      <c r="S60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158.39000000000004</v>
      </c>
    </row>
    <row r="61" spans="1:19" x14ac:dyDescent="0.3">
      <c r="A61" t="s">
        <v>184</v>
      </c>
      <c r="B61" t="s">
        <v>36</v>
      </c>
      <c r="C61" t="s">
        <v>20</v>
      </c>
      <c r="D61">
        <v>40.78248</v>
      </c>
      <c r="E61">
        <v>-73.946430000000007</v>
      </c>
      <c r="F61" t="s">
        <v>21</v>
      </c>
      <c r="G61">
        <v>3</v>
      </c>
      <c r="H61">
        <v>1</v>
      </c>
      <c r="I61">
        <v>0</v>
      </c>
      <c r="J61">
        <v>2</v>
      </c>
      <c r="K61">
        <v>30</v>
      </c>
      <c r="L61">
        <v>364</v>
      </c>
      <c r="M61">
        <v>26</v>
      </c>
      <c r="N61">
        <v>0.23</v>
      </c>
      <c r="O61">
        <f>IF(F61="Private room",1,0)</f>
        <v>0</v>
      </c>
      <c r="P61">
        <f>IF(C61="Manhattan",4,IF(C61="Brooklyn",2,0))</f>
        <v>4</v>
      </c>
      <c r="Q61" s="2">
        <v>114</v>
      </c>
      <c r="R61" s="1">
        <v>45722</v>
      </c>
      <c r="S61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169.13</v>
      </c>
    </row>
    <row r="62" spans="1:19" x14ac:dyDescent="0.3">
      <c r="A62" t="s">
        <v>186</v>
      </c>
      <c r="B62" t="s">
        <v>36</v>
      </c>
      <c r="C62" t="s">
        <v>20</v>
      </c>
      <c r="D62">
        <v>40.775039999999997</v>
      </c>
      <c r="E62">
        <v>-73.953569999999999</v>
      </c>
      <c r="F62" t="s">
        <v>21</v>
      </c>
      <c r="G62">
        <v>2</v>
      </c>
      <c r="H62">
        <v>1</v>
      </c>
      <c r="I62">
        <v>0</v>
      </c>
      <c r="J62">
        <v>1</v>
      </c>
      <c r="K62">
        <v>30</v>
      </c>
      <c r="L62">
        <v>337</v>
      </c>
      <c r="M62">
        <v>26</v>
      </c>
      <c r="N62">
        <v>0.21</v>
      </c>
      <c r="O62">
        <f>IF(F62="Private room",1,0)</f>
        <v>0</v>
      </c>
      <c r="P62">
        <f>IF(C62="Manhattan",4,IF(C62="Brooklyn",2,0))</f>
        <v>4</v>
      </c>
      <c r="Q62" s="2">
        <v>117</v>
      </c>
      <c r="R62" s="1">
        <v>45747</v>
      </c>
      <c r="S62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151.23000000000002</v>
      </c>
    </row>
    <row r="63" spans="1:19" x14ac:dyDescent="0.3">
      <c r="A63" t="s">
        <v>187</v>
      </c>
      <c r="B63" t="s">
        <v>36</v>
      </c>
      <c r="C63" t="s">
        <v>20</v>
      </c>
      <c r="D63">
        <v>40.760849999999998</v>
      </c>
      <c r="E63">
        <v>-73.960409999999996</v>
      </c>
      <c r="F63" t="s">
        <v>21</v>
      </c>
      <c r="G63">
        <v>3</v>
      </c>
      <c r="H63">
        <v>1</v>
      </c>
      <c r="I63">
        <v>1</v>
      </c>
      <c r="J63">
        <v>2</v>
      </c>
      <c r="K63">
        <v>30</v>
      </c>
      <c r="L63">
        <v>348</v>
      </c>
      <c r="M63">
        <v>17</v>
      </c>
      <c r="N63">
        <v>0.15</v>
      </c>
      <c r="O63">
        <f>IF(F63="Private room",1,0)</f>
        <v>0</v>
      </c>
      <c r="P63">
        <f>IF(C63="Manhattan",4,IF(C63="Brooklyn",2,0))</f>
        <v>4</v>
      </c>
      <c r="Q63" s="2">
        <v>219</v>
      </c>
      <c r="R63" s="1">
        <v>45718</v>
      </c>
      <c r="S63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169.77</v>
      </c>
    </row>
    <row r="64" spans="1:19" x14ac:dyDescent="0.3">
      <c r="A64" t="s">
        <v>188</v>
      </c>
      <c r="B64" t="s">
        <v>24</v>
      </c>
      <c r="C64" t="s">
        <v>20</v>
      </c>
      <c r="D64">
        <v>40.795189999999998</v>
      </c>
      <c r="E64">
        <v>-73.949879999999993</v>
      </c>
      <c r="F64" t="s">
        <v>18</v>
      </c>
      <c r="G64">
        <v>1</v>
      </c>
      <c r="H64">
        <v>10.5</v>
      </c>
      <c r="I64">
        <v>1</v>
      </c>
      <c r="J64">
        <v>1</v>
      </c>
      <c r="K64">
        <v>30</v>
      </c>
      <c r="L64">
        <v>243</v>
      </c>
      <c r="M64">
        <v>22</v>
      </c>
      <c r="N64">
        <v>0.19</v>
      </c>
      <c r="O64">
        <f>IF(F64="Private room",1,0)</f>
        <v>1</v>
      </c>
      <c r="P64">
        <f>IF(C64="Manhattan",4,IF(C64="Brooklyn",2,0))</f>
        <v>4</v>
      </c>
      <c r="Q64" s="2">
        <v>118</v>
      </c>
      <c r="R64" s="1">
        <v>45746</v>
      </c>
      <c r="S64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199.3</v>
      </c>
    </row>
    <row r="65" spans="1:19" x14ac:dyDescent="0.3">
      <c r="A65" t="s">
        <v>190</v>
      </c>
      <c r="B65" t="s">
        <v>33</v>
      </c>
      <c r="C65" t="s">
        <v>17</v>
      </c>
      <c r="D65">
        <v>40.682609999999997</v>
      </c>
      <c r="E65">
        <v>-73.977000000000004</v>
      </c>
      <c r="F65" t="s">
        <v>18</v>
      </c>
      <c r="G65">
        <v>2</v>
      </c>
      <c r="H65">
        <v>1</v>
      </c>
      <c r="I65">
        <v>1</v>
      </c>
      <c r="J65">
        <v>1</v>
      </c>
      <c r="K65">
        <v>30</v>
      </c>
      <c r="L65">
        <v>334</v>
      </c>
      <c r="M65">
        <v>13</v>
      </c>
      <c r="N65">
        <v>0.11</v>
      </c>
      <c r="O65">
        <f>IF(F65="Private room",1,0)</f>
        <v>1</v>
      </c>
      <c r="P65">
        <f>IF(C65="Manhattan",4,IF(C65="Brooklyn",2,0))</f>
        <v>2</v>
      </c>
      <c r="Q65" s="2">
        <v>89</v>
      </c>
      <c r="R65" s="1">
        <v>45745</v>
      </c>
      <c r="S65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77.590000000000032</v>
      </c>
    </row>
    <row r="66" spans="1:19" x14ac:dyDescent="0.3">
      <c r="A66" t="s">
        <v>191</v>
      </c>
      <c r="B66" t="s">
        <v>146</v>
      </c>
      <c r="C66" t="s">
        <v>91</v>
      </c>
      <c r="D66" s="3" t="s">
        <v>192</v>
      </c>
      <c r="E66">
        <v>-74.085579730547096</v>
      </c>
      <c r="F66" t="s">
        <v>18</v>
      </c>
      <c r="G66">
        <v>2</v>
      </c>
      <c r="H66">
        <v>1</v>
      </c>
      <c r="I66">
        <v>1</v>
      </c>
      <c r="J66">
        <v>1</v>
      </c>
      <c r="K66">
        <v>30</v>
      </c>
      <c r="L66">
        <v>49</v>
      </c>
      <c r="M66">
        <v>183</v>
      </c>
      <c r="N66">
        <v>1.52</v>
      </c>
      <c r="O66">
        <f>IF(F66="Private room",1,0)</f>
        <v>1</v>
      </c>
      <c r="P66">
        <f>IF(C66="Manhattan",4,IF(C66="Brooklyn",2,0))</f>
        <v>0</v>
      </c>
      <c r="Q66" s="2">
        <v>69</v>
      </c>
      <c r="R66" s="1">
        <v>45743</v>
      </c>
      <c r="S66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58.53000000000003</v>
      </c>
    </row>
    <row r="67" spans="1:19" x14ac:dyDescent="0.3">
      <c r="A67" t="s">
        <v>194</v>
      </c>
      <c r="B67" t="s">
        <v>41</v>
      </c>
      <c r="C67" t="s">
        <v>20</v>
      </c>
      <c r="D67" s="3" t="s">
        <v>195</v>
      </c>
      <c r="E67">
        <v>-73.985389709472599</v>
      </c>
      <c r="F67" t="s">
        <v>21</v>
      </c>
      <c r="G67">
        <v>2</v>
      </c>
      <c r="H67">
        <v>1</v>
      </c>
      <c r="I67">
        <v>1</v>
      </c>
      <c r="J67">
        <v>1</v>
      </c>
      <c r="K67">
        <v>30</v>
      </c>
      <c r="L67">
        <v>159</v>
      </c>
      <c r="M67">
        <v>24</v>
      </c>
      <c r="N67">
        <v>0.2</v>
      </c>
      <c r="O67">
        <f>IF(F67="Private room",1,0)</f>
        <v>0</v>
      </c>
      <c r="P67">
        <f>IF(C67="Manhattan",4,IF(C67="Brooklyn",2,0))</f>
        <v>4</v>
      </c>
      <c r="Q67" s="2">
        <v>163</v>
      </c>
      <c r="R67" s="1">
        <v>45728</v>
      </c>
      <c r="S67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158.35000000000002</v>
      </c>
    </row>
    <row r="68" spans="1:19" x14ac:dyDescent="0.3">
      <c r="A68" t="s">
        <v>198</v>
      </c>
      <c r="B68" t="s">
        <v>122</v>
      </c>
      <c r="C68" t="s">
        <v>17</v>
      </c>
      <c r="D68" s="3" t="s">
        <v>199</v>
      </c>
      <c r="E68">
        <v>-74.028968811035099</v>
      </c>
      <c r="F68" t="s">
        <v>18</v>
      </c>
      <c r="G68">
        <v>1</v>
      </c>
      <c r="H68">
        <v>1</v>
      </c>
      <c r="I68">
        <v>1</v>
      </c>
      <c r="J68">
        <v>1</v>
      </c>
      <c r="K68">
        <v>30</v>
      </c>
      <c r="L68">
        <v>296</v>
      </c>
      <c r="M68">
        <v>78</v>
      </c>
      <c r="N68">
        <v>0.65</v>
      </c>
      <c r="O68">
        <f>IF(F68="Private room",1,0)</f>
        <v>1</v>
      </c>
      <c r="P68">
        <f>IF(C68="Manhattan",4,IF(C68="Brooklyn",2,0))</f>
        <v>2</v>
      </c>
      <c r="Q68" s="2">
        <v>68</v>
      </c>
      <c r="R68" s="1">
        <v>45727</v>
      </c>
      <c r="S68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60.13</v>
      </c>
    </row>
    <row r="69" spans="1:19" x14ac:dyDescent="0.3">
      <c r="A69" t="s">
        <v>200</v>
      </c>
      <c r="B69" t="s">
        <v>26</v>
      </c>
      <c r="C69" t="s">
        <v>17</v>
      </c>
      <c r="D69">
        <v>40.68929</v>
      </c>
      <c r="E69">
        <v>-73.977590000000006</v>
      </c>
      <c r="F69" t="s">
        <v>21</v>
      </c>
      <c r="G69">
        <v>2</v>
      </c>
      <c r="H69">
        <v>1</v>
      </c>
      <c r="I69">
        <v>1</v>
      </c>
      <c r="J69">
        <v>1</v>
      </c>
      <c r="K69">
        <v>30</v>
      </c>
      <c r="L69">
        <v>229</v>
      </c>
      <c r="M69">
        <v>16</v>
      </c>
      <c r="N69">
        <v>0.26</v>
      </c>
      <c r="O69">
        <f>IF(F69="Private room",1,0)</f>
        <v>0</v>
      </c>
      <c r="P69">
        <f>IF(C69="Manhattan",4,IF(C69="Brooklyn",2,0))</f>
        <v>2</v>
      </c>
      <c r="Q69" s="2">
        <v>252</v>
      </c>
      <c r="R69" s="1">
        <v>45720</v>
      </c>
      <c r="S69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125.09000000000003</v>
      </c>
    </row>
    <row r="70" spans="1:19" x14ac:dyDescent="0.3">
      <c r="A70" t="s">
        <v>203</v>
      </c>
      <c r="B70" t="s">
        <v>53</v>
      </c>
      <c r="C70" t="s">
        <v>20</v>
      </c>
      <c r="D70">
        <v>40.779339999999998</v>
      </c>
      <c r="E70">
        <v>-73.976529999999997</v>
      </c>
      <c r="F70" t="s">
        <v>18</v>
      </c>
      <c r="G70">
        <v>1</v>
      </c>
      <c r="H70">
        <v>1</v>
      </c>
      <c r="I70">
        <v>1</v>
      </c>
      <c r="J70">
        <v>1</v>
      </c>
      <c r="K70">
        <v>30</v>
      </c>
      <c r="L70">
        <v>209</v>
      </c>
      <c r="M70">
        <v>36</v>
      </c>
      <c r="N70">
        <v>1.07</v>
      </c>
      <c r="O70">
        <f>IF(F70="Private room",1,0)</f>
        <v>1</v>
      </c>
      <c r="P70">
        <f>IF(C70="Manhattan",4,IF(C70="Brooklyn",2,0))</f>
        <v>4</v>
      </c>
      <c r="Q70" s="2">
        <v>100</v>
      </c>
      <c r="R70" s="1">
        <v>45731</v>
      </c>
      <c r="S70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94.070000000000007</v>
      </c>
    </row>
    <row r="71" spans="1:19" x14ac:dyDescent="0.3">
      <c r="A71" t="s">
        <v>204</v>
      </c>
      <c r="B71" t="s">
        <v>76</v>
      </c>
      <c r="C71" t="s">
        <v>17</v>
      </c>
      <c r="D71">
        <v>40.596380000000003</v>
      </c>
      <c r="E71">
        <v>-73.972989999999996</v>
      </c>
      <c r="F71" t="s">
        <v>21</v>
      </c>
      <c r="G71">
        <v>4</v>
      </c>
      <c r="H71">
        <v>1</v>
      </c>
      <c r="I71">
        <v>2</v>
      </c>
      <c r="J71">
        <v>2</v>
      </c>
      <c r="K71">
        <v>30</v>
      </c>
      <c r="L71">
        <v>149</v>
      </c>
      <c r="M71">
        <v>335</v>
      </c>
      <c r="N71">
        <v>2.83</v>
      </c>
      <c r="O71">
        <f>IF(F71="Private room",1,0)</f>
        <v>0</v>
      </c>
      <c r="P71">
        <f>IF(C71="Manhattan",4,IF(C71="Brooklyn",2,0))</f>
        <v>2</v>
      </c>
      <c r="Q71" s="2">
        <v>76</v>
      </c>
      <c r="R71" s="1">
        <v>45738</v>
      </c>
      <c r="S71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166.25000000000003</v>
      </c>
    </row>
    <row r="72" spans="1:19" x14ac:dyDescent="0.3">
      <c r="A72" t="s">
        <v>206</v>
      </c>
      <c r="B72" t="s">
        <v>33</v>
      </c>
      <c r="C72" t="s">
        <v>17</v>
      </c>
      <c r="D72">
        <v>40.673819999999999</v>
      </c>
      <c r="E72">
        <v>-73.97757</v>
      </c>
      <c r="F72" t="s">
        <v>18</v>
      </c>
      <c r="G72">
        <v>2</v>
      </c>
      <c r="H72">
        <v>1</v>
      </c>
      <c r="I72">
        <v>1</v>
      </c>
      <c r="J72">
        <v>1</v>
      </c>
      <c r="K72">
        <v>30</v>
      </c>
      <c r="L72">
        <v>155</v>
      </c>
      <c r="M72">
        <v>233</v>
      </c>
      <c r="N72">
        <v>1.98</v>
      </c>
      <c r="O72">
        <f>IF(F72="Private room",1,0)</f>
        <v>1</v>
      </c>
      <c r="P72">
        <f>IF(C72="Manhattan",4,IF(C72="Brooklyn",2,0))</f>
        <v>2</v>
      </c>
      <c r="Q72" s="2">
        <v>173</v>
      </c>
      <c r="R72" s="1">
        <v>45732</v>
      </c>
      <c r="S72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84.750000000000028</v>
      </c>
    </row>
    <row r="73" spans="1:19" x14ac:dyDescent="0.3">
      <c r="A73" t="s">
        <v>208</v>
      </c>
      <c r="B73" t="s">
        <v>70</v>
      </c>
      <c r="C73" t="s">
        <v>17</v>
      </c>
      <c r="D73">
        <v>40.703049999999998</v>
      </c>
      <c r="E73">
        <v>-73.983680000000007</v>
      </c>
      <c r="F73" t="s">
        <v>21</v>
      </c>
      <c r="G73">
        <v>2</v>
      </c>
      <c r="H73">
        <v>1</v>
      </c>
      <c r="I73">
        <v>1</v>
      </c>
      <c r="J73">
        <v>1</v>
      </c>
      <c r="K73">
        <v>30</v>
      </c>
      <c r="L73">
        <v>237</v>
      </c>
      <c r="M73">
        <v>44</v>
      </c>
      <c r="N73">
        <v>0.37</v>
      </c>
      <c r="O73">
        <f>IF(F73="Private room",1,0)</f>
        <v>0</v>
      </c>
      <c r="P73">
        <f>IF(C73="Manhattan",4,IF(C73="Brooklyn",2,0))</f>
        <v>2</v>
      </c>
      <c r="Q73" s="2">
        <v>191</v>
      </c>
      <c r="R73" s="1">
        <v>45747</v>
      </c>
      <c r="S73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124.77000000000001</v>
      </c>
    </row>
    <row r="74" spans="1:19" x14ac:dyDescent="0.3">
      <c r="A74" t="s">
        <v>209</v>
      </c>
      <c r="B74" t="s">
        <v>26</v>
      </c>
      <c r="C74" t="s">
        <v>17</v>
      </c>
      <c r="D74">
        <v>40.68929</v>
      </c>
      <c r="E74">
        <v>-73.977590000000006</v>
      </c>
      <c r="F74" t="s">
        <v>21</v>
      </c>
      <c r="G74">
        <v>2</v>
      </c>
      <c r="H74">
        <v>1</v>
      </c>
      <c r="I74">
        <v>0</v>
      </c>
      <c r="J74">
        <v>2</v>
      </c>
      <c r="K74">
        <v>30</v>
      </c>
      <c r="L74">
        <v>333</v>
      </c>
      <c r="M74">
        <v>42</v>
      </c>
      <c r="N74">
        <v>0.39</v>
      </c>
      <c r="O74">
        <f>IF(F74="Private room",1,0)</f>
        <v>0</v>
      </c>
      <c r="P74">
        <f>IF(C74="Manhattan",4,IF(C74="Brooklyn",2,0))</f>
        <v>2</v>
      </c>
      <c r="Q74" s="2">
        <v>158</v>
      </c>
      <c r="R74" s="1">
        <v>45745</v>
      </c>
      <c r="S74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120.93000000000004</v>
      </c>
    </row>
    <row r="75" spans="1:19" x14ac:dyDescent="0.3">
      <c r="A75" t="s">
        <v>210</v>
      </c>
      <c r="B75" t="s">
        <v>58</v>
      </c>
      <c r="C75" t="s">
        <v>17</v>
      </c>
      <c r="D75">
        <v>40.670769999999997</v>
      </c>
      <c r="E75">
        <v>-73.989189999999994</v>
      </c>
      <c r="F75" t="s">
        <v>21</v>
      </c>
      <c r="G75">
        <v>4</v>
      </c>
      <c r="H75">
        <v>1</v>
      </c>
      <c r="I75">
        <v>2</v>
      </c>
      <c r="J75">
        <v>2</v>
      </c>
      <c r="K75">
        <v>30</v>
      </c>
      <c r="L75">
        <v>324</v>
      </c>
      <c r="M75">
        <v>233</v>
      </c>
      <c r="N75">
        <v>1.96</v>
      </c>
      <c r="O75">
        <f>IF(F75="Private room",1,0)</f>
        <v>0</v>
      </c>
      <c r="P75">
        <f>IF(C75="Manhattan",4,IF(C75="Brooklyn",2,0))</f>
        <v>2</v>
      </c>
      <c r="Q75" s="2">
        <v>197</v>
      </c>
      <c r="R75" s="1">
        <v>45725</v>
      </c>
      <c r="S75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159.25000000000003</v>
      </c>
    </row>
    <row r="76" spans="1:19" x14ac:dyDescent="0.3">
      <c r="A76" t="s">
        <v>211</v>
      </c>
      <c r="B76" t="s">
        <v>56</v>
      </c>
      <c r="C76" t="s">
        <v>17</v>
      </c>
      <c r="D76">
        <v>40.664929999999998</v>
      </c>
      <c r="E76">
        <v>-73.955430000000007</v>
      </c>
      <c r="F76" t="s">
        <v>21</v>
      </c>
      <c r="G76">
        <v>2</v>
      </c>
      <c r="H76">
        <v>1</v>
      </c>
      <c r="I76">
        <v>1</v>
      </c>
      <c r="J76">
        <v>1</v>
      </c>
      <c r="K76">
        <v>30</v>
      </c>
      <c r="L76">
        <v>303</v>
      </c>
      <c r="M76">
        <v>110</v>
      </c>
      <c r="N76">
        <v>0.95</v>
      </c>
      <c r="O76">
        <f>IF(F76="Private room",1,0)</f>
        <v>0</v>
      </c>
      <c r="P76">
        <f>IF(C76="Manhattan",4,IF(C76="Brooklyn",2,0))</f>
        <v>2</v>
      </c>
      <c r="Q76" s="2">
        <v>110</v>
      </c>
      <c r="R76" s="1">
        <v>45732</v>
      </c>
      <c r="S76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122.13000000000002</v>
      </c>
    </row>
    <row r="77" spans="1:19" x14ac:dyDescent="0.3">
      <c r="A77" t="s">
        <v>212</v>
      </c>
      <c r="B77" t="s">
        <v>68</v>
      </c>
      <c r="C77" t="s">
        <v>20</v>
      </c>
      <c r="D77">
        <v>40.833210000000001</v>
      </c>
      <c r="E77">
        <v>-73.942599999999999</v>
      </c>
      <c r="F77" t="s">
        <v>18</v>
      </c>
      <c r="G77">
        <v>2</v>
      </c>
      <c r="H77">
        <v>1</v>
      </c>
      <c r="I77">
        <v>1</v>
      </c>
      <c r="J77">
        <v>1</v>
      </c>
      <c r="K77">
        <v>30</v>
      </c>
      <c r="L77">
        <v>74</v>
      </c>
      <c r="M77">
        <v>17</v>
      </c>
      <c r="N77">
        <v>0.14000000000000001</v>
      </c>
      <c r="O77">
        <f>IF(F77="Private room",1,0)</f>
        <v>1</v>
      </c>
      <c r="P77">
        <f>IF(C77="Manhattan",4,IF(C77="Brooklyn",2,0))</f>
        <v>4</v>
      </c>
      <c r="Q77" s="2">
        <v>62</v>
      </c>
      <c r="R77" s="1">
        <v>45730</v>
      </c>
      <c r="S77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118.45000000000003</v>
      </c>
    </row>
    <row r="78" spans="1:19" x14ac:dyDescent="0.3">
      <c r="A78" t="s">
        <v>213</v>
      </c>
      <c r="B78" t="s">
        <v>207</v>
      </c>
      <c r="C78" t="s">
        <v>31</v>
      </c>
      <c r="D78">
        <v>40.813980000000001</v>
      </c>
      <c r="E78">
        <v>-73.887510000000006</v>
      </c>
      <c r="F78" t="s">
        <v>18</v>
      </c>
      <c r="G78">
        <v>2</v>
      </c>
      <c r="H78">
        <v>1</v>
      </c>
      <c r="I78">
        <v>1</v>
      </c>
      <c r="J78">
        <v>2</v>
      </c>
      <c r="K78">
        <v>30</v>
      </c>
      <c r="L78">
        <v>326</v>
      </c>
      <c r="M78">
        <v>36</v>
      </c>
      <c r="N78">
        <v>0.31</v>
      </c>
      <c r="O78">
        <f>IF(F78="Private room",1,0)</f>
        <v>1</v>
      </c>
      <c r="P78">
        <f>IF(C78="Manhattan",4,IF(C78="Brooklyn",2,0))</f>
        <v>0</v>
      </c>
      <c r="Q78" s="2">
        <v>50</v>
      </c>
      <c r="R78" s="1">
        <v>45738</v>
      </c>
      <c r="S78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47.450000000000017</v>
      </c>
    </row>
    <row r="79" spans="1:19" x14ac:dyDescent="0.3">
      <c r="A79" t="s">
        <v>214</v>
      </c>
      <c r="B79" t="s">
        <v>65</v>
      </c>
      <c r="C79" t="s">
        <v>17</v>
      </c>
      <c r="D79">
        <v>40.68826</v>
      </c>
      <c r="E79">
        <v>-73.985579999999999</v>
      </c>
      <c r="F79" t="s">
        <v>21</v>
      </c>
      <c r="G79">
        <v>4</v>
      </c>
      <c r="H79">
        <v>1</v>
      </c>
      <c r="I79">
        <v>0</v>
      </c>
      <c r="J79">
        <v>2</v>
      </c>
      <c r="K79">
        <v>30</v>
      </c>
      <c r="L79">
        <v>333</v>
      </c>
      <c r="M79">
        <v>23</v>
      </c>
      <c r="N79">
        <v>0.23</v>
      </c>
      <c r="O79">
        <f>IF(F79="Private room",1,0)</f>
        <v>0</v>
      </c>
      <c r="P79">
        <f>IF(C79="Manhattan",4,IF(C79="Brooklyn",2,0))</f>
        <v>2</v>
      </c>
      <c r="Q79" s="2">
        <v>106</v>
      </c>
      <c r="R79" s="1">
        <v>45745</v>
      </c>
      <c r="S79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158.89000000000004</v>
      </c>
    </row>
    <row r="80" spans="1:19" x14ac:dyDescent="0.3">
      <c r="A80" t="s">
        <v>215</v>
      </c>
      <c r="B80" t="s">
        <v>36</v>
      </c>
      <c r="C80" t="s">
        <v>20</v>
      </c>
      <c r="D80">
        <v>40.763390000000001</v>
      </c>
      <c r="E80">
        <v>-73.967389999999995</v>
      </c>
      <c r="F80" t="s">
        <v>18</v>
      </c>
      <c r="G80">
        <v>1</v>
      </c>
      <c r="H80">
        <v>1</v>
      </c>
      <c r="I80">
        <v>1</v>
      </c>
      <c r="J80">
        <v>1</v>
      </c>
      <c r="K80">
        <v>30</v>
      </c>
      <c r="L80">
        <v>250</v>
      </c>
      <c r="M80">
        <v>302</v>
      </c>
      <c r="N80">
        <v>2.57</v>
      </c>
      <c r="O80">
        <f>IF(F80="Private room",1,0)</f>
        <v>1</v>
      </c>
      <c r="P80">
        <f>IF(C80="Manhattan",4,IF(C80="Brooklyn",2,0))</f>
        <v>4</v>
      </c>
      <c r="Q80" s="2">
        <v>101</v>
      </c>
      <c r="R80" s="1">
        <v>45726</v>
      </c>
      <c r="S80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92.43</v>
      </c>
    </row>
    <row r="81" spans="1:19" x14ac:dyDescent="0.3">
      <c r="A81" t="s">
        <v>216</v>
      </c>
      <c r="B81" t="s">
        <v>61</v>
      </c>
      <c r="C81" t="s">
        <v>30</v>
      </c>
      <c r="D81">
        <v>40.756529999999998</v>
      </c>
      <c r="E81">
        <v>-73.925150000000002</v>
      </c>
      <c r="F81" t="s">
        <v>21</v>
      </c>
      <c r="G81">
        <v>7</v>
      </c>
      <c r="H81">
        <v>1</v>
      </c>
      <c r="I81">
        <v>2</v>
      </c>
      <c r="J81">
        <v>2</v>
      </c>
      <c r="K81">
        <v>30</v>
      </c>
      <c r="L81">
        <v>323</v>
      </c>
      <c r="M81">
        <v>251</v>
      </c>
      <c r="N81">
        <v>2.2000000000000002</v>
      </c>
      <c r="O81">
        <f>IF(F81="Private room",1,0)</f>
        <v>0</v>
      </c>
      <c r="P81">
        <f>IF(C81="Manhattan",4,IF(C81="Brooklyn",2,0))</f>
        <v>0</v>
      </c>
      <c r="Q81" s="2">
        <v>112</v>
      </c>
      <c r="R81" s="1">
        <v>45723</v>
      </c>
      <c r="S81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185.77000000000007</v>
      </c>
    </row>
    <row r="82" spans="1:19" x14ac:dyDescent="0.3">
      <c r="A82" t="s">
        <v>218</v>
      </c>
      <c r="B82" t="s">
        <v>23</v>
      </c>
      <c r="C82" t="s">
        <v>17</v>
      </c>
      <c r="D82">
        <v>40.71313</v>
      </c>
      <c r="E82">
        <v>-73.961939999999998</v>
      </c>
      <c r="F82" t="s">
        <v>21</v>
      </c>
      <c r="G82">
        <v>4</v>
      </c>
      <c r="H82">
        <v>1</v>
      </c>
      <c r="I82">
        <v>2</v>
      </c>
      <c r="J82">
        <v>2</v>
      </c>
      <c r="K82">
        <v>30</v>
      </c>
      <c r="L82">
        <v>147</v>
      </c>
      <c r="M82">
        <v>7</v>
      </c>
      <c r="N82">
        <v>0.12</v>
      </c>
      <c r="O82">
        <f>IF(F82="Private room",1,0)</f>
        <v>0</v>
      </c>
      <c r="P82">
        <f>IF(C82="Manhattan",4,IF(C82="Brooklyn",2,0))</f>
        <v>2</v>
      </c>
      <c r="Q82" s="2">
        <v>325</v>
      </c>
      <c r="R82" s="1">
        <v>45745</v>
      </c>
      <c r="S82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166.33000000000004</v>
      </c>
    </row>
    <row r="83" spans="1:19" x14ac:dyDescent="0.3">
      <c r="A83" t="s">
        <v>220</v>
      </c>
      <c r="B83" t="s">
        <v>56</v>
      </c>
      <c r="C83" t="s">
        <v>17</v>
      </c>
      <c r="D83" s="3" t="s">
        <v>221</v>
      </c>
      <c r="E83">
        <v>-73.933381618051996</v>
      </c>
      <c r="F83" t="s">
        <v>21</v>
      </c>
      <c r="G83">
        <v>6</v>
      </c>
      <c r="H83">
        <v>1</v>
      </c>
      <c r="I83">
        <v>2</v>
      </c>
      <c r="J83">
        <v>3</v>
      </c>
      <c r="K83">
        <v>30</v>
      </c>
      <c r="L83">
        <v>285</v>
      </c>
      <c r="M83">
        <v>178</v>
      </c>
      <c r="N83">
        <v>1.53</v>
      </c>
      <c r="O83">
        <f>IF(F83="Private room",1,0)</f>
        <v>0</v>
      </c>
      <c r="P83">
        <f>IF(C83="Manhattan",4,IF(C83="Brooklyn",2,0))</f>
        <v>2</v>
      </c>
      <c r="Q83" s="2">
        <v>125</v>
      </c>
      <c r="R83" s="1">
        <v>45746</v>
      </c>
      <c r="S83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198.77000000000004</v>
      </c>
    </row>
    <row r="84" spans="1:19" x14ac:dyDescent="0.3">
      <c r="A84" t="s">
        <v>222</v>
      </c>
      <c r="B84" t="s">
        <v>67</v>
      </c>
      <c r="C84" t="s">
        <v>17</v>
      </c>
      <c r="D84">
        <v>40.696930000000002</v>
      </c>
      <c r="E84">
        <v>-73.911529999999999</v>
      </c>
      <c r="F84" t="s">
        <v>21</v>
      </c>
      <c r="G84">
        <v>5</v>
      </c>
      <c r="H84">
        <v>1</v>
      </c>
      <c r="I84">
        <v>2</v>
      </c>
      <c r="J84">
        <v>2</v>
      </c>
      <c r="K84">
        <v>30</v>
      </c>
      <c r="L84">
        <v>228</v>
      </c>
      <c r="M84">
        <v>77</v>
      </c>
      <c r="N84">
        <v>0.7</v>
      </c>
      <c r="O84">
        <f>IF(F84="Private room",1,0)</f>
        <v>0</v>
      </c>
      <c r="P84">
        <f>IF(C84="Manhattan",4,IF(C84="Brooklyn",2,0))</f>
        <v>2</v>
      </c>
      <c r="Q84" s="2">
        <v>140</v>
      </c>
      <c r="R84" s="1">
        <v>45740</v>
      </c>
      <c r="S84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182.07000000000002</v>
      </c>
    </row>
    <row r="85" spans="1:19" x14ac:dyDescent="0.3">
      <c r="A85" t="s">
        <v>223</v>
      </c>
      <c r="B85" t="s">
        <v>43</v>
      </c>
      <c r="C85" t="s">
        <v>20</v>
      </c>
      <c r="D85">
        <v>40.713290000000001</v>
      </c>
      <c r="E85">
        <v>-73.986199999999997</v>
      </c>
      <c r="F85" t="s">
        <v>18</v>
      </c>
      <c r="G85">
        <v>1</v>
      </c>
      <c r="H85">
        <v>1</v>
      </c>
      <c r="I85">
        <v>1</v>
      </c>
      <c r="J85">
        <v>1</v>
      </c>
      <c r="K85">
        <v>30</v>
      </c>
      <c r="L85">
        <v>54</v>
      </c>
      <c r="M85">
        <v>248</v>
      </c>
      <c r="N85">
        <v>2.13</v>
      </c>
      <c r="O85">
        <f>IF(F85="Private room",1,0)</f>
        <v>1</v>
      </c>
      <c r="P85">
        <f>IF(C85="Manhattan",4,IF(C85="Brooklyn",2,0))</f>
        <v>4</v>
      </c>
      <c r="Q85" s="2">
        <v>59</v>
      </c>
      <c r="R85" s="1">
        <v>45738</v>
      </c>
      <c r="S85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100.27000000000001</v>
      </c>
    </row>
    <row r="86" spans="1:19" x14ac:dyDescent="0.3">
      <c r="A86" t="s">
        <v>225</v>
      </c>
      <c r="B86" t="s">
        <v>22</v>
      </c>
      <c r="C86" t="s">
        <v>17</v>
      </c>
      <c r="D86">
        <v>40.665050000000001</v>
      </c>
      <c r="E86">
        <v>-73.994</v>
      </c>
      <c r="F86" t="s">
        <v>21</v>
      </c>
      <c r="G86">
        <v>4</v>
      </c>
      <c r="H86">
        <v>2</v>
      </c>
      <c r="I86">
        <v>2</v>
      </c>
      <c r="J86">
        <v>2</v>
      </c>
      <c r="K86">
        <v>30</v>
      </c>
      <c r="L86">
        <v>335</v>
      </c>
      <c r="M86">
        <v>16</v>
      </c>
      <c r="N86">
        <v>0.21</v>
      </c>
      <c r="O86">
        <f>IF(F86="Private room",1,0)</f>
        <v>0</v>
      </c>
      <c r="P86">
        <f>IF(C86="Manhattan",4,IF(C86="Brooklyn",2,0))</f>
        <v>2</v>
      </c>
      <c r="Q86" s="2">
        <v>135</v>
      </c>
      <c r="R86" s="1">
        <v>45747</v>
      </c>
      <c r="S86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170.03000000000003</v>
      </c>
    </row>
    <row r="87" spans="1:19" x14ac:dyDescent="0.3">
      <c r="A87" t="s">
        <v>226</v>
      </c>
      <c r="B87" t="s">
        <v>23</v>
      </c>
      <c r="C87" t="s">
        <v>17</v>
      </c>
      <c r="D87">
        <v>40.708120000000001</v>
      </c>
      <c r="E87">
        <v>-73.943820000000002</v>
      </c>
      <c r="F87" t="s">
        <v>18</v>
      </c>
      <c r="G87">
        <v>2</v>
      </c>
      <c r="H87">
        <v>1</v>
      </c>
      <c r="I87">
        <v>2</v>
      </c>
      <c r="J87">
        <v>2</v>
      </c>
      <c r="K87">
        <v>4</v>
      </c>
      <c r="L87">
        <v>136</v>
      </c>
      <c r="M87">
        <v>324</v>
      </c>
      <c r="N87">
        <v>2.82</v>
      </c>
      <c r="O87">
        <f>IF(F87="Private room",1,0)</f>
        <v>1</v>
      </c>
      <c r="P87">
        <f>IF(C87="Manhattan",4,IF(C87="Brooklyn",2,0))</f>
        <v>2</v>
      </c>
      <c r="Q87" s="2">
        <v>170</v>
      </c>
      <c r="R87" s="1">
        <v>45741</v>
      </c>
      <c r="S87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172.61000000000004</v>
      </c>
    </row>
    <row r="88" spans="1:19" x14ac:dyDescent="0.3">
      <c r="A88" t="s">
        <v>227</v>
      </c>
      <c r="B88" t="s">
        <v>28</v>
      </c>
      <c r="C88" t="s">
        <v>20</v>
      </c>
      <c r="D88" s="3" t="s">
        <v>228</v>
      </c>
      <c r="E88">
        <v>-73.9416764393264</v>
      </c>
      <c r="F88" t="s">
        <v>18</v>
      </c>
      <c r="G88">
        <v>2</v>
      </c>
      <c r="H88">
        <v>1</v>
      </c>
      <c r="I88">
        <v>1</v>
      </c>
      <c r="J88">
        <v>1</v>
      </c>
      <c r="K88">
        <v>5</v>
      </c>
      <c r="L88">
        <v>121</v>
      </c>
      <c r="M88">
        <v>142</v>
      </c>
      <c r="N88">
        <v>1.24</v>
      </c>
      <c r="O88">
        <f>IF(F88="Private room",1,0)</f>
        <v>1</v>
      </c>
      <c r="P88">
        <f>IF(C88="Manhattan",4,IF(C88="Brooklyn",2,0))</f>
        <v>4</v>
      </c>
      <c r="Q88" s="2">
        <v>127</v>
      </c>
      <c r="R88" s="1">
        <v>45747</v>
      </c>
      <c r="S88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200.32000000000005</v>
      </c>
    </row>
    <row r="89" spans="1:19" x14ac:dyDescent="0.3">
      <c r="A89" t="s">
        <v>229</v>
      </c>
      <c r="B89" t="s">
        <v>41</v>
      </c>
      <c r="C89" t="s">
        <v>20</v>
      </c>
      <c r="D89">
        <v>40.723370000000003</v>
      </c>
      <c r="E89">
        <v>-73.979439999999997</v>
      </c>
      <c r="F89" t="s">
        <v>18</v>
      </c>
      <c r="G89">
        <v>2</v>
      </c>
      <c r="H89">
        <v>1</v>
      </c>
      <c r="I89">
        <v>1</v>
      </c>
      <c r="J89">
        <v>1</v>
      </c>
      <c r="K89">
        <v>30</v>
      </c>
      <c r="L89">
        <v>104</v>
      </c>
      <c r="M89">
        <v>117</v>
      </c>
      <c r="N89">
        <v>1.02</v>
      </c>
      <c r="O89">
        <f>IF(F89="Private room",1,0)</f>
        <v>1</v>
      </c>
      <c r="P89">
        <f>IF(C89="Manhattan",4,IF(C89="Brooklyn",2,0))</f>
        <v>4</v>
      </c>
      <c r="Q89" s="2">
        <v>90</v>
      </c>
      <c r="R89" s="1">
        <v>45745</v>
      </c>
      <c r="S89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117.25000000000003</v>
      </c>
    </row>
    <row r="90" spans="1:19" x14ac:dyDescent="0.3">
      <c r="A90" t="s">
        <v>231</v>
      </c>
      <c r="B90" t="s">
        <v>113</v>
      </c>
      <c r="C90" t="s">
        <v>30</v>
      </c>
      <c r="D90">
        <v>40.765810000000002</v>
      </c>
      <c r="E90">
        <v>-73.805689999999998</v>
      </c>
      <c r="F90" t="s">
        <v>18</v>
      </c>
      <c r="G90">
        <v>1</v>
      </c>
      <c r="H90">
        <v>1</v>
      </c>
      <c r="I90">
        <v>1</v>
      </c>
      <c r="J90">
        <v>1</v>
      </c>
      <c r="K90">
        <v>30</v>
      </c>
      <c r="L90">
        <v>284</v>
      </c>
      <c r="M90">
        <v>13</v>
      </c>
      <c r="N90">
        <v>0.12</v>
      </c>
      <c r="O90">
        <f>IF(F90="Private room",1,0)</f>
        <v>1</v>
      </c>
      <c r="P90">
        <f>IF(C90="Manhattan",4,IF(C90="Brooklyn",2,0))</f>
        <v>0</v>
      </c>
      <c r="Q90" s="2">
        <v>64</v>
      </c>
      <c r="R90" s="1">
        <v>45720</v>
      </c>
      <c r="S90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30.150000000000006</v>
      </c>
    </row>
    <row r="91" spans="1:19" x14ac:dyDescent="0.3">
      <c r="A91" t="s">
        <v>232</v>
      </c>
      <c r="B91" t="s">
        <v>27</v>
      </c>
      <c r="C91" t="s">
        <v>17</v>
      </c>
      <c r="D91">
        <v>40.681820000000002</v>
      </c>
      <c r="E91">
        <v>-73.938100000000006</v>
      </c>
      <c r="F91" t="s">
        <v>21</v>
      </c>
      <c r="G91">
        <v>2</v>
      </c>
      <c r="H91">
        <v>1</v>
      </c>
      <c r="I91">
        <v>1</v>
      </c>
      <c r="J91">
        <v>2</v>
      </c>
      <c r="K91">
        <v>30</v>
      </c>
      <c r="L91">
        <v>32</v>
      </c>
      <c r="M91">
        <v>125</v>
      </c>
      <c r="N91">
        <v>1.0900000000000001</v>
      </c>
      <c r="O91">
        <f>IF(F91="Private room",1,0)</f>
        <v>0</v>
      </c>
      <c r="P91">
        <f>IF(C91="Manhattan",4,IF(C91="Brooklyn",2,0))</f>
        <v>2</v>
      </c>
      <c r="Q91" s="2">
        <v>81</v>
      </c>
      <c r="R91" s="1">
        <v>45747</v>
      </c>
      <c r="S91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132.97000000000003</v>
      </c>
    </row>
    <row r="92" spans="1:19" x14ac:dyDescent="0.3">
      <c r="A92" t="s">
        <v>233</v>
      </c>
      <c r="B92" t="s">
        <v>27</v>
      </c>
      <c r="C92" t="s">
        <v>17</v>
      </c>
      <c r="D92">
        <v>40.682899999999997</v>
      </c>
      <c r="E92">
        <v>-73.939800000000005</v>
      </c>
      <c r="F92" t="s">
        <v>18</v>
      </c>
      <c r="G92">
        <v>2</v>
      </c>
      <c r="H92">
        <v>1.5</v>
      </c>
      <c r="I92">
        <v>1</v>
      </c>
      <c r="J92">
        <v>2</v>
      </c>
      <c r="K92">
        <v>30</v>
      </c>
      <c r="L92">
        <v>242</v>
      </c>
      <c r="M92">
        <v>43</v>
      </c>
      <c r="N92">
        <v>0.4</v>
      </c>
      <c r="O92">
        <f>IF(F92="Private room",1,0)</f>
        <v>1</v>
      </c>
      <c r="P92">
        <f>IF(C92="Manhattan",4,IF(C92="Brooklyn",2,0))</f>
        <v>2</v>
      </c>
      <c r="Q92" s="2">
        <v>58</v>
      </c>
      <c r="R92" s="1">
        <v>45718</v>
      </c>
      <c r="S92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86.880000000000024</v>
      </c>
    </row>
    <row r="93" spans="1:19" x14ac:dyDescent="0.3">
      <c r="A93" t="s">
        <v>234</v>
      </c>
      <c r="B93" t="s">
        <v>64</v>
      </c>
      <c r="C93" t="s">
        <v>17</v>
      </c>
      <c r="D93">
        <v>40.675649999999997</v>
      </c>
      <c r="E93">
        <v>-73.964309999999998</v>
      </c>
      <c r="F93" t="s">
        <v>21</v>
      </c>
      <c r="G93">
        <v>2</v>
      </c>
      <c r="H93">
        <v>1</v>
      </c>
      <c r="I93">
        <v>2</v>
      </c>
      <c r="J93">
        <v>2</v>
      </c>
      <c r="K93">
        <v>30</v>
      </c>
      <c r="L93">
        <v>113</v>
      </c>
      <c r="M93">
        <v>24</v>
      </c>
      <c r="N93">
        <v>0.22</v>
      </c>
      <c r="O93">
        <f>IF(F93="Private room",1,0)</f>
        <v>0</v>
      </c>
      <c r="P93">
        <f>IF(C93="Manhattan",4,IF(C93="Brooklyn",2,0))</f>
        <v>2</v>
      </c>
      <c r="Q93" s="2">
        <v>145</v>
      </c>
      <c r="R93" s="1">
        <v>45724</v>
      </c>
      <c r="S93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129.73000000000002</v>
      </c>
    </row>
    <row r="94" spans="1:19" x14ac:dyDescent="0.3">
      <c r="A94" t="s">
        <v>235</v>
      </c>
      <c r="B94" t="s">
        <v>27</v>
      </c>
      <c r="C94" t="s">
        <v>17</v>
      </c>
      <c r="D94">
        <v>40.680990000000001</v>
      </c>
      <c r="E94">
        <v>-73.912390000000002</v>
      </c>
      <c r="F94" t="s">
        <v>21</v>
      </c>
      <c r="G94">
        <v>2</v>
      </c>
      <c r="H94">
        <v>1</v>
      </c>
      <c r="I94">
        <v>1</v>
      </c>
      <c r="J94">
        <v>2</v>
      </c>
      <c r="K94">
        <v>30</v>
      </c>
      <c r="L94">
        <v>243</v>
      </c>
      <c r="M94">
        <v>304</v>
      </c>
      <c r="N94">
        <v>2.7</v>
      </c>
      <c r="O94">
        <f>IF(F94="Private room",1,0)</f>
        <v>0</v>
      </c>
      <c r="P94">
        <f>IF(C94="Manhattan",4,IF(C94="Brooklyn",2,0))</f>
        <v>2</v>
      </c>
      <c r="Q94" s="2">
        <v>65</v>
      </c>
      <c r="R94" s="1">
        <v>45744</v>
      </c>
      <c r="S94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124.53000000000003</v>
      </c>
    </row>
    <row r="95" spans="1:19" x14ac:dyDescent="0.3">
      <c r="A95" t="s">
        <v>237</v>
      </c>
      <c r="B95" t="s">
        <v>38</v>
      </c>
      <c r="C95" t="s">
        <v>20</v>
      </c>
      <c r="D95">
        <v>40.764290000000003</v>
      </c>
      <c r="E95">
        <v>-73.994860000000003</v>
      </c>
      <c r="F95" t="s">
        <v>21</v>
      </c>
      <c r="G95">
        <v>3</v>
      </c>
      <c r="H95">
        <v>1</v>
      </c>
      <c r="I95">
        <v>0</v>
      </c>
      <c r="J95">
        <v>1</v>
      </c>
      <c r="K95">
        <v>30</v>
      </c>
      <c r="L95">
        <v>335</v>
      </c>
      <c r="M95">
        <v>19</v>
      </c>
      <c r="N95">
        <v>0.17</v>
      </c>
      <c r="O95">
        <f>IF(F95="Private room",1,0)</f>
        <v>0</v>
      </c>
      <c r="P95">
        <f>IF(C95="Manhattan",4,IF(C95="Brooklyn",2,0))</f>
        <v>4</v>
      </c>
      <c r="Q95" s="2">
        <v>115</v>
      </c>
      <c r="R95" s="1">
        <v>45734</v>
      </c>
      <c r="S95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170.29000000000002</v>
      </c>
    </row>
    <row r="96" spans="1:19" x14ac:dyDescent="0.3">
      <c r="A96" t="s">
        <v>238</v>
      </c>
      <c r="B96" t="s">
        <v>76</v>
      </c>
      <c r="C96" t="s">
        <v>17</v>
      </c>
      <c r="D96">
        <v>40.60783</v>
      </c>
      <c r="E96">
        <v>-73.97587</v>
      </c>
      <c r="F96" t="s">
        <v>18</v>
      </c>
      <c r="G96">
        <v>2</v>
      </c>
      <c r="H96">
        <v>1</v>
      </c>
      <c r="I96">
        <v>1</v>
      </c>
      <c r="J96">
        <v>2</v>
      </c>
      <c r="K96">
        <v>30</v>
      </c>
      <c r="L96">
        <v>159</v>
      </c>
      <c r="M96">
        <v>45</v>
      </c>
      <c r="N96">
        <v>0.42</v>
      </c>
      <c r="O96">
        <f>IF(F96="Private room",1,0)</f>
        <v>1</v>
      </c>
      <c r="P96">
        <f>IF(C96="Manhattan",4,IF(C96="Brooklyn",2,0))</f>
        <v>2</v>
      </c>
      <c r="Q96" s="2">
        <v>102</v>
      </c>
      <c r="R96" s="1">
        <v>45718</v>
      </c>
      <c r="S96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84.590000000000032</v>
      </c>
    </row>
    <row r="97" spans="1:19" x14ac:dyDescent="0.3">
      <c r="A97" t="s">
        <v>243</v>
      </c>
      <c r="B97" t="s">
        <v>94</v>
      </c>
      <c r="C97" t="s">
        <v>17</v>
      </c>
      <c r="D97">
        <v>40.662930000000003</v>
      </c>
      <c r="E97">
        <v>-73.883690000000001</v>
      </c>
      <c r="F97" t="s">
        <v>21</v>
      </c>
      <c r="G97">
        <v>4</v>
      </c>
      <c r="H97">
        <v>1</v>
      </c>
      <c r="I97">
        <v>2</v>
      </c>
      <c r="J97">
        <v>2</v>
      </c>
      <c r="K97">
        <v>30</v>
      </c>
      <c r="L97">
        <v>60</v>
      </c>
      <c r="M97">
        <v>255</v>
      </c>
      <c r="N97">
        <v>2.31</v>
      </c>
      <c r="O97">
        <f>IF(F97="Private room",1,0)</f>
        <v>0</v>
      </c>
      <c r="P97">
        <f>IF(C97="Manhattan",4,IF(C97="Brooklyn",2,0))</f>
        <v>2</v>
      </c>
      <c r="Q97" s="2">
        <v>109</v>
      </c>
      <c r="R97" s="1">
        <v>45717</v>
      </c>
      <c r="S97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169.81000000000003</v>
      </c>
    </row>
    <row r="98" spans="1:19" x14ac:dyDescent="0.3">
      <c r="A98" t="s">
        <v>244</v>
      </c>
      <c r="B98" t="s">
        <v>104</v>
      </c>
      <c r="C98" t="s">
        <v>17</v>
      </c>
      <c r="D98">
        <v>40.689979999999998</v>
      </c>
      <c r="E98">
        <v>-73.993719999999996</v>
      </c>
      <c r="F98" t="s">
        <v>21</v>
      </c>
      <c r="G98">
        <v>2</v>
      </c>
      <c r="H98">
        <v>1</v>
      </c>
      <c r="I98">
        <v>1</v>
      </c>
      <c r="J98">
        <v>1</v>
      </c>
      <c r="K98">
        <v>30</v>
      </c>
      <c r="L98">
        <v>62</v>
      </c>
      <c r="M98">
        <v>75</v>
      </c>
      <c r="N98">
        <v>0.68</v>
      </c>
      <c r="O98">
        <f>IF(F98="Private room",1,0)</f>
        <v>0</v>
      </c>
      <c r="P98">
        <f>IF(C98="Manhattan",4,IF(C98="Brooklyn",2,0))</f>
        <v>2</v>
      </c>
      <c r="Q98" s="2">
        <v>102</v>
      </c>
      <c r="R98" s="1">
        <v>45734</v>
      </c>
      <c r="S98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131.77000000000001</v>
      </c>
    </row>
    <row r="99" spans="1:19" x14ac:dyDescent="0.3">
      <c r="A99" t="s">
        <v>245</v>
      </c>
      <c r="B99" t="s">
        <v>85</v>
      </c>
      <c r="C99" t="s">
        <v>20</v>
      </c>
      <c r="D99">
        <v>40.718989999999998</v>
      </c>
      <c r="E99">
        <v>-73.997730000000004</v>
      </c>
      <c r="F99" t="s">
        <v>21</v>
      </c>
      <c r="G99">
        <v>4</v>
      </c>
      <c r="H99">
        <v>1</v>
      </c>
      <c r="I99">
        <v>2</v>
      </c>
      <c r="J99">
        <v>2</v>
      </c>
      <c r="K99">
        <v>30</v>
      </c>
      <c r="L99">
        <v>232</v>
      </c>
      <c r="M99">
        <v>16</v>
      </c>
      <c r="N99">
        <v>0.15</v>
      </c>
      <c r="O99">
        <f>IF(F99="Private room",1,0)</f>
        <v>0</v>
      </c>
      <c r="P99">
        <f>IF(C99="Manhattan",4,IF(C99="Brooklyn",2,0))</f>
        <v>4</v>
      </c>
      <c r="Q99" s="2">
        <v>175</v>
      </c>
      <c r="R99" s="1">
        <v>45747</v>
      </c>
      <c r="S99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193.39000000000004</v>
      </c>
    </row>
    <row r="100" spans="1:19" x14ac:dyDescent="0.3">
      <c r="A100" t="s">
        <v>246</v>
      </c>
      <c r="B100" t="s">
        <v>49</v>
      </c>
      <c r="C100" t="s">
        <v>20</v>
      </c>
      <c r="D100">
        <v>40.74108124</v>
      </c>
      <c r="E100">
        <v>-73.979278559999997</v>
      </c>
      <c r="F100" t="s">
        <v>21</v>
      </c>
      <c r="G100">
        <v>2</v>
      </c>
      <c r="H100">
        <v>1</v>
      </c>
      <c r="I100">
        <v>1</v>
      </c>
      <c r="J100">
        <v>1</v>
      </c>
      <c r="K100">
        <v>30</v>
      </c>
      <c r="L100">
        <v>258</v>
      </c>
      <c r="M100">
        <v>20</v>
      </c>
      <c r="N100">
        <v>0.21</v>
      </c>
      <c r="O100">
        <f>IF(F100="Private room",1,0)</f>
        <v>0</v>
      </c>
      <c r="P100">
        <f>IF(C100="Manhattan",4,IF(C100="Brooklyn",2,0))</f>
        <v>4</v>
      </c>
      <c r="Q100" s="2">
        <v>129</v>
      </c>
      <c r="R100" s="1">
        <v>45747</v>
      </c>
      <c r="S100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154.39000000000004</v>
      </c>
    </row>
    <row r="101" spans="1:19" x14ac:dyDescent="0.3">
      <c r="A101" t="s">
        <v>247</v>
      </c>
      <c r="B101" t="s">
        <v>85</v>
      </c>
      <c r="C101" t="s">
        <v>20</v>
      </c>
      <c r="D101">
        <v>40.718989999999998</v>
      </c>
      <c r="E101">
        <v>-73.997730000000004</v>
      </c>
      <c r="F101" t="s">
        <v>21</v>
      </c>
      <c r="G101">
        <v>2</v>
      </c>
      <c r="H101">
        <v>1</v>
      </c>
      <c r="I101">
        <v>0</v>
      </c>
      <c r="J101">
        <v>1</v>
      </c>
      <c r="K101">
        <v>30</v>
      </c>
      <c r="L101">
        <v>286</v>
      </c>
      <c r="M101">
        <v>14</v>
      </c>
      <c r="N101">
        <v>0.13</v>
      </c>
      <c r="O101">
        <f>IF(F101="Private room",1,0)</f>
        <v>0</v>
      </c>
      <c r="P101">
        <f>IF(C101="Manhattan",4,IF(C101="Brooklyn",2,0))</f>
        <v>4</v>
      </c>
      <c r="Q101" s="2">
        <v>130</v>
      </c>
      <c r="R101" s="1">
        <v>45722</v>
      </c>
      <c r="S101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153.27000000000004</v>
      </c>
    </row>
    <row r="102" spans="1:19" x14ac:dyDescent="0.3">
      <c r="A102" t="s">
        <v>248</v>
      </c>
      <c r="B102" t="s">
        <v>53</v>
      </c>
      <c r="C102" t="s">
        <v>20</v>
      </c>
      <c r="D102">
        <v>40.795119999999997</v>
      </c>
      <c r="E102">
        <v>-73.963250000000002</v>
      </c>
      <c r="F102" t="s">
        <v>18</v>
      </c>
      <c r="G102">
        <v>2</v>
      </c>
      <c r="H102">
        <v>1</v>
      </c>
      <c r="I102">
        <v>1</v>
      </c>
      <c r="J102">
        <v>1</v>
      </c>
      <c r="K102">
        <v>30</v>
      </c>
      <c r="L102">
        <v>203</v>
      </c>
      <c r="M102">
        <v>94</v>
      </c>
      <c r="N102">
        <v>1.03</v>
      </c>
      <c r="O102">
        <f>IF(F102="Private room",1,0)</f>
        <v>1</v>
      </c>
      <c r="P102">
        <f>IF(C102="Manhattan",4,IF(C102="Brooklyn",2,0))</f>
        <v>4</v>
      </c>
      <c r="Q102" s="2">
        <v>119</v>
      </c>
      <c r="R102" s="1">
        <v>45731</v>
      </c>
      <c r="S102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113.29000000000002</v>
      </c>
    </row>
    <row r="103" spans="1:19" x14ac:dyDescent="0.3">
      <c r="A103" t="s">
        <v>249</v>
      </c>
      <c r="B103" t="s">
        <v>36</v>
      </c>
      <c r="C103" t="s">
        <v>20</v>
      </c>
      <c r="D103">
        <v>40.781190000000002</v>
      </c>
      <c r="E103">
        <v>-73.953019999999995</v>
      </c>
      <c r="F103" t="s">
        <v>21</v>
      </c>
      <c r="G103">
        <v>2</v>
      </c>
      <c r="H103">
        <v>1</v>
      </c>
      <c r="I103">
        <v>0</v>
      </c>
      <c r="J103">
        <v>1</v>
      </c>
      <c r="K103">
        <v>30</v>
      </c>
      <c r="L103">
        <v>305</v>
      </c>
      <c r="M103">
        <v>16</v>
      </c>
      <c r="N103">
        <v>0.15</v>
      </c>
      <c r="O103">
        <f>IF(F103="Private room",1,0)</f>
        <v>0</v>
      </c>
      <c r="P103">
        <f>IF(C103="Manhattan",4,IF(C103="Brooklyn",2,0))</f>
        <v>4</v>
      </c>
      <c r="Q103" s="2">
        <v>120</v>
      </c>
      <c r="R103" s="1">
        <v>45734</v>
      </c>
      <c r="S103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152.51000000000002</v>
      </c>
    </row>
    <row r="104" spans="1:19" x14ac:dyDescent="0.3">
      <c r="A104" t="s">
        <v>250</v>
      </c>
      <c r="B104" t="s">
        <v>145</v>
      </c>
      <c r="C104" t="s">
        <v>30</v>
      </c>
      <c r="D104">
        <v>40.685940000000002</v>
      </c>
      <c r="E104">
        <v>-73.855779999999996</v>
      </c>
      <c r="F104" t="s">
        <v>18</v>
      </c>
      <c r="G104">
        <v>2</v>
      </c>
      <c r="H104">
        <v>1</v>
      </c>
      <c r="I104">
        <v>1</v>
      </c>
      <c r="J104">
        <v>2</v>
      </c>
      <c r="K104">
        <v>3</v>
      </c>
      <c r="L104">
        <v>350</v>
      </c>
      <c r="M104">
        <v>36</v>
      </c>
      <c r="N104">
        <v>1.02</v>
      </c>
      <c r="O104">
        <f>IF(F104="Private room",1,0)</f>
        <v>1</v>
      </c>
      <c r="P104">
        <f>IF(C104="Manhattan",4,IF(C104="Brooklyn",2,0))</f>
        <v>0</v>
      </c>
      <c r="Q104" s="2">
        <v>121</v>
      </c>
      <c r="R104" s="1">
        <v>45729</v>
      </c>
      <c r="S104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136.94</v>
      </c>
    </row>
    <row r="105" spans="1:19" x14ac:dyDescent="0.3">
      <c r="A105" t="s">
        <v>252</v>
      </c>
      <c r="B105" t="s">
        <v>28</v>
      </c>
      <c r="C105" t="s">
        <v>20</v>
      </c>
      <c r="D105" s="3" t="s">
        <v>253</v>
      </c>
      <c r="E105">
        <v>-73.952020604786895</v>
      </c>
      <c r="F105" t="s">
        <v>18</v>
      </c>
      <c r="G105">
        <v>2</v>
      </c>
      <c r="H105">
        <v>1.5</v>
      </c>
      <c r="I105">
        <v>1</v>
      </c>
      <c r="J105">
        <v>1</v>
      </c>
      <c r="K105">
        <v>3</v>
      </c>
      <c r="L105">
        <v>33</v>
      </c>
      <c r="M105">
        <v>25</v>
      </c>
      <c r="N105">
        <v>0.46</v>
      </c>
      <c r="O105">
        <f>IF(F105="Private room",1,0)</f>
        <v>1</v>
      </c>
      <c r="P105">
        <f>IF(C105="Manhattan",4,IF(C105="Brooklyn",2,0))</f>
        <v>4</v>
      </c>
      <c r="Q105" s="2">
        <v>148</v>
      </c>
      <c r="R105" s="1">
        <v>45737</v>
      </c>
      <c r="S105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216.15000000000003</v>
      </c>
    </row>
    <row r="106" spans="1:19" x14ac:dyDescent="0.3">
      <c r="A106" t="s">
        <v>254</v>
      </c>
      <c r="B106" t="s">
        <v>19</v>
      </c>
      <c r="C106" t="s">
        <v>20</v>
      </c>
      <c r="D106">
        <v>40.757689999999997</v>
      </c>
      <c r="E106">
        <v>-73.965919999999997</v>
      </c>
      <c r="F106" t="s">
        <v>21</v>
      </c>
      <c r="G106">
        <v>2</v>
      </c>
      <c r="H106">
        <v>1</v>
      </c>
      <c r="I106">
        <v>0</v>
      </c>
      <c r="J106">
        <v>1</v>
      </c>
      <c r="K106">
        <v>30</v>
      </c>
      <c r="L106">
        <v>173</v>
      </c>
      <c r="M106">
        <v>88</v>
      </c>
      <c r="N106">
        <v>0.81</v>
      </c>
      <c r="O106">
        <f>IF(F106="Private room",1,0)</f>
        <v>0</v>
      </c>
      <c r="P106">
        <f>IF(C106="Manhattan",4,IF(C106="Brooklyn",2,0))</f>
        <v>4</v>
      </c>
      <c r="Q106" s="2">
        <v>179</v>
      </c>
      <c r="R106" s="1">
        <v>45738</v>
      </c>
      <c r="S106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157.79000000000002</v>
      </c>
    </row>
    <row r="107" spans="1:19" x14ac:dyDescent="0.3">
      <c r="A107" t="s">
        <v>255</v>
      </c>
      <c r="B107" t="s">
        <v>36</v>
      </c>
      <c r="C107" t="s">
        <v>20</v>
      </c>
      <c r="D107">
        <v>40.769469999999998</v>
      </c>
      <c r="E107">
        <v>-73.956469999999996</v>
      </c>
      <c r="F107" t="s">
        <v>21</v>
      </c>
      <c r="G107">
        <v>2</v>
      </c>
      <c r="H107">
        <v>1</v>
      </c>
      <c r="I107">
        <v>0</v>
      </c>
      <c r="J107">
        <v>2</v>
      </c>
      <c r="K107">
        <v>30</v>
      </c>
      <c r="L107">
        <v>345</v>
      </c>
      <c r="M107">
        <v>33</v>
      </c>
      <c r="N107">
        <v>0.31</v>
      </c>
      <c r="O107">
        <f>IF(F107="Private room",1,0)</f>
        <v>0</v>
      </c>
      <c r="P107">
        <f>IF(C107="Manhattan",4,IF(C107="Brooklyn",2,0))</f>
        <v>4</v>
      </c>
      <c r="Q107" s="2">
        <v>137</v>
      </c>
      <c r="R107" s="1">
        <v>45743</v>
      </c>
      <c r="S107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150.91000000000003</v>
      </c>
    </row>
    <row r="108" spans="1:19" x14ac:dyDescent="0.3">
      <c r="A108" t="s">
        <v>256</v>
      </c>
      <c r="B108" t="s">
        <v>67</v>
      </c>
      <c r="C108" t="s">
        <v>17</v>
      </c>
      <c r="D108">
        <v>40.703859999999999</v>
      </c>
      <c r="E108">
        <v>-73.930250000000001</v>
      </c>
      <c r="F108" t="s">
        <v>18</v>
      </c>
      <c r="G108">
        <v>2</v>
      </c>
      <c r="H108">
        <v>1</v>
      </c>
      <c r="I108">
        <v>1</v>
      </c>
      <c r="J108">
        <v>1</v>
      </c>
      <c r="K108">
        <v>2</v>
      </c>
      <c r="L108">
        <v>149</v>
      </c>
      <c r="M108">
        <v>307</v>
      </c>
      <c r="N108">
        <v>2.82</v>
      </c>
      <c r="O108">
        <f>IF(F108="Private room",1,0)</f>
        <v>1</v>
      </c>
      <c r="P108">
        <f>IF(C108="Manhattan",4,IF(C108="Brooklyn",2,0))</f>
        <v>2</v>
      </c>
      <c r="Q108" s="2">
        <v>209</v>
      </c>
      <c r="R108" s="1">
        <v>45745</v>
      </c>
      <c r="S108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178.79000000000005</v>
      </c>
    </row>
    <row r="109" spans="1:19" x14ac:dyDescent="0.3">
      <c r="A109" t="s">
        <v>257</v>
      </c>
      <c r="B109" t="s">
        <v>95</v>
      </c>
      <c r="C109" t="s">
        <v>20</v>
      </c>
      <c r="D109">
        <v>40.748779999999996</v>
      </c>
      <c r="E109">
        <v>-73.981639999999999</v>
      </c>
      <c r="F109" t="s">
        <v>21</v>
      </c>
      <c r="G109">
        <v>4</v>
      </c>
      <c r="H109">
        <v>1</v>
      </c>
      <c r="I109">
        <v>2</v>
      </c>
      <c r="J109">
        <v>4</v>
      </c>
      <c r="K109">
        <v>30</v>
      </c>
      <c r="L109">
        <v>271</v>
      </c>
      <c r="M109">
        <v>14</v>
      </c>
      <c r="N109">
        <v>0.15</v>
      </c>
      <c r="O109">
        <f>IF(F109="Private room",1,0)</f>
        <v>0</v>
      </c>
      <c r="P109">
        <f>IF(C109="Manhattan",4,IF(C109="Brooklyn",2,0))</f>
        <v>4</v>
      </c>
      <c r="Q109" s="2">
        <v>120</v>
      </c>
      <c r="R109" s="1">
        <v>45747</v>
      </c>
      <c r="S109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191.83000000000004</v>
      </c>
    </row>
    <row r="110" spans="1:19" x14ac:dyDescent="0.3">
      <c r="A110" t="s">
        <v>258</v>
      </c>
      <c r="B110" t="s">
        <v>92</v>
      </c>
      <c r="C110" t="s">
        <v>17</v>
      </c>
      <c r="D110">
        <v>40.61992</v>
      </c>
      <c r="E110">
        <v>-74.001170000000002</v>
      </c>
      <c r="F110" t="s">
        <v>21</v>
      </c>
      <c r="G110">
        <v>2</v>
      </c>
      <c r="H110">
        <v>1</v>
      </c>
      <c r="I110">
        <v>1</v>
      </c>
      <c r="J110">
        <v>1</v>
      </c>
      <c r="K110">
        <v>5</v>
      </c>
      <c r="L110">
        <v>342</v>
      </c>
      <c r="M110">
        <v>92</v>
      </c>
      <c r="N110">
        <v>0.85</v>
      </c>
      <c r="O110">
        <f>IF(F110="Private room",1,0)</f>
        <v>0</v>
      </c>
      <c r="P110">
        <f>IF(C110="Manhattan",4,IF(C110="Brooklyn",2,0))</f>
        <v>2</v>
      </c>
      <c r="Q110" s="2">
        <v>152</v>
      </c>
      <c r="R110" s="1">
        <v>45747</v>
      </c>
      <c r="S110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204.32000000000002</v>
      </c>
    </row>
    <row r="111" spans="1:19" x14ac:dyDescent="0.3">
      <c r="A111" t="s">
        <v>259</v>
      </c>
      <c r="B111" t="s">
        <v>27</v>
      </c>
      <c r="C111" t="s">
        <v>17</v>
      </c>
      <c r="D111">
        <v>40.685760000000002</v>
      </c>
      <c r="E111">
        <v>-73.952349999999996</v>
      </c>
      <c r="F111" t="s">
        <v>18</v>
      </c>
      <c r="G111">
        <v>2</v>
      </c>
      <c r="H111">
        <v>2</v>
      </c>
      <c r="I111">
        <v>1</v>
      </c>
      <c r="J111">
        <v>2</v>
      </c>
      <c r="K111">
        <v>30</v>
      </c>
      <c r="L111">
        <v>173</v>
      </c>
      <c r="M111">
        <v>34</v>
      </c>
      <c r="N111">
        <v>0.33</v>
      </c>
      <c r="O111">
        <f>IF(F111="Private room",1,0)</f>
        <v>1</v>
      </c>
      <c r="P111">
        <f>IF(C111="Manhattan",4,IF(C111="Brooklyn",2,0))</f>
        <v>2</v>
      </c>
      <c r="Q111" s="2">
        <v>60</v>
      </c>
      <c r="R111" s="1">
        <v>45727</v>
      </c>
      <c r="S111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95.250000000000028</v>
      </c>
    </row>
    <row r="112" spans="1:19" x14ac:dyDescent="0.3">
      <c r="A112" t="s">
        <v>260</v>
      </c>
      <c r="B112" t="s">
        <v>42</v>
      </c>
      <c r="C112" t="s">
        <v>17</v>
      </c>
      <c r="D112">
        <v>40.719760000000001</v>
      </c>
      <c r="E112">
        <v>-73.954710000000006</v>
      </c>
      <c r="F112" t="s">
        <v>21</v>
      </c>
      <c r="G112">
        <v>3</v>
      </c>
      <c r="H112">
        <v>1</v>
      </c>
      <c r="I112">
        <v>1</v>
      </c>
      <c r="J112">
        <v>1</v>
      </c>
      <c r="K112">
        <v>30</v>
      </c>
      <c r="L112">
        <v>137</v>
      </c>
      <c r="M112">
        <v>250</v>
      </c>
      <c r="N112">
        <v>2.34</v>
      </c>
      <c r="O112">
        <f>IF(F112="Private room",1,0)</f>
        <v>0</v>
      </c>
      <c r="P112">
        <f>IF(C112="Manhattan",4,IF(C112="Brooklyn",2,0))</f>
        <v>2</v>
      </c>
      <c r="Q112" s="2">
        <v>215</v>
      </c>
      <c r="R112" s="1">
        <v>45747</v>
      </c>
      <c r="S112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147.75</v>
      </c>
    </row>
    <row r="113" spans="1:19" x14ac:dyDescent="0.3">
      <c r="A113" t="s">
        <v>261</v>
      </c>
      <c r="B113" t="s">
        <v>65</v>
      </c>
      <c r="C113" t="s">
        <v>17</v>
      </c>
      <c r="D113">
        <v>40.68826</v>
      </c>
      <c r="E113">
        <v>-73.985579999999999</v>
      </c>
      <c r="F113" t="s">
        <v>21</v>
      </c>
      <c r="G113">
        <v>4</v>
      </c>
      <c r="H113">
        <v>1</v>
      </c>
      <c r="I113">
        <v>0</v>
      </c>
      <c r="J113">
        <v>2</v>
      </c>
      <c r="K113">
        <v>30</v>
      </c>
      <c r="L113">
        <v>336</v>
      </c>
      <c r="M113">
        <v>22</v>
      </c>
      <c r="N113">
        <v>0.25</v>
      </c>
      <c r="O113">
        <f>IF(F113="Private room",1,0)</f>
        <v>0</v>
      </c>
      <c r="P113">
        <f>IF(C113="Manhattan",4,IF(C113="Brooklyn",2,0))</f>
        <v>2</v>
      </c>
      <c r="Q113" s="2">
        <v>158</v>
      </c>
      <c r="R113" s="1">
        <v>45740</v>
      </c>
      <c r="S113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158.77000000000004</v>
      </c>
    </row>
    <row r="114" spans="1:19" x14ac:dyDescent="0.3">
      <c r="A114" t="s">
        <v>262</v>
      </c>
      <c r="B114" t="s">
        <v>38</v>
      </c>
      <c r="C114" t="s">
        <v>20</v>
      </c>
      <c r="D114">
        <v>40.763599999999997</v>
      </c>
      <c r="E114">
        <v>-73.994529999999997</v>
      </c>
      <c r="F114" t="s">
        <v>21</v>
      </c>
      <c r="G114">
        <v>3</v>
      </c>
      <c r="H114">
        <v>1</v>
      </c>
      <c r="I114">
        <v>1</v>
      </c>
      <c r="J114">
        <v>1</v>
      </c>
      <c r="K114">
        <v>30</v>
      </c>
      <c r="L114">
        <v>362</v>
      </c>
      <c r="M114">
        <v>7</v>
      </c>
      <c r="N114">
        <v>7.0000000000000007E-2</v>
      </c>
      <c r="O114">
        <f>IF(F114="Private room",1,0)</f>
        <v>0</v>
      </c>
      <c r="P114">
        <f>IF(C114="Manhattan",4,IF(C114="Brooklyn",2,0))</f>
        <v>4</v>
      </c>
      <c r="Q114" s="2">
        <v>175</v>
      </c>
      <c r="R114" s="1">
        <v>45717</v>
      </c>
      <c r="S114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169.21</v>
      </c>
    </row>
    <row r="115" spans="1:19" x14ac:dyDescent="0.3">
      <c r="A115" t="s">
        <v>263</v>
      </c>
      <c r="B115" t="s">
        <v>23</v>
      </c>
      <c r="C115" t="s">
        <v>17</v>
      </c>
      <c r="D115">
        <v>40.719410000000003</v>
      </c>
      <c r="E115">
        <v>-73.943219999999997</v>
      </c>
      <c r="F115" t="s">
        <v>21</v>
      </c>
      <c r="G115">
        <v>4</v>
      </c>
      <c r="H115">
        <v>1</v>
      </c>
      <c r="I115">
        <v>1</v>
      </c>
      <c r="J115">
        <v>1</v>
      </c>
      <c r="K115">
        <v>30</v>
      </c>
      <c r="L115">
        <v>58</v>
      </c>
      <c r="M115">
        <v>68</v>
      </c>
      <c r="N115">
        <v>0.64</v>
      </c>
      <c r="O115">
        <f>IF(F115="Private room",1,0)</f>
        <v>0</v>
      </c>
      <c r="P115">
        <f>IF(C115="Manhattan",4,IF(C115="Brooklyn",2,0))</f>
        <v>2</v>
      </c>
      <c r="Q115" s="2">
        <v>175</v>
      </c>
      <c r="R115" s="1">
        <v>45747</v>
      </c>
      <c r="S115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169.89000000000004</v>
      </c>
    </row>
    <row r="116" spans="1:19" x14ac:dyDescent="0.3">
      <c r="A116" t="s">
        <v>266</v>
      </c>
      <c r="B116" t="s">
        <v>73</v>
      </c>
      <c r="C116" t="s">
        <v>30</v>
      </c>
      <c r="D116" s="3" t="s">
        <v>267</v>
      </c>
      <c r="E116">
        <v>-73.955590720204299</v>
      </c>
      <c r="F116" t="s">
        <v>21</v>
      </c>
      <c r="G116">
        <v>3</v>
      </c>
      <c r="H116">
        <v>1</v>
      </c>
      <c r="I116">
        <v>1</v>
      </c>
      <c r="J116">
        <v>3</v>
      </c>
      <c r="K116">
        <v>30</v>
      </c>
      <c r="L116">
        <v>181</v>
      </c>
      <c r="M116">
        <v>39</v>
      </c>
      <c r="N116">
        <v>0.37</v>
      </c>
      <c r="O116">
        <f>IF(F116="Private room",1,0)</f>
        <v>0</v>
      </c>
      <c r="P116">
        <f>IF(C116="Manhattan",4,IF(C116="Brooklyn",2,0))</f>
        <v>0</v>
      </c>
      <c r="Q116" s="2">
        <v>140</v>
      </c>
      <c r="R116" s="1">
        <v>45747</v>
      </c>
      <c r="S116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115.53000000000002</v>
      </c>
    </row>
    <row r="117" spans="1:19" x14ac:dyDescent="0.3">
      <c r="A117" t="s">
        <v>268</v>
      </c>
      <c r="B117" t="s">
        <v>55</v>
      </c>
      <c r="C117" t="s">
        <v>17</v>
      </c>
      <c r="D117">
        <v>40.666690000000003</v>
      </c>
      <c r="E117">
        <v>-73.989739999999998</v>
      </c>
      <c r="F117" t="s">
        <v>21</v>
      </c>
      <c r="G117">
        <v>2</v>
      </c>
      <c r="H117">
        <v>1</v>
      </c>
      <c r="I117">
        <v>2</v>
      </c>
      <c r="J117">
        <v>2</v>
      </c>
      <c r="K117">
        <v>30</v>
      </c>
      <c r="L117">
        <v>122</v>
      </c>
      <c r="M117">
        <v>182</v>
      </c>
      <c r="N117">
        <v>1.72</v>
      </c>
      <c r="O117">
        <f>IF(F117="Private room",1,0)</f>
        <v>0</v>
      </c>
      <c r="P117">
        <f>IF(C117="Manhattan",4,IF(C117="Brooklyn",2,0))</f>
        <v>2</v>
      </c>
      <c r="Q117" s="2">
        <v>99</v>
      </c>
      <c r="R117" s="1">
        <v>45733</v>
      </c>
      <c r="S117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129.37000000000003</v>
      </c>
    </row>
    <row r="118" spans="1:19" x14ac:dyDescent="0.3">
      <c r="A118" t="s">
        <v>269</v>
      </c>
      <c r="B118" t="s">
        <v>23</v>
      </c>
      <c r="C118" t="s">
        <v>17</v>
      </c>
      <c r="D118">
        <v>40.719639999999998</v>
      </c>
      <c r="E118">
        <v>-73.955290000000005</v>
      </c>
      <c r="F118" t="s">
        <v>21</v>
      </c>
      <c r="G118">
        <v>2</v>
      </c>
      <c r="H118">
        <v>1</v>
      </c>
      <c r="I118">
        <v>1</v>
      </c>
      <c r="J118">
        <v>1</v>
      </c>
      <c r="K118">
        <v>30</v>
      </c>
      <c r="L118">
        <v>228</v>
      </c>
      <c r="M118">
        <v>153</v>
      </c>
      <c r="N118">
        <v>1.45</v>
      </c>
      <c r="O118">
        <f>IF(F118="Private room",1,0)</f>
        <v>0</v>
      </c>
      <c r="P118">
        <f>IF(C118="Manhattan",4,IF(C118="Brooklyn",2,0))</f>
        <v>2</v>
      </c>
      <c r="Q118" s="2">
        <v>224</v>
      </c>
      <c r="R118" s="1">
        <v>45721</v>
      </c>
      <c r="S118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125.13000000000002</v>
      </c>
    </row>
    <row r="119" spans="1:19" x14ac:dyDescent="0.3">
      <c r="A119" t="s">
        <v>270</v>
      </c>
      <c r="B119" t="s">
        <v>28</v>
      </c>
      <c r="C119" t="s">
        <v>20</v>
      </c>
      <c r="D119">
        <v>40.831090000000003</v>
      </c>
      <c r="E119">
        <v>-73.946430000000007</v>
      </c>
      <c r="F119" t="s">
        <v>21</v>
      </c>
      <c r="G119">
        <v>2</v>
      </c>
      <c r="H119">
        <v>1</v>
      </c>
      <c r="I119">
        <v>1</v>
      </c>
      <c r="J119">
        <v>1</v>
      </c>
      <c r="K119">
        <v>30</v>
      </c>
      <c r="L119">
        <v>320</v>
      </c>
      <c r="M119">
        <v>23</v>
      </c>
      <c r="N119">
        <v>0.22</v>
      </c>
      <c r="O119">
        <f>IF(F119="Private room",1,0)</f>
        <v>0</v>
      </c>
      <c r="P119">
        <f>IF(C119="Manhattan",4,IF(C119="Brooklyn",2,0))</f>
        <v>4</v>
      </c>
      <c r="Q119" s="2">
        <v>122</v>
      </c>
      <c r="R119" s="1">
        <v>45731</v>
      </c>
      <c r="S119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151.91000000000003</v>
      </c>
    </row>
    <row r="120" spans="1:19" x14ac:dyDescent="0.3">
      <c r="A120" t="s">
        <v>271</v>
      </c>
      <c r="B120" t="s">
        <v>53</v>
      </c>
      <c r="C120" t="s">
        <v>20</v>
      </c>
      <c r="D120">
        <v>40.775539999999999</v>
      </c>
      <c r="E120">
        <v>-73.980869999999996</v>
      </c>
      <c r="F120" t="s">
        <v>21</v>
      </c>
      <c r="G120">
        <v>3</v>
      </c>
      <c r="H120">
        <v>1</v>
      </c>
      <c r="I120">
        <v>1</v>
      </c>
      <c r="J120">
        <v>1</v>
      </c>
      <c r="K120">
        <v>30</v>
      </c>
      <c r="L120">
        <v>173</v>
      </c>
      <c r="M120">
        <v>32</v>
      </c>
      <c r="N120">
        <v>0.31</v>
      </c>
      <c r="O120">
        <f>IF(F120="Private room",1,0)</f>
        <v>0</v>
      </c>
      <c r="P120">
        <f>IF(C120="Manhattan",4,IF(C120="Brooklyn",2,0))</f>
        <v>4</v>
      </c>
      <c r="Q120" s="2">
        <v>160</v>
      </c>
      <c r="R120" s="1">
        <v>45747</v>
      </c>
      <c r="S120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176.77</v>
      </c>
    </row>
    <row r="121" spans="1:19" x14ac:dyDescent="0.3">
      <c r="A121" t="s">
        <v>274</v>
      </c>
      <c r="B121" t="s">
        <v>273</v>
      </c>
      <c r="C121" t="s">
        <v>30</v>
      </c>
      <c r="D121">
        <v>40.65428</v>
      </c>
      <c r="E121">
        <v>-73.727339999999998</v>
      </c>
      <c r="F121" t="s">
        <v>21</v>
      </c>
      <c r="G121">
        <v>2</v>
      </c>
      <c r="H121">
        <v>1</v>
      </c>
      <c r="I121">
        <v>1</v>
      </c>
      <c r="J121">
        <v>1</v>
      </c>
      <c r="K121">
        <v>30</v>
      </c>
      <c r="L121">
        <v>163</v>
      </c>
      <c r="M121">
        <v>49</v>
      </c>
      <c r="N121">
        <v>0.47</v>
      </c>
      <c r="O121">
        <f>IF(F121="Private room",1,0)</f>
        <v>0</v>
      </c>
      <c r="P121">
        <f>IF(C121="Manhattan",4,IF(C121="Brooklyn",2,0))</f>
        <v>0</v>
      </c>
      <c r="Q121" s="2">
        <v>136</v>
      </c>
      <c r="R121" s="1">
        <v>45733</v>
      </c>
      <c r="S121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97.270000000000024</v>
      </c>
    </row>
    <row r="122" spans="1:19" x14ac:dyDescent="0.3">
      <c r="A122" t="s">
        <v>277</v>
      </c>
      <c r="B122" t="s">
        <v>84</v>
      </c>
      <c r="C122" t="s">
        <v>17</v>
      </c>
      <c r="D122">
        <v>40.657609999999998</v>
      </c>
      <c r="E122">
        <v>-73.961160000000007</v>
      </c>
      <c r="F122" t="s">
        <v>18</v>
      </c>
      <c r="G122">
        <v>1</v>
      </c>
      <c r="H122">
        <v>1</v>
      </c>
      <c r="I122">
        <v>1</v>
      </c>
      <c r="J122">
        <v>1</v>
      </c>
      <c r="K122">
        <v>30</v>
      </c>
      <c r="L122">
        <v>76</v>
      </c>
      <c r="M122">
        <v>28</v>
      </c>
      <c r="N122">
        <v>0.36</v>
      </c>
      <c r="O122">
        <f>IF(F122="Private room",1,0)</f>
        <v>1</v>
      </c>
      <c r="P122">
        <f>IF(C122="Manhattan",4,IF(C122="Brooklyn",2,0))</f>
        <v>2</v>
      </c>
      <c r="Q122" s="2">
        <v>74</v>
      </c>
      <c r="R122" s="1">
        <v>45747</v>
      </c>
      <c r="S122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68.930000000000007</v>
      </c>
    </row>
    <row r="123" spans="1:19" x14ac:dyDescent="0.3">
      <c r="A123" t="s">
        <v>279</v>
      </c>
      <c r="B123" t="s">
        <v>33</v>
      </c>
      <c r="C123" t="s">
        <v>17</v>
      </c>
      <c r="D123">
        <v>40.670810000000003</v>
      </c>
      <c r="E123">
        <v>-73.977249999999998</v>
      </c>
      <c r="F123" t="s">
        <v>21</v>
      </c>
      <c r="G123">
        <v>2</v>
      </c>
      <c r="H123">
        <v>1</v>
      </c>
      <c r="I123">
        <v>1</v>
      </c>
      <c r="J123">
        <v>1</v>
      </c>
      <c r="K123">
        <v>30</v>
      </c>
      <c r="L123">
        <v>282</v>
      </c>
      <c r="M123">
        <v>237</v>
      </c>
      <c r="N123">
        <v>2.3199999999999998</v>
      </c>
      <c r="O123">
        <f>IF(F123="Private room",1,0)</f>
        <v>0</v>
      </c>
      <c r="P123">
        <f>IF(C123="Manhattan",4,IF(C123="Brooklyn",2,0))</f>
        <v>2</v>
      </c>
      <c r="Q123" s="2">
        <v>175</v>
      </c>
      <c r="R123" s="1">
        <v>45746</v>
      </c>
      <c r="S123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122.97000000000003</v>
      </c>
    </row>
    <row r="124" spans="1:19" x14ac:dyDescent="0.3">
      <c r="A124" t="s">
        <v>280</v>
      </c>
      <c r="B124" t="s">
        <v>26</v>
      </c>
      <c r="C124" t="s">
        <v>17</v>
      </c>
      <c r="D124" s="3" t="s">
        <v>281</v>
      </c>
      <c r="E124">
        <v>-73.971023187386393</v>
      </c>
      <c r="F124" t="s">
        <v>18</v>
      </c>
      <c r="G124">
        <v>1</v>
      </c>
      <c r="H124">
        <v>1</v>
      </c>
      <c r="I124">
        <v>3</v>
      </c>
      <c r="J124">
        <v>2</v>
      </c>
      <c r="K124">
        <v>30</v>
      </c>
      <c r="L124">
        <v>84</v>
      </c>
      <c r="M124">
        <v>2</v>
      </c>
      <c r="N124">
        <v>0.16</v>
      </c>
      <c r="O124">
        <f>IF(F124="Private room",1,0)</f>
        <v>1</v>
      </c>
      <c r="P124">
        <f>IF(C124="Manhattan",4,IF(C124="Brooklyn",2,0))</f>
        <v>2</v>
      </c>
      <c r="Q124" s="2">
        <v>68</v>
      </c>
      <c r="R124" s="1">
        <v>45747</v>
      </c>
      <c r="S124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68.610000000000014</v>
      </c>
    </row>
    <row r="125" spans="1:19" x14ac:dyDescent="0.3">
      <c r="A125" t="s">
        <v>239</v>
      </c>
      <c r="B125" t="s">
        <v>36</v>
      </c>
      <c r="C125" t="s">
        <v>20</v>
      </c>
      <c r="D125">
        <v>40.781179999999999</v>
      </c>
      <c r="E125">
        <v>-73.953059999999994</v>
      </c>
      <c r="F125" t="s">
        <v>21</v>
      </c>
      <c r="G125">
        <v>2</v>
      </c>
      <c r="H125">
        <v>1</v>
      </c>
      <c r="I125">
        <v>0</v>
      </c>
      <c r="J125">
        <v>2</v>
      </c>
      <c r="K125">
        <v>30</v>
      </c>
      <c r="L125">
        <v>334</v>
      </c>
      <c r="M125">
        <v>13</v>
      </c>
      <c r="N125">
        <v>0.13</v>
      </c>
      <c r="O125">
        <f>IF(F125="Private room",1,0)</f>
        <v>0</v>
      </c>
      <c r="P125">
        <f>IF(C125="Manhattan",4,IF(C125="Brooklyn",2,0))</f>
        <v>4</v>
      </c>
      <c r="Q125" s="2">
        <v>136</v>
      </c>
      <c r="R125" s="1">
        <v>45735</v>
      </c>
      <c r="S125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151.35000000000002</v>
      </c>
    </row>
    <row r="126" spans="1:19" x14ac:dyDescent="0.3">
      <c r="A126" t="s">
        <v>282</v>
      </c>
      <c r="B126" t="s">
        <v>36</v>
      </c>
      <c r="C126" t="s">
        <v>20</v>
      </c>
      <c r="D126">
        <v>40.769469999999998</v>
      </c>
      <c r="E126">
        <v>-73.956469999999996</v>
      </c>
      <c r="F126" t="s">
        <v>21</v>
      </c>
      <c r="G126">
        <v>2</v>
      </c>
      <c r="H126">
        <v>1</v>
      </c>
      <c r="I126">
        <v>0</v>
      </c>
      <c r="J126">
        <v>1</v>
      </c>
      <c r="K126">
        <v>30</v>
      </c>
      <c r="L126">
        <v>335</v>
      </c>
      <c r="M126">
        <v>33</v>
      </c>
      <c r="N126">
        <v>0.34</v>
      </c>
      <c r="O126">
        <f>IF(F126="Private room",1,0)</f>
        <v>0</v>
      </c>
      <c r="P126">
        <f>IF(C126="Manhattan",4,IF(C126="Brooklyn",2,0))</f>
        <v>4</v>
      </c>
      <c r="Q126" s="2">
        <v>132</v>
      </c>
      <c r="R126" s="1">
        <v>45732</v>
      </c>
      <c r="S126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151.31</v>
      </c>
    </row>
    <row r="127" spans="1:19" x14ac:dyDescent="0.3">
      <c r="A127" t="s">
        <v>283</v>
      </c>
      <c r="B127" t="s">
        <v>23</v>
      </c>
      <c r="C127" t="s">
        <v>17</v>
      </c>
      <c r="D127">
        <v>40.707970000000003</v>
      </c>
      <c r="E127">
        <v>-73.95008</v>
      </c>
      <c r="F127" t="s">
        <v>21</v>
      </c>
      <c r="G127">
        <v>2</v>
      </c>
      <c r="H127">
        <v>1</v>
      </c>
      <c r="I127">
        <v>1</v>
      </c>
      <c r="J127">
        <v>1</v>
      </c>
      <c r="K127">
        <v>30</v>
      </c>
      <c r="L127">
        <v>334</v>
      </c>
      <c r="M127">
        <v>115</v>
      </c>
      <c r="N127">
        <v>1.1499999999999999</v>
      </c>
      <c r="O127">
        <f>IF(F127="Private room",1,0)</f>
        <v>0</v>
      </c>
      <c r="P127">
        <f>IF(C127="Manhattan",4,IF(C127="Brooklyn",2,0))</f>
        <v>2</v>
      </c>
      <c r="Q127" s="2">
        <v>188</v>
      </c>
      <c r="R127" s="1">
        <v>45729</v>
      </c>
      <c r="S127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120.89000000000001</v>
      </c>
    </row>
    <row r="128" spans="1:19" x14ac:dyDescent="0.3">
      <c r="A128" t="s">
        <v>284</v>
      </c>
      <c r="B128" t="s">
        <v>67</v>
      </c>
      <c r="C128" t="s">
        <v>17</v>
      </c>
      <c r="D128">
        <v>40.694789999999998</v>
      </c>
      <c r="E128">
        <v>-73.909530000000004</v>
      </c>
      <c r="F128" t="s">
        <v>21</v>
      </c>
      <c r="G128">
        <v>6</v>
      </c>
      <c r="H128">
        <v>1</v>
      </c>
      <c r="I128">
        <v>2</v>
      </c>
      <c r="J128">
        <v>2</v>
      </c>
      <c r="K128">
        <v>30</v>
      </c>
      <c r="L128">
        <v>362</v>
      </c>
      <c r="M128">
        <v>138</v>
      </c>
      <c r="N128">
        <v>1.38</v>
      </c>
      <c r="O128">
        <f>IF(F128="Private room",1,0)</f>
        <v>0</v>
      </c>
      <c r="P128">
        <f>IF(C128="Manhattan",4,IF(C128="Brooklyn",2,0))</f>
        <v>2</v>
      </c>
      <c r="Q128" s="2">
        <v>110</v>
      </c>
      <c r="R128" s="1">
        <v>45747</v>
      </c>
      <c r="S128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195.69000000000005</v>
      </c>
    </row>
    <row r="129" spans="1:19" x14ac:dyDescent="0.3">
      <c r="A129" t="s">
        <v>285</v>
      </c>
      <c r="B129" t="s">
        <v>64</v>
      </c>
      <c r="C129" t="s">
        <v>17</v>
      </c>
      <c r="D129">
        <v>40.680300000000003</v>
      </c>
      <c r="E129">
        <v>-73.964789999999994</v>
      </c>
      <c r="F129" t="s">
        <v>21</v>
      </c>
      <c r="G129">
        <v>4</v>
      </c>
      <c r="H129">
        <v>1</v>
      </c>
      <c r="I129">
        <v>1</v>
      </c>
      <c r="J129">
        <v>3</v>
      </c>
      <c r="K129">
        <v>30</v>
      </c>
      <c r="L129">
        <v>285</v>
      </c>
      <c r="M129">
        <v>208</v>
      </c>
      <c r="N129">
        <v>2.0699999999999998</v>
      </c>
      <c r="O129">
        <f>IF(F129="Private room",1,0)</f>
        <v>0</v>
      </c>
      <c r="P129">
        <f>IF(C129="Manhattan",4,IF(C129="Brooklyn",2,0))</f>
        <v>2</v>
      </c>
      <c r="Q129" s="2">
        <v>194</v>
      </c>
      <c r="R129" s="1">
        <v>45731</v>
      </c>
      <c r="S129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160.81000000000003</v>
      </c>
    </row>
    <row r="130" spans="1:19" x14ac:dyDescent="0.3">
      <c r="A130" t="s">
        <v>286</v>
      </c>
      <c r="B130" t="s">
        <v>145</v>
      </c>
      <c r="C130" t="s">
        <v>30</v>
      </c>
      <c r="D130">
        <v>40.684109999999997</v>
      </c>
      <c r="E130">
        <v>-73.862279999999998</v>
      </c>
      <c r="F130" t="s">
        <v>18</v>
      </c>
      <c r="G130">
        <v>2</v>
      </c>
      <c r="H130">
        <v>1</v>
      </c>
      <c r="I130">
        <v>1</v>
      </c>
      <c r="J130">
        <v>1</v>
      </c>
      <c r="K130">
        <v>30</v>
      </c>
      <c r="L130">
        <v>181</v>
      </c>
      <c r="M130">
        <v>22</v>
      </c>
      <c r="N130">
        <v>0.33</v>
      </c>
      <c r="O130">
        <f>IF(F130="Private room",1,0)</f>
        <v>1</v>
      </c>
      <c r="P130">
        <f>IF(C130="Manhattan",4,IF(C130="Brooklyn",2,0))</f>
        <v>0</v>
      </c>
      <c r="Q130" s="2">
        <v>56</v>
      </c>
      <c r="R130" s="1">
        <v>45719</v>
      </c>
      <c r="S130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53.250000000000028</v>
      </c>
    </row>
    <row r="131" spans="1:19" x14ac:dyDescent="0.3">
      <c r="A131" t="s">
        <v>287</v>
      </c>
      <c r="B131" t="s">
        <v>24</v>
      </c>
      <c r="C131" t="s">
        <v>20</v>
      </c>
      <c r="D131">
        <v>40.793039999999998</v>
      </c>
      <c r="E131">
        <v>-73.941929999999999</v>
      </c>
      <c r="F131" t="s">
        <v>18</v>
      </c>
      <c r="G131">
        <v>1</v>
      </c>
      <c r="H131">
        <v>1</v>
      </c>
      <c r="I131">
        <v>1</v>
      </c>
      <c r="J131">
        <v>1</v>
      </c>
      <c r="K131">
        <v>30</v>
      </c>
      <c r="L131">
        <v>129</v>
      </c>
      <c r="M131">
        <v>116</v>
      </c>
      <c r="N131">
        <v>1.23</v>
      </c>
      <c r="O131">
        <f>IF(F131="Private room",1,0)</f>
        <v>1</v>
      </c>
      <c r="P131">
        <f>IF(C131="Manhattan",4,IF(C131="Brooklyn",2,0))</f>
        <v>4</v>
      </c>
      <c r="Q131" s="2">
        <v>59</v>
      </c>
      <c r="R131" s="1">
        <v>45745</v>
      </c>
      <c r="S131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97.27000000000001</v>
      </c>
    </row>
    <row r="132" spans="1:19" x14ac:dyDescent="0.3">
      <c r="A132" t="s">
        <v>288</v>
      </c>
      <c r="B132" t="s">
        <v>22</v>
      </c>
      <c r="C132" t="s">
        <v>17</v>
      </c>
      <c r="D132">
        <v>40.647930000000002</v>
      </c>
      <c r="E132">
        <v>-73.99915</v>
      </c>
      <c r="F132" t="s">
        <v>18</v>
      </c>
      <c r="G132">
        <v>1</v>
      </c>
      <c r="H132">
        <v>1</v>
      </c>
      <c r="I132">
        <v>1</v>
      </c>
      <c r="J132">
        <v>1</v>
      </c>
      <c r="K132">
        <v>30</v>
      </c>
      <c r="L132">
        <v>57</v>
      </c>
      <c r="M132">
        <v>41</v>
      </c>
      <c r="N132">
        <v>0.42</v>
      </c>
      <c r="O132">
        <f>IF(F132="Private room",1,0)</f>
        <v>1</v>
      </c>
      <c r="P132">
        <f>IF(C132="Manhattan",4,IF(C132="Brooklyn",2,0))</f>
        <v>2</v>
      </c>
      <c r="Q132" s="2">
        <v>55</v>
      </c>
      <c r="R132" s="1">
        <v>45747</v>
      </c>
      <c r="S132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69.69</v>
      </c>
    </row>
    <row r="133" spans="1:19" x14ac:dyDescent="0.3">
      <c r="A133" t="s">
        <v>289</v>
      </c>
      <c r="B133" t="s">
        <v>19</v>
      </c>
      <c r="C133" t="s">
        <v>20</v>
      </c>
      <c r="D133">
        <v>40.758580000000002</v>
      </c>
      <c r="E133">
        <v>-73.961029999999994</v>
      </c>
      <c r="F133" t="s">
        <v>21</v>
      </c>
      <c r="G133">
        <v>2</v>
      </c>
      <c r="H133">
        <v>1</v>
      </c>
      <c r="I133">
        <v>0</v>
      </c>
      <c r="J133">
        <v>1</v>
      </c>
      <c r="K133">
        <v>30</v>
      </c>
      <c r="L133">
        <v>208</v>
      </c>
      <c r="M133">
        <v>27</v>
      </c>
      <c r="N133">
        <v>0.3</v>
      </c>
      <c r="O133">
        <f>IF(F133="Private room",1,0)</f>
        <v>0</v>
      </c>
      <c r="P133">
        <f>IF(C133="Manhattan",4,IF(C133="Brooklyn",2,0))</f>
        <v>4</v>
      </c>
      <c r="Q133" s="2">
        <v>170</v>
      </c>
      <c r="R133" s="1">
        <v>45746</v>
      </c>
      <c r="S133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156.39000000000004</v>
      </c>
    </row>
    <row r="134" spans="1:19" x14ac:dyDescent="0.3">
      <c r="A134" t="s">
        <v>290</v>
      </c>
      <c r="B134" t="s">
        <v>201</v>
      </c>
      <c r="C134" t="s">
        <v>30</v>
      </c>
      <c r="D134" s="3" t="s">
        <v>291</v>
      </c>
      <c r="E134">
        <v>-73.764101922418405</v>
      </c>
      <c r="F134" t="s">
        <v>21</v>
      </c>
      <c r="G134">
        <v>2</v>
      </c>
      <c r="H134">
        <v>1</v>
      </c>
      <c r="I134">
        <v>1</v>
      </c>
      <c r="J134">
        <v>1</v>
      </c>
      <c r="K134">
        <v>30</v>
      </c>
      <c r="L134">
        <v>120</v>
      </c>
      <c r="M134">
        <v>569</v>
      </c>
      <c r="N134">
        <v>5.95</v>
      </c>
      <c r="O134">
        <f>IF(F134="Private room",1,0)</f>
        <v>0</v>
      </c>
      <c r="P134">
        <f>IF(C134="Manhattan",4,IF(C134="Brooklyn",2,0))</f>
        <v>0</v>
      </c>
      <c r="Q134" s="2">
        <v>72</v>
      </c>
      <c r="R134" s="1">
        <v>45747</v>
      </c>
      <c r="S134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98.990000000000023</v>
      </c>
    </row>
    <row r="135" spans="1:19" x14ac:dyDescent="0.3">
      <c r="A135" t="s">
        <v>292</v>
      </c>
      <c r="B135" t="s">
        <v>53</v>
      </c>
      <c r="C135" t="s">
        <v>20</v>
      </c>
      <c r="D135">
        <v>40.79533</v>
      </c>
      <c r="E135">
        <v>-73.962897999999996</v>
      </c>
      <c r="F135" t="s">
        <v>21</v>
      </c>
      <c r="G135">
        <v>4</v>
      </c>
      <c r="H135">
        <v>1</v>
      </c>
      <c r="I135">
        <v>2</v>
      </c>
      <c r="J135">
        <v>2</v>
      </c>
      <c r="K135">
        <v>30</v>
      </c>
      <c r="L135">
        <v>246</v>
      </c>
      <c r="M135">
        <v>19</v>
      </c>
      <c r="N135">
        <v>0.2</v>
      </c>
      <c r="O135">
        <f>IF(F135="Private room",1,0)</f>
        <v>0</v>
      </c>
      <c r="P135">
        <f>IF(C135="Manhattan",4,IF(C135="Brooklyn",2,0))</f>
        <v>4</v>
      </c>
      <c r="Q135" s="2">
        <v>122</v>
      </c>
      <c r="R135" s="1">
        <v>45747</v>
      </c>
      <c r="S135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192.83000000000004</v>
      </c>
    </row>
    <row r="136" spans="1:19" x14ac:dyDescent="0.3">
      <c r="A136" t="s">
        <v>293</v>
      </c>
      <c r="B136" t="s">
        <v>19</v>
      </c>
      <c r="C136" t="s">
        <v>20</v>
      </c>
      <c r="D136">
        <v>40.750860000000003</v>
      </c>
      <c r="E136">
        <v>-73.982560000000007</v>
      </c>
      <c r="F136" t="s">
        <v>21</v>
      </c>
      <c r="G136">
        <v>6</v>
      </c>
      <c r="H136">
        <v>1</v>
      </c>
      <c r="I136">
        <v>2</v>
      </c>
      <c r="J136">
        <v>4</v>
      </c>
      <c r="K136">
        <v>30</v>
      </c>
      <c r="L136">
        <v>265</v>
      </c>
      <c r="M136">
        <v>13</v>
      </c>
      <c r="N136">
        <v>0.13</v>
      </c>
      <c r="O136">
        <f>IF(F136="Private room",1,0)</f>
        <v>0</v>
      </c>
      <c r="P136">
        <f>IF(C136="Manhattan",4,IF(C136="Brooklyn",2,0))</f>
        <v>4</v>
      </c>
      <c r="Q136" s="2">
        <v>120</v>
      </c>
      <c r="R136" s="1">
        <v>45724</v>
      </c>
      <c r="S136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230.03000000000003</v>
      </c>
    </row>
    <row r="137" spans="1:19" x14ac:dyDescent="0.3">
      <c r="A137" t="s">
        <v>294</v>
      </c>
      <c r="B137" t="s">
        <v>41</v>
      </c>
      <c r="C137" t="s">
        <v>20</v>
      </c>
      <c r="D137">
        <v>40.731349999999999</v>
      </c>
      <c r="E137">
        <v>-73.984859999999998</v>
      </c>
      <c r="F137" t="s">
        <v>21</v>
      </c>
      <c r="G137">
        <v>1</v>
      </c>
      <c r="H137">
        <v>1</v>
      </c>
      <c r="I137">
        <v>1</v>
      </c>
      <c r="J137">
        <v>1</v>
      </c>
      <c r="K137">
        <v>30</v>
      </c>
      <c r="L137">
        <v>147</v>
      </c>
      <c r="M137">
        <v>41</v>
      </c>
      <c r="N137">
        <v>0.42</v>
      </c>
      <c r="O137">
        <f>IF(F137="Private room",1,0)</f>
        <v>0</v>
      </c>
      <c r="P137">
        <f>IF(C137="Manhattan",4,IF(C137="Brooklyn",2,0))</f>
        <v>4</v>
      </c>
      <c r="Q137" s="2">
        <v>108</v>
      </c>
      <c r="R137" s="1">
        <v>45747</v>
      </c>
      <c r="S137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139.85000000000002</v>
      </c>
    </row>
    <row r="138" spans="1:19" x14ac:dyDescent="0.3">
      <c r="A138" t="s">
        <v>297</v>
      </c>
      <c r="B138" t="s">
        <v>58</v>
      </c>
      <c r="C138" t="s">
        <v>17</v>
      </c>
      <c r="D138">
        <v>40.671280000000003</v>
      </c>
      <c r="E138">
        <v>-73.988630000000001</v>
      </c>
      <c r="F138" t="s">
        <v>21</v>
      </c>
      <c r="G138">
        <v>4</v>
      </c>
      <c r="H138">
        <v>1</v>
      </c>
      <c r="I138">
        <v>2</v>
      </c>
      <c r="J138">
        <v>3</v>
      </c>
      <c r="K138">
        <v>30</v>
      </c>
      <c r="L138">
        <v>36</v>
      </c>
      <c r="M138">
        <v>163</v>
      </c>
      <c r="N138">
        <v>1.69</v>
      </c>
      <c r="O138">
        <f>IF(F138="Private room",1,0)</f>
        <v>0</v>
      </c>
      <c r="P138">
        <f>IF(C138="Manhattan",4,IF(C138="Brooklyn",2,0))</f>
        <v>2</v>
      </c>
      <c r="Q138" s="2">
        <v>240</v>
      </c>
      <c r="R138" s="1">
        <v>45747</v>
      </c>
      <c r="S138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170.77000000000004</v>
      </c>
    </row>
    <row r="139" spans="1:19" x14ac:dyDescent="0.3">
      <c r="A139" t="s">
        <v>298</v>
      </c>
      <c r="B139" t="s">
        <v>68</v>
      </c>
      <c r="C139" t="s">
        <v>20</v>
      </c>
      <c r="D139">
        <v>40.837899999999998</v>
      </c>
      <c r="E139">
        <v>-73.945859999999996</v>
      </c>
      <c r="F139" t="s">
        <v>18</v>
      </c>
      <c r="G139">
        <v>1</v>
      </c>
      <c r="H139">
        <v>1</v>
      </c>
      <c r="I139">
        <v>1</v>
      </c>
      <c r="J139">
        <v>1</v>
      </c>
      <c r="K139">
        <v>30</v>
      </c>
      <c r="L139">
        <v>182</v>
      </c>
      <c r="M139">
        <v>18</v>
      </c>
      <c r="N139">
        <v>0.21</v>
      </c>
      <c r="O139">
        <f>IF(F139="Private room",1,0)</f>
        <v>1</v>
      </c>
      <c r="P139">
        <f>IF(C139="Manhattan",4,IF(C139="Brooklyn",2,0))</f>
        <v>4</v>
      </c>
      <c r="Q139" s="2">
        <v>50</v>
      </c>
      <c r="R139" s="1">
        <v>45723</v>
      </c>
      <c r="S139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95.15</v>
      </c>
    </row>
    <row r="140" spans="1:19" x14ac:dyDescent="0.3">
      <c r="A140" t="s">
        <v>299</v>
      </c>
      <c r="B140" t="s">
        <v>27</v>
      </c>
      <c r="C140" t="s">
        <v>17</v>
      </c>
      <c r="D140" s="3" t="s">
        <v>300</v>
      </c>
      <c r="E140">
        <v>-73.934860028570796</v>
      </c>
      <c r="F140" t="s">
        <v>18</v>
      </c>
      <c r="G140">
        <v>1</v>
      </c>
      <c r="H140">
        <v>1</v>
      </c>
      <c r="I140">
        <v>1</v>
      </c>
      <c r="J140">
        <v>1</v>
      </c>
      <c r="K140">
        <v>14</v>
      </c>
      <c r="L140">
        <v>293</v>
      </c>
      <c r="M140">
        <v>49</v>
      </c>
      <c r="N140">
        <v>0.59</v>
      </c>
      <c r="O140">
        <f>IF(F140="Private room",1,0)</f>
        <v>1</v>
      </c>
      <c r="P140">
        <f>IF(C140="Manhattan",4,IF(C140="Brooklyn",2,0))</f>
        <v>2</v>
      </c>
      <c r="Q140" s="2">
        <v>90</v>
      </c>
      <c r="R140" s="1">
        <v>45733</v>
      </c>
      <c r="S140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113.85</v>
      </c>
    </row>
    <row r="141" spans="1:19" x14ac:dyDescent="0.3">
      <c r="A141" t="s">
        <v>301</v>
      </c>
      <c r="B141" t="s">
        <v>27</v>
      </c>
      <c r="C141" t="s">
        <v>17</v>
      </c>
      <c r="D141">
        <v>40.694119999999998</v>
      </c>
      <c r="E141">
        <v>-73.933850000000007</v>
      </c>
      <c r="F141" t="s">
        <v>18</v>
      </c>
      <c r="G141">
        <v>2</v>
      </c>
      <c r="H141">
        <v>1</v>
      </c>
      <c r="I141">
        <v>1</v>
      </c>
      <c r="J141">
        <v>1</v>
      </c>
      <c r="K141">
        <v>5</v>
      </c>
      <c r="L141">
        <v>141</v>
      </c>
      <c r="M141">
        <v>52</v>
      </c>
      <c r="N141">
        <v>0.53</v>
      </c>
      <c r="O141">
        <f>IF(F141="Private room",1,0)</f>
        <v>1</v>
      </c>
      <c r="P141">
        <f>IF(C141="Manhattan",4,IF(C141="Brooklyn",2,0))</f>
        <v>2</v>
      </c>
      <c r="Q141" s="2">
        <v>155</v>
      </c>
      <c r="R141" s="1">
        <v>45729</v>
      </c>
      <c r="S141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169.06000000000003</v>
      </c>
    </row>
    <row r="142" spans="1:19" x14ac:dyDescent="0.3">
      <c r="A142" t="s">
        <v>302</v>
      </c>
      <c r="B142" t="s">
        <v>296</v>
      </c>
      <c r="C142" t="s">
        <v>17</v>
      </c>
      <c r="D142" s="3" t="s">
        <v>303</v>
      </c>
      <c r="E142">
        <v>-74.005593391156793</v>
      </c>
      <c r="F142" t="s">
        <v>21</v>
      </c>
      <c r="G142">
        <v>2</v>
      </c>
      <c r="H142">
        <v>1</v>
      </c>
      <c r="I142">
        <v>1</v>
      </c>
      <c r="J142">
        <v>2</v>
      </c>
      <c r="K142">
        <v>30</v>
      </c>
      <c r="L142">
        <v>285</v>
      </c>
      <c r="M142">
        <v>100</v>
      </c>
      <c r="N142">
        <v>1.04</v>
      </c>
      <c r="O142">
        <f>IF(F142="Private room",1,0)</f>
        <v>0</v>
      </c>
      <c r="P142">
        <f>IF(C142="Manhattan",4,IF(C142="Brooklyn",2,0))</f>
        <v>2</v>
      </c>
      <c r="Q142" s="2">
        <v>95</v>
      </c>
      <c r="R142" s="1">
        <v>45746</v>
      </c>
      <c r="S142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122.85000000000002</v>
      </c>
    </row>
    <row r="143" spans="1:19" x14ac:dyDescent="0.3">
      <c r="A143" t="s">
        <v>304</v>
      </c>
      <c r="B143" t="s">
        <v>38</v>
      </c>
      <c r="C143" t="s">
        <v>20</v>
      </c>
      <c r="D143">
        <v>40.766599999999997</v>
      </c>
      <c r="E143">
        <v>-73.983009999999993</v>
      </c>
      <c r="F143" t="s">
        <v>21</v>
      </c>
      <c r="G143">
        <v>2</v>
      </c>
      <c r="H143">
        <v>1</v>
      </c>
      <c r="I143">
        <v>0</v>
      </c>
      <c r="J143">
        <v>1</v>
      </c>
      <c r="K143">
        <v>30</v>
      </c>
      <c r="L143">
        <v>180</v>
      </c>
      <c r="M143">
        <v>116</v>
      </c>
      <c r="N143">
        <v>1.21</v>
      </c>
      <c r="O143">
        <f>IF(F143="Private room",1,0)</f>
        <v>0</v>
      </c>
      <c r="P143">
        <f>IF(C143="Manhattan",4,IF(C143="Brooklyn",2,0))</f>
        <v>4</v>
      </c>
      <c r="Q143" s="2">
        <v>110</v>
      </c>
      <c r="R143" s="1">
        <v>45732</v>
      </c>
      <c r="S143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157.51000000000002</v>
      </c>
    </row>
    <row r="144" spans="1:19" x14ac:dyDescent="0.3">
      <c r="A144" t="s">
        <v>305</v>
      </c>
      <c r="B144" t="s">
        <v>38</v>
      </c>
      <c r="C144" t="s">
        <v>20</v>
      </c>
      <c r="D144">
        <v>40.764110000000002</v>
      </c>
      <c r="E144">
        <v>-73.993709999999993</v>
      </c>
      <c r="F144" t="s">
        <v>21</v>
      </c>
      <c r="G144">
        <v>3</v>
      </c>
      <c r="H144">
        <v>1</v>
      </c>
      <c r="I144">
        <v>2</v>
      </c>
      <c r="J144">
        <v>1</v>
      </c>
      <c r="K144">
        <v>30</v>
      </c>
      <c r="L144">
        <v>221</v>
      </c>
      <c r="M144">
        <v>6</v>
      </c>
      <c r="N144">
        <v>0.11</v>
      </c>
      <c r="O144">
        <f>IF(F144="Private room",1,0)</f>
        <v>0</v>
      </c>
      <c r="P144">
        <f>IF(C144="Manhattan",4,IF(C144="Brooklyn",2,0))</f>
        <v>4</v>
      </c>
      <c r="Q144" s="2">
        <v>220</v>
      </c>
      <c r="R144" s="1">
        <v>45731</v>
      </c>
      <c r="S144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174.85000000000002</v>
      </c>
    </row>
    <row r="145" spans="1:19" x14ac:dyDescent="0.3">
      <c r="A145" t="s">
        <v>307</v>
      </c>
      <c r="B145" t="s">
        <v>53</v>
      </c>
      <c r="C145" t="s">
        <v>20</v>
      </c>
      <c r="D145">
        <v>40.786380000000001</v>
      </c>
      <c r="E145">
        <v>-73.970529999999997</v>
      </c>
      <c r="F145" t="s">
        <v>21</v>
      </c>
      <c r="G145">
        <v>2</v>
      </c>
      <c r="H145">
        <v>1</v>
      </c>
      <c r="I145">
        <v>1</v>
      </c>
      <c r="J145">
        <v>2</v>
      </c>
      <c r="K145">
        <v>30</v>
      </c>
      <c r="L145">
        <v>243</v>
      </c>
      <c r="M145">
        <v>16</v>
      </c>
      <c r="N145">
        <v>0.3</v>
      </c>
      <c r="O145">
        <f>IF(F145="Private room",1,0)</f>
        <v>0</v>
      </c>
      <c r="P145">
        <f>IF(C145="Manhattan",4,IF(C145="Brooklyn",2,0))</f>
        <v>4</v>
      </c>
      <c r="Q145" s="2">
        <v>139</v>
      </c>
      <c r="R145" s="1">
        <v>45721</v>
      </c>
      <c r="S145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154.99</v>
      </c>
    </row>
    <row r="146" spans="1:19" x14ac:dyDescent="0.3">
      <c r="A146" t="s">
        <v>308</v>
      </c>
      <c r="B146" t="s">
        <v>36</v>
      </c>
      <c r="C146" t="s">
        <v>20</v>
      </c>
      <c r="D146">
        <v>40.772930000000002</v>
      </c>
      <c r="E146">
        <v>-73.95581</v>
      </c>
      <c r="F146" t="s">
        <v>21</v>
      </c>
      <c r="G146">
        <v>2</v>
      </c>
      <c r="H146">
        <v>1</v>
      </c>
      <c r="I146">
        <v>1</v>
      </c>
      <c r="J146">
        <v>1</v>
      </c>
      <c r="K146">
        <v>30</v>
      </c>
      <c r="L146">
        <v>222</v>
      </c>
      <c r="M146">
        <v>12</v>
      </c>
      <c r="N146">
        <v>0.13</v>
      </c>
      <c r="O146">
        <f>IF(F146="Private room",1,0)</f>
        <v>0</v>
      </c>
      <c r="P146">
        <f>IF(C146="Manhattan",4,IF(C146="Brooklyn",2,0))</f>
        <v>4</v>
      </c>
      <c r="Q146" s="2">
        <v>113</v>
      </c>
      <c r="R146" s="1">
        <v>45722</v>
      </c>
      <c r="S146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155.83000000000004</v>
      </c>
    </row>
    <row r="147" spans="1:19" x14ac:dyDescent="0.3">
      <c r="A147" t="s">
        <v>309</v>
      </c>
      <c r="B147" t="s">
        <v>19</v>
      </c>
      <c r="C147" t="s">
        <v>20</v>
      </c>
      <c r="D147">
        <v>40.750520000000002</v>
      </c>
      <c r="E147">
        <v>-73.983199999999997</v>
      </c>
      <c r="F147" t="s">
        <v>21</v>
      </c>
      <c r="G147">
        <v>6</v>
      </c>
      <c r="H147">
        <v>1</v>
      </c>
      <c r="I147">
        <v>2</v>
      </c>
      <c r="J147">
        <v>4</v>
      </c>
      <c r="K147">
        <v>30</v>
      </c>
      <c r="L147">
        <v>286</v>
      </c>
      <c r="M147">
        <v>12</v>
      </c>
      <c r="N147">
        <v>0.13</v>
      </c>
      <c r="O147">
        <f>IF(F147="Private room",1,0)</f>
        <v>0</v>
      </c>
      <c r="P147">
        <f>IF(C147="Manhattan",4,IF(C147="Brooklyn",2,0))</f>
        <v>4</v>
      </c>
      <c r="Q147" s="2">
        <v>120</v>
      </c>
      <c r="R147" s="1">
        <v>45724</v>
      </c>
      <c r="S147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229.19000000000005</v>
      </c>
    </row>
    <row r="148" spans="1:19" x14ac:dyDescent="0.3">
      <c r="A148" t="s">
        <v>310</v>
      </c>
      <c r="B148" t="s">
        <v>36</v>
      </c>
      <c r="C148" t="s">
        <v>20</v>
      </c>
      <c r="D148">
        <v>40.769930000000002</v>
      </c>
      <c r="E148">
        <v>-73.957340000000002</v>
      </c>
      <c r="F148" t="s">
        <v>21</v>
      </c>
      <c r="G148">
        <v>3</v>
      </c>
      <c r="H148">
        <v>1</v>
      </c>
      <c r="I148">
        <v>0</v>
      </c>
      <c r="J148">
        <v>2</v>
      </c>
      <c r="K148">
        <v>30</v>
      </c>
      <c r="L148">
        <v>308</v>
      </c>
      <c r="M148">
        <v>28</v>
      </c>
      <c r="N148">
        <v>0.31</v>
      </c>
      <c r="O148">
        <f>IF(F148="Private room",1,0)</f>
        <v>0</v>
      </c>
      <c r="P148">
        <f>IF(C148="Manhattan",4,IF(C148="Brooklyn",2,0))</f>
        <v>4</v>
      </c>
      <c r="Q148" s="2">
        <v>135</v>
      </c>
      <c r="R148" s="1">
        <v>45738</v>
      </c>
      <c r="S148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171.37</v>
      </c>
    </row>
    <row r="149" spans="1:19" x14ac:dyDescent="0.3">
      <c r="A149" t="s">
        <v>213</v>
      </c>
      <c r="B149" t="s">
        <v>207</v>
      </c>
      <c r="C149" t="s">
        <v>31</v>
      </c>
      <c r="D149">
        <v>40.812559999999998</v>
      </c>
      <c r="E149">
        <v>-73.889009999999999</v>
      </c>
      <c r="F149" t="s">
        <v>18</v>
      </c>
      <c r="G149">
        <v>1</v>
      </c>
      <c r="H149">
        <v>1.5</v>
      </c>
      <c r="I149">
        <v>1</v>
      </c>
      <c r="J149">
        <v>1</v>
      </c>
      <c r="K149">
        <v>30</v>
      </c>
      <c r="L149">
        <v>350</v>
      </c>
      <c r="M149">
        <v>29</v>
      </c>
      <c r="N149">
        <v>0.34</v>
      </c>
      <c r="O149">
        <f>IF(F149="Private room",1,0)</f>
        <v>1</v>
      </c>
      <c r="P149">
        <f>IF(C149="Manhattan",4,IF(C149="Brooklyn",2,0))</f>
        <v>0</v>
      </c>
      <c r="Q149" s="2">
        <v>50</v>
      </c>
      <c r="R149" s="1">
        <v>45737</v>
      </c>
      <c r="S149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33.120000000000019</v>
      </c>
    </row>
    <row r="150" spans="1:19" x14ac:dyDescent="0.3">
      <c r="A150" t="s">
        <v>311</v>
      </c>
      <c r="B150" t="s">
        <v>27</v>
      </c>
      <c r="C150" t="s">
        <v>17</v>
      </c>
      <c r="D150">
        <v>40.69444</v>
      </c>
      <c r="E150">
        <v>-73.946439999999996</v>
      </c>
      <c r="F150" t="s">
        <v>21</v>
      </c>
      <c r="G150">
        <v>8</v>
      </c>
      <c r="H150">
        <v>2</v>
      </c>
      <c r="I150">
        <v>3</v>
      </c>
      <c r="J150">
        <v>3</v>
      </c>
      <c r="K150">
        <v>30</v>
      </c>
      <c r="L150">
        <v>281</v>
      </c>
      <c r="M150">
        <v>111</v>
      </c>
      <c r="N150">
        <v>1.1599999999999999</v>
      </c>
      <c r="O150">
        <f>IF(F150="Private room",1,0)</f>
        <v>0</v>
      </c>
      <c r="P150">
        <f>IF(C150="Manhattan",4,IF(C150="Brooklyn",2,0))</f>
        <v>2</v>
      </c>
      <c r="Q150" s="2">
        <v>115</v>
      </c>
      <c r="R150" s="1">
        <v>45728</v>
      </c>
      <c r="S150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248.11000000000004</v>
      </c>
    </row>
    <row r="151" spans="1:19" x14ac:dyDescent="0.3">
      <c r="A151" t="s">
        <v>312</v>
      </c>
      <c r="B151" t="s">
        <v>53</v>
      </c>
      <c r="C151" t="s">
        <v>20</v>
      </c>
      <c r="D151">
        <v>40.778700000000001</v>
      </c>
      <c r="E151">
        <v>-73.980189999999993</v>
      </c>
      <c r="F151" t="s">
        <v>21</v>
      </c>
      <c r="G151">
        <v>2</v>
      </c>
      <c r="H151">
        <v>1</v>
      </c>
      <c r="I151">
        <v>1</v>
      </c>
      <c r="J151">
        <v>2</v>
      </c>
      <c r="K151">
        <v>30</v>
      </c>
      <c r="L151">
        <v>232</v>
      </c>
      <c r="M151">
        <v>61</v>
      </c>
      <c r="N151">
        <v>0.67</v>
      </c>
      <c r="O151">
        <f>IF(F151="Private room",1,0)</f>
        <v>0</v>
      </c>
      <c r="P151">
        <f>IF(C151="Manhattan",4,IF(C151="Brooklyn",2,0))</f>
        <v>4</v>
      </c>
      <c r="Q151" s="2">
        <v>180</v>
      </c>
      <c r="R151" s="1">
        <v>45745</v>
      </c>
      <c r="S151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155.43</v>
      </c>
    </row>
    <row r="152" spans="1:19" x14ac:dyDescent="0.3">
      <c r="A152" t="s">
        <v>313</v>
      </c>
      <c r="B152" t="s">
        <v>28</v>
      </c>
      <c r="C152" t="s">
        <v>20</v>
      </c>
      <c r="D152">
        <v>40.825180000000003</v>
      </c>
      <c r="E152">
        <v>-73.942750000000004</v>
      </c>
      <c r="F152" t="s">
        <v>18</v>
      </c>
      <c r="G152">
        <v>2</v>
      </c>
      <c r="H152">
        <v>1.5</v>
      </c>
      <c r="I152">
        <v>1</v>
      </c>
      <c r="J152">
        <v>1</v>
      </c>
      <c r="K152">
        <v>30</v>
      </c>
      <c r="L152">
        <v>278</v>
      </c>
      <c r="M152">
        <v>62</v>
      </c>
      <c r="N152">
        <v>0.65</v>
      </c>
      <c r="O152">
        <f>IF(F152="Private room",1,0)</f>
        <v>1</v>
      </c>
      <c r="P152">
        <f>IF(C152="Manhattan",4,IF(C152="Brooklyn",2,0))</f>
        <v>4</v>
      </c>
      <c r="Q152" s="2">
        <v>69</v>
      </c>
      <c r="R152" s="1">
        <v>45720</v>
      </c>
      <c r="S152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115.90000000000003</v>
      </c>
    </row>
    <row r="153" spans="1:19" x14ac:dyDescent="0.3">
      <c r="A153" t="s">
        <v>314</v>
      </c>
      <c r="B153" t="s">
        <v>99</v>
      </c>
      <c r="C153" t="s">
        <v>30</v>
      </c>
      <c r="D153" s="3" t="s">
        <v>315</v>
      </c>
      <c r="E153">
        <v>-73.883781822275793</v>
      </c>
      <c r="F153" t="s">
        <v>18</v>
      </c>
      <c r="G153">
        <v>2</v>
      </c>
      <c r="H153">
        <v>1</v>
      </c>
      <c r="I153">
        <v>1</v>
      </c>
      <c r="J153">
        <v>2</v>
      </c>
      <c r="K153">
        <v>2</v>
      </c>
      <c r="L153">
        <v>303</v>
      </c>
      <c r="M153">
        <v>126</v>
      </c>
      <c r="N153">
        <v>1.39</v>
      </c>
      <c r="O153">
        <f>IF(F153="Private room",1,0)</f>
        <v>1</v>
      </c>
      <c r="P153">
        <f>IF(C153="Manhattan",4,IF(C153="Brooklyn",2,0))</f>
        <v>0</v>
      </c>
      <c r="Q153" s="2">
        <v>180</v>
      </c>
      <c r="R153" s="1">
        <v>45726</v>
      </c>
      <c r="S153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142.17000000000002</v>
      </c>
    </row>
    <row r="154" spans="1:19" x14ac:dyDescent="0.3">
      <c r="A154" t="s">
        <v>316</v>
      </c>
      <c r="B154" t="s">
        <v>121</v>
      </c>
      <c r="C154" t="s">
        <v>31</v>
      </c>
      <c r="D154">
        <v>40.83793</v>
      </c>
      <c r="E154">
        <v>-73.783280000000005</v>
      </c>
      <c r="F154" t="s">
        <v>18</v>
      </c>
      <c r="G154">
        <v>2</v>
      </c>
      <c r="H154">
        <v>1</v>
      </c>
      <c r="I154">
        <v>1</v>
      </c>
      <c r="J154">
        <v>1</v>
      </c>
      <c r="K154">
        <v>1</v>
      </c>
      <c r="L154">
        <v>317</v>
      </c>
      <c r="M154">
        <v>67</v>
      </c>
      <c r="N154">
        <v>0.89</v>
      </c>
      <c r="O154">
        <f>IF(F154="Private room",1,0)</f>
        <v>1</v>
      </c>
      <c r="P154">
        <f>IF(C154="Manhattan",4,IF(C154="Brooklyn",2,0))</f>
        <v>0</v>
      </c>
      <c r="Q154" s="2">
        <v>87</v>
      </c>
      <c r="R154" s="1">
        <v>45741</v>
      </c>
      <c r="S154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144.96000000000004</v>
      </c>
    </row>
    <row r="155" spans="1:19" x14ac:dyDescent="0.3">
      <c r="A155" t="s">
        <v>317</v>
      </c>
      <c r="B155" t="s">
        <v>56</v>
      </c>
      <c r="C155" t="s">
        <v>17</v>
      </c>
      <c r="D155">
        <v>40.676029999999997</v>
      </c>
      <c r="E155">
        <v>-73.910880000000006</v>
      </c>
      <c r="F155" t="s">
        <v>21</v>
      </c>
      <c r="G155">
        <v>6</v>
      </c>
      <c r="H155">
        <v>2</v>
      </c>
      <c r="I155">
        <v>3</v>
      </c>
      <c r="J155">
        <v>5</v>
      </c>
      <c r="K155">
        <v>30</v>
      </c>
      <c r="L155">
        <v>349</v>
      </c>
      <c r="M155">
        <v>62</v>
      </c>
      <c r="N155">
        <v>0.66</v>
      </c>
      <c r="O155">
        <f>IF(F155="Private room",1,0)</f>
        <v>0</v>
      </c>
      <c r="P155">
        <f>IF(C155="Manhattan",4,IF(C155="Brooklyn",2,0))</f>
        <v>2</v>
      </c>
      <c r="Q155" s="2">
        <v>120</v>
      </c>
      <c r="R155" s="1">
        <v>45717</v>
      </c>
      <c r="S155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207.43</v>
      </c>
    </row>
    <row r="156" spans="1:19" x14ac:dyDescent="0.3">
      <c r="A156" t="s">
        <v>318</v>
      </c>
      <c r="B156" t="s">
        <v>161</v>
      </c>
      <c r="C156" t="s">
        <v>30</v>
      </c>
      <c r="D156">
        <v>40.710659999999997</v>
      </c>
      <c r="E156">
        <v>-73.85087</v>
      </c>
      <c r="F156" t="s">
        <v>18</v>
      </c>
      <c r="G156">
        <v>2</v>
      </c>
      <c r="H156">
        <v>1</v>
      </c>
      <c r="I156">
        <v>1</v>
      </c>
      <c r="J156">
        <v>1</v>
      </c>
      <c r="K156">
        <v>30</v>
      </c>
      <c r="L156">
        <v>117</v>
      </c>
      <c r="M156">
        <v>88</v>
      </c>
      <c r="N156">
        <v>0.93</v>
      </c>
      <c r="O156">
        <f>IF(F156="Private room",1,0)</f>
        <v>1</v>
      </c>
      <c r="P156">
        <f>IF(C156="Manhattan",4,IF(C156="Brooklyn",2,0))</f>
        <v>0</v>
      </c>
      <c r="Q156" s="2">
        <v>72</v>
      </c>
      <c r="R156" s="1">
        <v>45747</v>
      </c>
      <c r="S156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55.810000000000016</v>
      </c>
    </row>
    <row r="157" spans="1:19" x14ac:dyDescent="0.3">
      <c r="A157" t="s">
        <v>319</v>
      </c>
      <c r="B157" t="s">
        <v>23</v>
      </c>
      <c r="C157" t="s">
        <v>17</v>
      </c>
      <c r="D157">
        <v>40.719059999999999</v>
      </c>
      <c r="E157">
        <v>-73.942459999999997</v>
      </c>
      <c r="F157" t="s">
        <v>21</v>
      </c>
      <c r="G157">
        <v>3</v>
      </c>
      <c r="H157">
        <v>1</v>
      </c>
      <c r="I157">
        <v>1</v>
      </c>
      <c r="J157">
        <v>1</v>
      </c>
      <c r="K157">
        <v>30</v>
      </c>
      <c r="L157">
        <v>233</v>
      </c>
      <c r="M157">
        <v>208</v>
      </c>
      <c r="N157">
        <v>2.21</v>
      </c>
      <c r="O157">
        <f>IF(F157="Private room",1,0)</f>
        <v>0</v>
      </c>
      <c r="P157">
        <f>IF(C157="Manhattan",4,IF(C157="Brooklyn",2,0))</f>
        <v>2</v>
      </c>
      <c r="Q157" s="2">
        <v>177</v>
      </c>
      <c r="R157" s="1">
        <v>45747</v>
      </c>
      <c r="S157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143.91000000000003</v>
      </c>
    </row>
    <row r="158" spans="1:19" x14ac:dyDescent="0.3">
      <c r="A158" t="s">
        <v>320</v>
      </c>
      <c r="B158" t="s">
        <v>113</v>
      </c>
      <c r="C158" t="s">
        <v>30</v>
      </c>
      <c r="D158">
        <v>40.752029999999998</v>
      </c>
      <c r="E158">
        <v>-73.815119999999993</v>
      </c>
      <c r="F158" t="s">
        <v>18</v>
      </c>
      <c r="G158">
        <v>2</v>
      </c>
      <c r="H158">
        <v>2</v>
      </c>
      <c r="I158">
        <v>1</v>
      </c>
      <c r="J158">
        <v>1</v>
      </c>
      <c r="K158">
        <v>30</v>
      </c>
      <c r="L158">
        <v>63</v>
      </c>
      <c r="M158">
        <v>199</v>
      </c>
      <c r="N158">
        <v>2.13</v>
      </c>
      <c r="O158">
        <f>IF(F158="Private room",1,0)</f>
        <v>1</v>
      </c>
      <c r="P158">
        <f>IF(C158="Manhattan",4,IF(C158="Brooklyn",2,0))</f>
        <v>0</v>
      </c>
      <c r="Q158" s="2">
        <v>65</v>
      </c>
      <c r="R158" s="1">
        <v>45732</v>
      </c>
      <c r="S158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69.190000000000026</v>
      </c>
    </row>
    <row r="159" spans="1:19" x14ac:dyDescent="0.3">
      <c r="A159" t="s">
        <v>321</v>
      </c>
      <c r="B159" t="s">
        <v>36</v>
      </c>
      <c r="C159" t="s">
        <v>20</v>
      </c>
      <c r="D159">
        <v>40.778179999999999</v>
      </c>
      <c r="E159">
        <v>-73.954769999999996</v>
      </c>
      <c r="F159" t="s">
        <v>21</v>
      </c>
      <c r="G159">
        <v>2</v>
      </c>
      <c r="H159">
        <v>1</v>
      </c>
      <c r="I159">
        <v>1</v>
      </c>
      <c r="J159">
        <v>1</v>
      </c>
      <c r="K159">
        <v>30</v>
      </c>
      <c r="L159">
        <v>334</v>
      </c>
      <c r="M159">
        <v>21</v>
      </c>
      <c r="N159">
        <v>0.24</v>
      </c>
      <c r="O159">
        <f>IF(F159="Private room",1,0)</f>
        <v>0</v>
      </c>
      <c r="P159">
        <f>IF(C159="Manhattan",4,IF(C159="Brooklyn",2,0))</f>
        <v>4</v>
      </c>
      <c r="Q159" s="2">
        <v>131</v>
      </c>
      <c r="R159" s="1">
        <v>45726</v>
      </c>
      <c r="S159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151.35000000000002</v>
      </c>
    </row>
    <row r="160" spans="1:19" x14ac:dyDescent="0.3">
      <c r="A160" t="s">
        <v>322</v>
      </c>
      <c r="B160" t="s">
        <v>23</v>
      </c>
      <c r="C160" t="s">
        <v>17</v>
      </c>
      <c r="D160">
        <v>40.717170000000003</v>
      </c>
      <c r="E160">
        <v>-73.949160000000006</v>
      </c>
      <c r="F160" t="s">
        <v>18</v>
      </c>
      <c r="G160">
        <v>1</v>
      </c>
      <c r="H160">
        <v>2</v>
      </c>
      <c r="I160">
        <v>1</v>
      </c>
      <c r="J160">
        <v>1</v>
      </c>
      <c r="K160">
        <v>30</v>
      </c>
      <c r="L160">
        <v>135</v>
      </c>
      <c r="M160">
        <v>35</v>
      </c>
      <c r="N160">
        <v>0.38</v>
      </c>
      <c r="O160">
        <f>IF(F160="Private room",1,0)</f>
        <v>1</v>
      </c>
      <c r="P160">
        <f>IF(C160="Manhattan",4,IF(C160="Brooklyn",2,0))</f>
        <v>2</v>
      </c>
      <c r="Q160" s="2">
        <v>52</v>
      </c>
      <c r="R160" s="1">
        <v>45731</v>
      </c>
      <c r="S160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77.789999999999992</v>
      </c>
    </row>
    <row r="161" spans="1:19" x14ac:dyDescent="0.3">
      <c r="A161" t="s">
        <v>323</v>
      </c>
      <c r="B161" t="s">
        <v>48</v>
      </c>
      <c r="C161" t="s">
        <v>20</v>
      </c>
      <c r="D161">
        <v>40.732750000000003</v>
      </c>
      <c r="E161">
        <v>-74.000050000000002</v>
      </c>
      <c r="F161" t="s">
        <v>21</v>
      </c>
      <c r="G161">
        <v>2</v>
      </c>
      <c r="H161">
        <v>1</v>
      </c>
      <c r="I161">
        <v>1</v>
      </c>
      <c r="J161">
        <v>1</v>
      </c>
      <c r="K161">
        <v>30</v>
      </c>
      <c r="L161">
        <v>243</v>
      </c>
      <c r="M161">
        <v>36</v>
      </c>
      <c r="N161">
        <v>0.39</v>
      </c>
      <c r="O161">
        <f>IF(F161="Private room",1,0)</f>
        <v>0</v>
      </c>
      <c r="P161">
        <f>IF(C161="Manhattan",4,IF(C161="Brooklyn",2,0))</f>
        <v>4</v>
      </c>
      <c r="Q161" s="2">
        <v>178</v>
      </c>
      <c r="R161" s="1">
        <v>45725</v>
      </c>
      <c r="S161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154.99</v>
      </c>
    </row>
    <row r="162" spans="1:19" x14ac:dyDescent="0.3">
      <c r="A162" t="s">
        <v>324</v>
      </c>
      <c r="B162" t="s">
        <v>41</v>
      </c>
      <c r="C162" t="s">
        <v>20</v>
      </c>
      <c r="D162">
        <v>40.728099999999998</v>
      </c>
      <c r="E162">
        <v>-73.978319999999997</v>
      </c>
      <c r="F162" t="s">
        <v>18</v>
      </c>
      <c r="G162">
        <v>2</v>
      </c>
      <c r="H162">
        <v>1</v>
      </c>
      <c r="I162">
        <v>1</v>
      </c>
      <c r="J162">
        <v>1</v>
      </c>
      <c r="K162">
        <v>30</v>
      </c>
      <c r="L162">
        <v>243</v>
      </c>
      <c r="M162">
        <v>163</v>
      </c>
      <c r="N162">
        <v>1.77</v>
      </c>
      <c r="O162">
        <f>IF(F162="Private room",1,0)</f>
        <v>1</v>
      </c>
      <c r="P162">
        <f>IF(C162="Manhattan",4,IF(C162="Brooklyn",2,0))</f>
        <v>4</v>
      </c>
      <c r="Q162" s="2">
        <v>85</v>
      </c>
      <c r="R162" s="1">
        <v>45747</v>
      </c>
      <c r="S162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111.69000000000003</v>
      </c>
    </row>
    <row r="163" spans="1:19" x14ac:dyDescent="0.3">
      <c r="A163" t="s">
        <v>325</v>
      </c>
      <c r="B163" t="s">
        <v>38</v>
      </c>
      <c r="C163" t="s">
        <v>20</v>
      </c>
      <c r="D163">
        <v>40.753740000000001</v>
      </c>
      <c r="E163">
        <v>-73.996799999999993</v>
      </c>
      <c r="F163" t="s">
        <v>21</v>
      </c>
      <c r="G163">
        <v>2</v>
      </c>
      <c r="H163">
        <v>1</v>
      </c>
      <c r="I163">
        <v>2</v>
      </c>
      <c r="J163">
        <v>2</v>
      </c>
      <c r="K163">
        <v>30</v>
      </c>
      <c r="L163">
        <v>364</v>
      </c>
      <c r="M163">
        <v>68</v>
      </c>
      <c r="N163">
        <v>0.74</v>
      </c>
      <c r="O163">
        <f>IF(F163="Private room",1,0)</f>
        <v>0</v>
      </c>
      <c r="P163">
        <f>IF(C163="Manhattan",4,IF(C163="Brooklyn",2,0))</f>
        <v>4</v>
      </c>
      <c r="Q163" s="2">
        <v>200</v>
      </c>
      <c r="R163" s="1">
        <v>45719</v>
      </c>
      <c r="S163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150.15000000000003</v>
      </c>
    </row>
    <row r="164" spans="1:19" x14ac:dyDescent="0.3">
      <c r="A164" t="s">
        <v>326</v>
      </c>
      <c r="B164" t="s">
        <v>242</v>
      </c>
      <c r="C164" t="s">
        <v>31</v>
      </c>
      <c r="D164">
        <v>40.864409999999999</v>
      </c>
      <c r="E164">
        <v>-73.842839999999995</v>
      </c>
      <c r="F164" t="s">
        <v>18</v>
      </c>
      <c r="G164">
        <v>1</v>
      </c>
      <c r="H164">
        <v>1</v>
      </c>
      <c r="I164">
        <v>1</v>
      </c>
      <c r="J164">
        <v>1</v>
      </c>
      <c r="K164">
        <v>30</v>
      </c>
      <c r="L164">
        <v>125</v>
      </c>
      <c r="M164">
        <v>53</v>
      </c>
      <c r="N164">
        <v>0.57999999999999996</v>
      </c>
      <c r="O164">
        <f>IF(F164="Private room",1,0)</f>
        <v>1</v>
      </c>
      <c r="P164">
        <f>IF(C164="Manhattan",4,IF(C164="Brooklyn",2,0))</f>
        <v>0</v>
      </c>
      <c r="Q164" s="2">
        <v>58</v>
      </c>
      <c r="R164" s="1">
        <v>45728</v>
      </c>
      <c r="S164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36.510000000000005</v>
      </c>
    </row>
    <row r="165" spans="1:19" x14ac:dyDescent="0.3">
      <c r="A165" t="s">
        <v>327</v>
      </c>
      <c r="B165" t="s">
        <v>73</v>
      </c>
      <c r="C165" t="s">
        <v>30</v>
      </c>
      <c r="D165">
        <v>40.747520000000002</v>
      </c>
      <c r="E165">
        <v>-73.949520000000007</v>
      </c>
      <c r="F165" t="s">
        <v>18</v>
      </c>
      <c r="G165">
        <v>2</v>
      </c>
      <c r="H165">
        <v>1</v>
      </c>
      <c r="I165">
        <v>1</v>
      </c>
      <c r="J165">
        <v>1</v>
      </c>
      <c r="K165">
        <v>7</v>
      </c>
      <c r="L165">
        <v>48</v>
      </c>
      <c r="M165">
        <v>80</v>
      </c>
      <c r="N165">
        <v>0.94</v>
      </c>
      <c r="O165">
        <f>IF(F165="Private room",1,0)</f>
        <v>1</v>
      </c>
      <c r="P165">
        <f>IF(C165="Manhattan",4,IF(C165="Brooklyn",2,0))</f>
        <v>0</v>
      </c>
      <c r="Q165" s="2">
        <v>143</v>
      </c>
      <c r="R165" s="1">
        <v>45737</v>
      </c>
      <c r="S165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135.62000000000006</v>
      </c>
    </row>
    <row r="166" spans="1:19" x14ac:dyDescent="0.3">
      <c r="A166" t="s">
        <v>328</v>
      </c>
      <c r="B166" t="s">
        <v>36</v>
      </c>
      <c r="C166" t="s">
        <v>20</v>
      </c>
      <c r="D166">
        <v>40.777810000000002</v>
      </c>
      <c r="E166">
        <v>-73.951560000000001</v>
      </c>
      <c r="F166" t="s">
        <v>21</v>
      </c>
      <c r="G166">
        <v>2</v>
      </c>
      <c r="H166">
        <v>1</v>
      </c>
      <c r="I166">
        <v>0</v>
      </c>
      <c r="J166">
        <v>1</v>
      </c>
      <c r="K166">
        <v>30</v>
      </c>
      <c r="L166">
        <v>86</v>
      </c>
      <c r="M166">
        <v>92</v>
      </c>
      <c r="N166">
        <v>1.01</v>
      </c>
      <c r="O166">
        <f>IF(F166="Private room",1,0)</f>
        <v>0</v>
      </c>
      <c r="P166">
        <f>IF(C166="Manhattan",4,IF(C166="Brooklyn",2,0))</f>
        <v>4</v>
      </c>
      <c r="Q166" s="2">
        <v>105</v>
      </c>
      <c r="R166" s="1">
        <v>45746</v>
      </c>
      <c r="S166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161.27000000000004</v>
      </c>
    </row>
    <row r="167" spans="1:19" x14ac:dyDescent="0.3">
      <c r="A167" t="s">
        <v>329</v>
      </c>
      <c r="B167" t="s">
        <v>33</v>
      </c>
      <c r="C167" t="s">
        <v>17</v>
      </c>
      <c r="D167">
        <v>40.67456</v>
      </c>
      <c r="E167">
        <v>-73.979510000000005</v>
      </c>
      <c r="F167" t="s">
        <v>21</v>
      </c>
      <c r="G167">
        <v>4</v>
      </c>
      <c r="H167">
        <v>1</v>
      </c>
      <c r="I167">
        <v>2</v>
      </c>
      <c r="J167">
        <v>2</v>
      </c>
      <c r="K167">
        <v>30</v>
      </c>
      <c r="L167">
        <v>334</v>
      </c>
      <c r="M167">
        <v>125</v>
      </c>
      <c r="N167">
        <v>1.4</v>
      </c>
      <c r="O167">
        <f>IF(F167="Private room",1,0)</f>
        <v>0</v>
      </c>
      <c r="P167">
        <f>IF(C167="Manhattan",4,IF(C167="Brooklyn",2,0))</f>
        <v>2</v>
      </c>
      <c r="Q167" s="2">
        <v>190</v>
      </c>
      <c r="R167" s="1">
        <v>45739</v>
      </c>
      <c r="S167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158.85000000000005</v>
      </c>
    </row>
    <row r="168" spans="1:19" x14ac:dyDescent="0.3">
      <c r="A168" t="s">
        <v>330</v>
      </c>
      <c r="B168" t="s">
        <v>27</v>
      </c>
      <c r="C168" t="s">
        <v>17</v>
      </c>
      <c r="D168">
        <v>40.689250000000001</v>
      </c>
      <c r="E168">
        <v>-73.951589999999996</v>
      </c>
      <c r="F168" t="s">
        <v>18</v>
      </c>
      <c r="G168">
        <v>2</v>
      </c>
      <c r="H168">
        <v>1</v>
      </c>
      <c r="I168">
        <v>2</v>
      </c>
      <c r="J168">
        <v>2</v>
      </c>
      <c r="K168">
        <v>2</v>
      </c>
      <c r="L168">
        <v>98</v>
      </c>
      <c r="M168">
        <v>82</v>
      </c>
      <c r="N168">
        <v>0.95</v>
      </c>
      <c r="O168">
        <f>IF(F168="Private room",1,0)</f>
        <v>1</v>
      </c>
      <c r="P168">
        <f>IF(C168="Manhattan",4,IF(C168="Brooklyn",2,0))</f>
        <v>2</v>
      </c>
      <c r="Q168" s="2">
        <v>154</v>
      </c>
      <c r="R168" s="1">
        <v>45746</v>
      </c>
      <c r="S168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180.83000000000007</v>
      </c>
    </row>
    <row r="169" spans="1:19" x14ac:dyDescent="0.3">
      <c r="A169" t="s">
        <v>331</v>
      </c>
      <c r="B169" t="s">
        <v>67</v>
      </c>
      <c r="C169" t="s">
        <v>17</v>
      </c>
      <c r="D169">
        <v>40.701790000000003</v>
      </c>
      <c r="E169">
        <v>-73.930030000000002</v>
      </c>
      <c r="F169" t="s">
        <v>18</v>
      </c>
      <c r="G169">
        <v>1</v>
      </c>
      <c r="H169">
        <v>1.5</v>
      </c>
      <c r="I169">
        <v>1</v>
      </c>
      <c r="J169">
        <v>1</v>
      </c>
      <c r="K169">
        <v>30</v>
      </c>
      <c r="L169">
        <v>52</v>
      </c>
      <c r="M169">
        <v>153</v>
      </c>
      <c r="N169">
        <v>1.69</v>
      </c>
      <c r="O169">
        <f>IF(F169="Private room",1,0)</f>
        <v>1</v>
      </c>
      <c r="P169">
        <f>IF(C169="Manhattan",4,IF(C169="Brooklyn",2,0))</f>
        <v>2</v>
      </c>
      <c r="Q169" s="2">
        <v>80</v>
      </c>
      <c r="R169" s="1">
        <v>45723</v>
      </c>
      <c r="S169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75.500000000000028</v>
      </c>
    </row>
    <row r="170" spans="1:19" x14ac:dyDescent="0.3">
      <c r="A170" t="s">
        <v>332</v>
      </c>
      <c r="B170" t="s">
        <v>44</v>
      </c>
      <c r="C170" t="s">
        <v>30</v>
      </c>
      <c r="D170">
        <v>40.681069999999998</v>
      </c>
      <c r="E170">
        <v>-73.768780000000007</v>
      </c>
      <c r="F170" t="s">
        <v>21</v>
      </c>
      <c r="G170">
        <v>7</v>
      </c>
      <c r="H170">
        <v>2</v>
      </c>
      <c r="I170">
        <v>3</v>
      </c>
      <c r="J170">
        <v>5</v>
      </c>
      <c r="K170">
        <v>30</v>
      </c>
      <c r="L170">
        <v>180</v>
      </c>
      <c r="M170">
        <v>288</v>
      </c>
      <c r="N170">
        <v>3.19</v>
      </c>
      <c r="O170">
        <f>IF(F170="Private room",1,0)</f>
        <v>0</v>
      </c>
      <c r="P170">
        <f>IF(C170="Manhattan",4,IF(C170="Brooklyn",2,0))</f>
        <v>0</v>
      </c>
      <c r="Q170" s="2">
        <v>140</v>
      </c>
      <c r="R170" s="1">
        <v>45723</v>
      </c>
      <c r="S170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202.71000000000004</v>
      </c>
    </row>
    <row r="171" spans="1:19" x14ac:dyDescent="0.3">
      <c r="A171" t="s">
        <v>333</v>
      </c>
      <c r="B171" t="s">
        <v>84</v>
      </c>
      <c r="C171" t="s">
        <v>17</v>
      </c>
      <c r="D171" s="3" t="s">
        <v>334</v>
      </c>
      <c r="E171">
        <v>-73.949431590735898</v>
      </c>
      <c r="F171" t="s">
        <v>18</v>
      </c>
      <c r="G171">
        <v>2</v>
      </c>
      <c r="H171">
        <v>1</v>
      </c>
      <c r="I171">
        <v>1</v>
      </c>
      <c r="J171">
        <v>1</v>
      </c>
      <c r="K171">
        <v>30</v>
      </c>
      <c r="L171">
        <v>265</v>
      </c>
      <c r="M171">
        <v>117</v>
      </c>
      <c r="N171">
        <v>1.34</v>
      </c>
      <c r="O171">
        <f>IF(F171="Private room",1,0)</f>
        <v>1</v>
      </c>
      <c r="P171">
        <f>IF(C171="Manhattan",4,IF(C171="Brooklyn",2,0))</f>
        <v>2</v>
      </c>
      <c r="Q171" s="2">
        <v>51</v>
      </c>
      <c r="R171" s="1">
        <v>45735</v>
      </c>
      <c r="S171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80.350000000000023</v>
      </c>
    </row>
    <row r="172" spans="1:19" x14ac:dyDescent="0.3">
      <c r="A172" t="s">
        <v>335</v>
      </c>
      <c r="B172" t="s">
        <v>205</v>
      </c>
      <c r="C172" t="s">
        <v>17</v>
      </c>
      <c r="D172" s="3" t="s">
        <v>336</v>
      </c>
      <c r="E172">
        <v>-73.909805292605199</v>
      </c>
      <c r="F172" t="s">
        <v>18</v>
      </c>
      <c r="G172">
        <v>1</v>
      </c>
      <c r="H172">
        <v>1</v>
      </c>
      <c r="I172">
        <v>1</v>
      </c>
      <c r="J172">
        <v>1</v>
      </c>
      <c r="K172">
        <v>3</v>
      </c>
      <c r="L172">
        <v>349</v>
      </c>
      <c r="M172">
        <v>124</v>
      </c>
      <c r="N172">
        <v>1.39</v>
      </c>
      <c r="O172">
        <f>IF(F172="Private room",1,0)</f>
        <v>1</v>
      </c>
      <c r="P172">
        <f>IF(C172="Manhattan",4,IF(C172="Brooklyn",2,0))</f>
        <v>2</v>
      </c>
      <c r="Q172" s="2">
        <v>84</v>
      </c>
      <c r="R172" s="1">
        <v>45739</v>
      </c>
      <c r="S172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148.45999999999998</v>
      </c>
    </row>
    <row r="173" spans="1:19" x14ac:dyDescent="0.3">
      <c r="A173" t="s">
        <v>337</v>
      </c>
      <c r="B173" t="s">
        <v>28</v>
      </c>
      <c r="C173" t="s">
        <v>20</v>
      </c>
      <c r="D173">
        <v>40.806429999999999</v>
      </c>
      <c r="E173">
        <v>-73.949309999999997</v>
      </c>
      <c r="F173" t="s">
        <v>21</v>
      </c>
      <c r="G173">
        <v>2</v>
      </c>
      <c r="H173">
        <v>1</v>
      </c>
      <c r="I173">
        <v>0</v>
      </c>
      <c r="J173">
        <v>1</v>
      </c>
      <c r="K173">
        <v>30</v>
      </c>
      <c r="L173">
        <v>182</v>
      </c>
      <c r="M173">
        <v>32</v>
      </c>
      <c r="N173">
        <v>0.36</v>
      </c>
      <c r="O173">
        <f>IF(F173="Private room",1,0)</f>
        <v>0</v>
      </c>
      <c r="P173">
        <f>IF(C173="Manhattan",4,IF(C173="Brooklyn",2,0))</f>
        <v>4</v>
      </c>
      <c r="Q173" s="2">
        <v>75</v>
      </c>
      <c r="R173" s="1">
        <v>45730</v>
      </c>
      <c r="S173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157.43</v>
      </c>
    </row>
    <row r="174" spans="1:19" x14ac:dyDescent="0.3">
      <c r="A174" t="s">
        <v>338</v>
      </c>
      <c r="B174" t="s">
        <v>49</v>
      </c>
      <c r="C174" t="s">
        <v>20</v>
      </c>
      <c r="D174" s="3" t="s">
        <v>339</v>
      </c>
      <c r="E174">
        <v>-73.979278564453097</v>
      </c>
      <c r="F174" t="s">
        <v>21</v>
      </c>
      <c r="G174">
        <v>2</v>
      </c>
      <c r="H174">
        <v>1</v>
      </c>
      <c r="I174">
        <v>1</v>
      </c>
      <c r="J174">
        <v>1</v>
      </c>
      <c r="K174">
        <v>30</v>
      </c>
      <c r="L174">
        <v>331</v>
      </c>
      <c r="M174">
        <v>33</v>
      </c>
      <c r="N174">
        <v>0.37</v>
      </c>
      <c r="O174">
        <f>IF(F174="Private room",1,0)</f>
        <v>0</v>
      </c>
      <c r="P174">
        <f>IF(C174="Manhattan",4,IF(C174="Brooklyn",2,0))</f>
        <v>4</v>
      </c>
      <c r="Q174" s="2">
        <v>129</v>
      </c>
      <c r="R174" s="1">
        <v>45718</v>
      </c>
      <c r="S174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151.47000000000003</v>
      </c>
    </row>
    <row r="175" spans="1:19" x14ac:dyDescent="0.3">
      <c r="A175" t="s">
        <v>340</v>
      </c>
      <c r="B175" t="s">
        <v>27</v>
      </c>
      <c r="C175" t="s">
        <v>17</v>
      </c>
      <c r="D175">
        <v>40.695390000000003</v>
      </c>
      <c r="E175">
        <v>-73.949539999999999</v>
      </c>
      <c r="F175" t="s">
        <v>21</v>
      </c>
      <c r="G175">
        <v>1</v>
      </c>
      <c r="H175">
        <v>1</v>
      </c>
      <c r="I175">
        <v>1</v>
      </c>
      <c r="J175">
        <v>1</v>
      </c>
      <c r="K175">
        <v>30</v>
      </c>
      <c r="L175">
        <v>260</v>
      </c>
      <c r="M175">
        <v>113</v>
      </c>
      <c r="N175">
        <v>1.29</v>
      </c>
      <c r="O175">
        <f>IF(F175="Private room",1,0)</f>
        <v>0</v>
      </c>
      <c r="P175">
        <f>IF(C175="Manhattan",4,IF(C175="Brooklyn",2,0))</f>
        <v>2</v>
      </c>
      <c r="Q175" s="2">
        <v>127</v>
      </c>
      <c r="R175" s="1">
        <v>45738</v>
      </c>
      <c r="S175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104.87</v>
      </c>
    </row>
    <row r="176" spans="1:19" x14ac:dyDescent="0.3">
      <c r="A176" t="s">
        <v>341</v>
      </c>
      <c r="B176" t="s">
        <v>28</v>
      </c>
      <c r="C176" t="s">
        <v>20</v>
      </c>
      <c r="D176">
        <v>40.828220000000002</v>
      </c>
      <c r="E176">
        <v>-73.942859999999996</v>
      </c>
      <c r="F176" t="s">
        <v>21</v>
      </c>
      <c r="G176">
        <v>2</v>
      </c>
      <c r="H176">
        <v>1</v>
      </c>
      <c r="I176">
        <v>5</v>
      </c>
      <c r="J176">
        <v>1</v>
      </c>
      <c r="K176">
        <v>30</v>
      </c>
      <c r="L176">
        <v>272</v>
      </c>
      <c r="M176">
        <v>418</v>
      </c>
      <c r="N176">
        <v>4.72</v>
      </c>
      <c r="O176">
        <f>IF(F176="Private room",1,0)</f>
        <v>0</v>
      </c>
      <c r="P176">
        <f>IF(C176="Manhattan",4,IF(C176="Brooklyn",2,0))</f>
        <v>4</v>
      </c>
      <c r="Q176" s="2">
        <v>104</v>
      </c>
      <c r="R176" s="1">
        <v>45721</v>
      </c>
      <c r="S176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153.83000000000004</v>
      </c>
    </row>
    <row r="177" spans="1:19" x14ac:dyDescent="0.3">
      <c r="A177" t="s">
        <v>342</v>
      </c>
      <c r="B177" t="s">
        <v>16</v>
      </c>
      <c r="C177" t="s">
        <v>17</v>
      </c>
      <c r="D177">
        <v>40.644010000000002</v>
      </c>
      <c r="E177">
        <v>-73.972179999999994</v>
      </c>
      <c r="F177" t="s">
        <v>21</v>
      </c>
      <c r="G177">
        <v>2</v>
      </c>
      <c r="H177">
        <v>1</v>
      </c>
      <c r="I177">
        <v>1</v>
      </c>
      <c r="J177">
        <v>1</v>
      </c>
      <c r="K177">
        <v>30</v>
      </c>
      <c r="L177">
        <v>183</v>
      </c>
      <c r="M177">
        <v>249</v>
      </c>
      <c r="N177">
        <v>2.82</v>
      </c>
      <c r="O177">
        <f>IF(F177="Private room",1,0)</f>
        <v>0</v>
      </c>
      <c r="P177">
        <f>IF(C177="Manhattan",4,IF(C177="Brooklyn",2,0))</f>
        <v>2</v>
      </c>
      <c r="Q177" s="2">
        <v>56</v>
      </c>
      <c r="R177" s="1">
        <v>45747</v>
      </c>
      <c r="S177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126.93000000000004</v>
      </c>
    </row>
    <row r="178" spans="1:19" x14ac:dyDescent="0.3">
      <c r="A178" t="s">
        <v>343</v>
      </c>
      <c r="B178" t="s">
        <v>72</v>
      </c>
      <c r="C178" t="s">
        <v>20</v>
      </c>
      <c r="D178">
        <v>40.734920000000002</v>
      </c>
      <c r="E178">
        <v>-73.984539999999996</v>
      </c>
      <c r="F178" t="s">
        <v>18</v>
      </c>
      <c r="G178">
        <v>1</v>
      </c>
      <c r="H178">
        <v>4</v>
      </c>
      <c r="I178">
        <v>1</v>
      </c>
      <c r="J178">
        <v>1</v>
      </c>
      <c r="K178">
        <v>30</v>
      </c>
      <c r="L178">
        <v>300</v>
      </c>
      <c r="M178">
        <v>17</v>
      </c>
      <c r="N178">
        <v>0.2</v>
      </c>
      <c r="O178">
        <f>IF(F178="Private room",1,0)</f>
        <v>1</v>
      </c>
      <c r="P178">
        <f>IF(C178="Manhattan",4,IF(C178="Brooklyn",2,0))</f>
        <v>4</v>
      </c>
      <c r="Q178" s="2">
        <v>74</v>
      </c>
      <c r="R178" s="1">
        <v>45746</v>
      </c>
      <c r="S178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124.09</v>
      </c>
    </row>
    <row r="179" spans="1:19" x14ac:dyDescent="0.3">
      <c r="A179" t="s">
        <v>344</v>
      </c>
      <c r="B179" t="s">
        <v>27</v>
      </c>
      <c r="C179" t="s">
        <v>17</v>
      </c>
      <c r="D179">
        <v>40.684950000000001</v>
      </c>
      <c r="E179">
        <v>-73.941310000000001</v>
      </c>
      <c r="F179" t="s">
        <v>21</v>
      </c>
      <c r="G179">
        <v>2</v>
      </c>
      <c r="H179">
        <v>1</v>
      </c>
      <c r="I179">
        <v>1</v>
      </c>
      <c r="J179">
        <v>2</v>
      </c>
      <c r="K179">
        <v>7</v>
      </c>
      <c r="L179">
        <v>224</v>
      </c>
      <c r="M179">
        <v>205</v>
      </c>
      <c r="N179">
        <v>2.3199999999999998</v>
      </c>
      <c r="O179">
        <f>IF(F179="Private room",1,0)</f>
        <v>0</v>
      </c>
      <c r="P179">
        <f>IF(C179="Manhattan",4,IF(C179="Brooklyn",2,0))</f>
        <v>2</v>
      </c>
      <c r="Q179" s="2">
        <v>192</v>
      </c>
      <c r="R179" s="1">
        <v>45733</v>
      </c>
      <c r="S179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202.34000000000003</v>
      </c>
    </row>
    <row r="180" spans="1:19" x14ac:dyDescent="0.3">
      <c r="A180" t="s">
        <v>345</v>
      </c>
      <c r="B180" t="s">
        <v>157</v>
      </c>
      <c r="C180" t="s">
        <v>17</v>
      </c>
      <c r="D180">
        <v>40.625079999999997</v>
      </c>
      <c r="E180">
        <v>-73.962549999999993</v>
      </c>
      <c r="F180" t="s">
        <v>21</v>
      </c>
      <c r="G180">
        <v>2</v>
      </c>
      <c r="H180">
        <v>1</v>
      </c>
      <c r="I180">
        <v>1</v>
      </c>
      <c r="J180">
        <v>3</v>
      </c>
      <c r="K180">
        <v>30</v>
      </c>
      <c r="L180">
        <v>299</v>
      </c>
      <c r="M180">
        <v>222</v>
      </c>
      <c r="N180">
        <v>2.5499999999999998</v>
      </c>
      <c r="O180">
        <f>IF(F180="Private room",1,0)</f>
        <v>0</v>
      </c>
      <c r="P180">
        <f>IF(C180="Manhattan",4,IF(C180="Brooklyn",2,0))</f>
        <v>2</v>
      </c>
      <c r="Q180" s="2">
        <v>103</v>
      </c>
      <c r="R180" s="1">
        <v>45732</v>
      </c>
      <c r="S180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122.29000000000002</v>
      </c>
    </row>
    <row r="181" spans="1:19" x14ac:dyDescent="0.3">
      <c r="A181" t="s">
        <v>347</v>
      </c>
      <c r="B181" t="s">
        <v>154</v>
      </c>
      <c r="C181" t="s">
        <v>31</v>
      </c>
      <c r="D181">
        <v>40.850709999999999</v>
      </c>
      <c r="E181">
        <v>-73.902410000000003</v>
      </c>
      <c r="F181" t="s">
        <v>18</v>
      </c>
      <c r="G181">
        <v>1</v>
      </c>
      <c r="H181">
        <v>1</v>
      </c>
      <c r="I181">
        <v>1</v>
      </c>
      <c r="J181">
        <v>1</v>
      </c>
      <c r="K181">
        <v>30</v>
      </c>
      <c r="L181">
        <v>60</v>
      </c>
      <c r="M181">
        <v>49</v>
      </c>
      <c r="N181">
        <v>0.56000000000000005</v>
      </c>
      <c r="O181">
        <f>IF(F181="Private room",1,0)</f>
        <v>1</v>
      </c>
      <c r="P181">
        <f>IF(C181="Manhattan",4,IF(C181="Brooklyn",2,0))</f>
        <v>0</v>
      </c>
      <c r="Q181" s="2">
        <v>55</v>
      </c>
      <c r="R181" s="1">
        <v>45747</v>
      </c>
      <c r="S181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39.11</v>
      </c>
    </row>
    <row r="182" spans="1:19" x14ac:dyDescent="0.3">
      <c r="A182" t="s">
        <v>348</v>
      </c>
      <c r="B182" t="s">
        <v>27</v>
      </c>
      <c r="C182" t="s">
        <v>17</v>
      </c>
      <c r="D182">
        <v>40.688200000000002</v>
      </c>
      <c r="E182">
        <v>-73.936359999999993</v>
      </c>
      <c r="F182" t="s">
        <v>21</v>
      </c>
      <c r="G182">
        <v>4</v>
      </c>
      <c r="H182">
        <v>1</v>
      </c>
      <c r="I182">
        <v>2</v>
      </c>
      <c r="J182">
        <v>2</v>
      </c>
      <c r="K182">
        <v>30</v>
      </c>
      <c r="L182">
        <v>217</v>
      </c>
      <c r="M182">
        <v>133</v>
      </c>
      <c r="N182">
        <v>1.54</v>
      </c>
      <c r="O182">
        <f>IF(F182="Private room",1,0)</f>
        <v>0</v>
      </c>
      <c r="P182">
        <f>IF(C182="Manhattan",4,IF(C182="Brooklyn",2,0))</f>
        <v>2</v>
      </c>
      <c r="Q182" s="2">
        <v>130</v>
      </c>
      <c r="R182" s="1">
        <v>45738</v>
      </c>
      <c r="S182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163.53000000000003</v>
      </c>
    </row>
    <row r="183" spans="1:19" x14ac:dyDescent="0.3">
      <c r="A183" t="s">
        <v>349</v>
      </c>
      <c r="B183" t="s">
        <v>23</v>
      </c>
      <c r="C183" t="s">
        <v>17</v>
      </c>
      <c r="D183">
        <v>40.712159999999997</v>
      </c>
      <c r="E183">
        <v>-73.951549999999997</v>
      </c>
      <c r="F183" t="s">
        <v>21</v>
      </c>
      <c r="G183">
        <v>1</v>
      </c>
      <c r="H183">
        <v>1</v>
      </c>
      <c r="I183">
        <v>0</v>
      </c>
      <c r="J183">
        <v>1</v>
      </c>
      <c r="K183">
        <v>30</v>
      </c>
      <c r="L183">
        <v>62</v>
      </c>
      <c r="M183">
        <v>197</v>
      </c>
      <c r="N183">
        <v>2.25</v>
      </c>
      <c r="O183">
        <f>IF(F183="Private room",1,0)</f>
        <v>0</v>
      </c>
      <c r="P183">
        <f>IF(C183="Manhattan",4,IF(C183="Brooklyn",2,0))</f>
        <v>2</v>
      </c>
      <c r="Q183" s="2">
        <v>110</v>
      </c>
      <c r="R183" s="1">
        <v>45728</v>
      </c>
      <c r="S183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112.78999999999999</v>
      </c>
    </row>
    <row r="184" spans="1:19" x14ac:dyDescent="0.3">
      <c r="A184" t="s">
        <v>350</v>
      </c>
      <c r="B184" t="s">
        <v>27</v>
      </c>
      <c r="C184" t="s">
        <v>17</v>
      </c>
      <c r="D184">
        <v>40.678080000000001</v>
      </c>
      <c r="E184">
        <v>-73.909859999999995</v>
      </c>
      <c r="F184" t="s">
        <v>21</v>
      </c>
      <c r="G184">
        <v>2</v>
      </c>
      <c r="H184">
        <v>1</v>
      </c>
      <c r="I184">
        <v>1</v>
      </c>
      <c r="J184">
        <v>2</v>
      </c>
      <c r="K184">
        <v>30</v>
      </c>
      <c r="L184">
        <v>95</v>
      </c>
      <c r="M184">
        <v>87</v>
      </c>
      <c r="N184">
        <v>1.01</v>
      </c>
      <c r="O184">
        <f>IF(F184="Private room",1,0)</f>
        <v>0</v>
      </c>
      <c r="P184">
        <f>IF(C184="Manhattan",4,IF(C184="Brooklyn",2,0))</f>
        <v>2</v>
      </c>
      <c r="Q184" s="2">
        <v>100</v>
      </c>
      <c r="R184" s="1">
        <v>45730</v>
      </c>
      <c r="S184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130.45000000000002</v>
      </c>
    </row>
    <row r="185" spans="1:19" x14ac:dyDescent="0.3">
      <c r="A185" t="s">
        <v>351</v>
      </c>
      <c r="B185" t="s">
        <v>27</v>
      </c>
      <c r="C185" t="s">
        <v>17</v>
      </c>
      <c r="D185">
        <v>40.684190000000001</v>
      </c>
      <c r="E185">
        <v>-73.93065</v>
      </c>
      <c r="F185" t="s">
        <v>21</v>
      </c>
      <c r="G185">
        <v>3</v>
      </c>
      <c r="H185">
        <v>1</v>
      </c>
      <c r="I185">
        <v>1</v>
      </c>
      <c r="J185">
        <v>2</v>
      </c>
      <c r="K185">
        <v>30</v>
      </c>
      <c r="L185">
        <v>114</v>
      </c>
      <c r="M185">
        <v>153</v>
      </c>
      <c r="N185">
        <v>1.76</v>
      </c>
      <c r="O185">
        <f>IF(F185="Private room",1,0)</f>
        <v>0</v>
      </c>
      <c r="P185">
        <f>IF(C185="Manhattan",4,IF(C185="Brooklyn",2,0))</f>
        <v>2</v>
      </c>
      <c r="Q185" s="2">
        <v>145</v>
      </c>
      <c r="R185" s="1">
        <v>45723</v>
      </c>
      <c r="S185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148.67000000000002</v>
      </c>
    </row>
    <row r="186" spans="1:19" x14ac:dyDescent="0.3">
      <c r="A186" t="s">
        <v>352</v>
      </c>
      <c r="B186" t="s">
        <v>27</v>
      </c>
      <c r="C186" t="s">
        <v>17</v>
      </c>
      <c r="D186">
        <v>40.692790000000002</v>
      </c>
      <c r="E186">
        <v>-73.944829999999996</v>
      </c>
      <c r="F186" t="s">
        <v>21</v>
      </c>
      <c r="G186">
        <v>5</v>
      </c>
      <c r="H186">
        <v>2</v>
      </c>
      <c r="I186">
        <v>3</v>
      </c>
      <c r="J186">
        <v>2</v>
      </c>
      <c r="K186">
        <v>30</v>
      </c>
      <c r="L186">
        <v>288</v>
      </c>
      <c r="M186">
        <v>5</v>
      </c>
      <c r="N186">
        <v>0.06</v>
      </c>
      <c r="O186">
        <f>IF(F186="Private room",1,0)</f>
        <v>0</v>
      </c>
      <c r="P186">
        <f>IF(C186="Manhattan",4,IF(C186="Brooklyn",2,0))</f>
        <v>2</v>
      </c>
      <c r="Q186" s="2">
        <v>250</v>
      </c>
      <c r="R186" s="1">
        <v>45747</v>
      </c>
      <c r="S186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190.89000000000004</v>
      </c>
    </row>
    <row r="187" spans="1:19" x14ac:dyDescent="0.3">
      <c r="A187" t="s">
        <v>353</v>
      </c>
      <c r="B187" t="s">
        <v>36</v>
      </c>
      <c r="C187" t="s">
        <v>20</v>
      </c>
      <c r="D187">
        <v>40.76417</v>
      </c>
      <c r="E187">
        <v>-73.967429999999993</v>
      </c>
      <c r="F187" t="s">
        <v>21</v>
      </c>
      <c r="G187">
        <v>2</v>
      </c>
      <c r="H187">
        <v>1</v>
      </c>
      <c r="I187">
        <v>1</v>
      </c>
      <c r="J187">
        <v>2</v>
      </c>
      <c r="K187">
        <v>30</v>
      </c>
      <c r="L187">
        <v>120</v>
      </c>
      <c r="M187">
        <v>11</v>
      </c>
      <c r="N187">
        <v>0.13</v>
      </c>
      <c r="O187">
        <f>IF(F187="Private room",1,0)</f>
        <v>0</v>
      </c>
      <c r="P187">
        <f>IF(C187="Manhattan",4,IF(C187="Brooklyn",2,0))</f>
        <v>4</v>
      </c>
      <c r="Q187" s="2">
        <v>173</v>
      </c>
      <c r="R187" s="1">
        <v>45743</v>
      </c>
      <c r="S187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159.91000000000003</v>
      </c>
    </row>
    <row r="188" spans="1:19" x14ac:dyDescent="0.3">
      <c r="A188" t="s">
        <v>354</v>
      </c>
      <c r="B188" t="s">
        <v>27</v>
      </c>
      <c r="C188" t="s">
        <v>17</v>
      </c>
      <c r="D188">
        <v>40.682780000000001</v>
      </c>
      <c r="E188">
        <v>-73.953010000000006</v>
      </c>
      <c r="F188" t="s">
        <v>21</v>
      </c>
      <c r="G188">
        <v>2</v>
      </c>
      <c r="H188">
        <v>1</v>
      </c>
      <c r="I188">
        <v>1</v>
      </c>
      <c r="J188">
        <v>2</v>
      </c>
      <c r="K188">
        <v>30</v>
      </c>
      <c r="L188">
        <v>82</v>
      </c>
      <c r="M188">
        <v>18</v>
      </c>
      <c r="N188">
        <v>0.26</v>
      </c>
      <c r="O188">
        <f>IF(F188="Private room",1,0)</f>
        <v>0</v>
      </c>
      <c r="P188">
        <f>IF(C188="Manhattan",4,IF(C188="Brooklyn",2,0))</f>
        <v>2</v>
      </c>
      <c r="Q188" s="2">
        <v>80</v>
      </c>
      <c r="R188" s="1">
        <v>45745</v>
      </c>
      <c r="S188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130.97000000000003</v>
      </c>
    </row>
    <row r="189" spans="1:19" x14ac:dyDescent="0.3">
      <c r="A189" t="s">
        <v>355</v>
      </c>
      <c r="B189" t="s">
        <v>82</v>
      </c>
      <c r="C189" t="s">
        <v>30</v>
      </c>
      <c r="D189">
        <v>40.754959999999997</v>
      </c>
      <c r="E189">
        <v>-73.902090000000001</v>
      </c>
      <c r="F189" t="s">
        <v>21</v>
      </c>
      <c r="G189">
        <v>4</v>
      </c>
      <c r="H189">
        <v>2</v>
      </c>
      <c r="I189">
        <v>2</v>
      </c>
      <c r="J189">
        <v>2</v>
      </c>
      <c r="K189">
        <v>30</v>
      </c>
      <c r="L189">
        <v>71</v>
      </c>
      <c r="M189">
        <v>11</v>
      </c>
      <c r="N189">
        <v>0.31</v>
      </c>
      <c r="O189">
        <f>IF(F189="Private room",1,0)</f>
        <v>0</v>
      </c>
      <c r="P189">
        <f>IF(C189="Manhattan",4,IF(C189="Brooklyn",2,0))</f>
        <v>0</v>
      </c>
      <c r="Q189" s="2">
        <v>150</v>
      </c>
      <c r="R189" s="1">
        <v>45747</v>
      </c>
      <c r="S189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150.13000000000002</v>
      </c>
    </row>
    <row r="190" spans="1:19" x14ac:dyDescent="0.3">
      <c r="A190" t="s">
        <v>346</v>
      </c>
      <c r="B190" t="s">
        <v>72</v>
      </c>
      <c r="C190" t="s">
        <v>20</v>
      </c>
      <c r="D190">
        <v>40.73556</v>
      </c>
      <c r="E190">
        <v>-73.985299999999995</v>
      </c>
      <c r="F190" t="s">
        <v>18</v>
      </c>
      <c r="G190">
        <v>1</v>
      </c>
      <c r="H190">
        <v>4</v>
      </c>
      <c r="I190">
        <v>1</v>
      </c>
      <c r="J190">
        <v>1</v>
      </c>
      <c r="K190">
        <v>30</v>
      </c>
      <c r="L190">
        <v>358</v>
      </c>
      <c r="M190">
        <v>11</v>
      </c>
      <c r="N190">
        <v>0.16</v>
      </c>
      <c r="O190">
        <f>IF(F190="Private room",1,0)</f>
        <v>1</v>
      </c>
      <c r="P190">
        <f>IF(C190="Manhattan",4,IF(C190="Brooklyn",2,0))</f>
        <v>4</v>
      </c>
      <c r="Q190" s="2">
        <v>76</v>
      </c>
      <c r="R190" s="1">
        <v>45724</v>
      </c>
      <c r="S190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121.77000000000001</v>
      </c>
    </row>
    <row r="191" spans="1:19" x14ac:dyDescent="0.3">
      <c r="A191" t="s">
        <v>357</v>
      </c>
      <c r="B191" t="s">
        <v>23</v>
      </c>
      <c r="C191" t="s">
        <v>17</v>
      </c>
      <c r="D191">
        <v>40.711480000000002</v>
      </c>
      <c r="E191">
        <v>-73.942490000000006</v>
      </c>
      <c r="F191" t="s">
        <v>18</v>
      </c>
      <c r="G191">
        <v>2</v>
      </c>
      <c r="H191">
        <v>1</v>
      </c>
      <c r="I191">
        <v>1</v>
      </c>
      <c r="J191">
        <v>1</v>
      </c>
      <c r="K191">
        <v>30</v>
      </c>
      <c r="L191">
        <v>239</v>
      </c>
      <c r="M191">
        <v>40</v>
      </c>
      <c r="N191">
        <v>0.47</v>
      </c>
      <c r="O191">
        <f>IF(F191="Private room",1,0)</f>
        <v>1</v>
      </c>
      <c r="P191">
        <f>IF(C191="Manhattan",4,IF(C191="Brooklyn",2,0))</f>
        <v>2</v>
      </c>
      <c r="Q191" s="2">
        <v>112</v>
      </c>
      <c r="R191" s="1">
        <v>45721</v>
      </c>
      <c r="S191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81.390000000000015</v>
      </c>
    </row>
    <row r="192" spans="1:19" x14ac:dyDescent="0.3">
      <c r="A192" t="s">
        <v>358</v>
      </c>
      <c r="B192" t="s">
        <v>29</v>
      </c>
      <c r="C192" t="s">
        <v>30</v>
      </c>
      <c r="D192">
        <v>40.702269999999999</v>
      </c>
      <c r="E192">
        <v>-73.904110000000003</v>
      </c>
      <c r="F192" t="s">
        <v>21</v>
      </c>
      <c r="G192">
        <v>2</v>
      </c>
      <c r="H192">
        <v>1</v>
      </c>
      <c r="I192">
        <v>1</v>
      </c>
      <c r="J192">
        <v>1</v>
      </c>
      <c r="K192">
        <v>30</v>
      </c>
      <c r="L192">
        <v>144</v>
      </c>
      <c r="M192">
        <v>55</v>
      </c>
      <c r="N192">
        <v>0.65</v>
      </c>
      <c r="O192">
        <f>IF(F192="Private room",1,0)</f>
        <v>0</v>
      </c>
      <c r="P192">
        <f>IF(C192="Manhattan",4,IF(C192="Brooklyn",2,0))</f>
        <v>0</v>
      </c>
      <c r="Q192" s="2">
        <v>119</v>
      </c>
      <c r="R192" s="1">
        <v>45717</v>
      </c>
      <c r="S192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98.030000000000015</v>
      </c>
    </row>
    <row r="193" spans="1:19" x14ac:dyDescent="0.3">
      <c r="A193" t="s">
        <v>360</v>
      </c>
      <c r="B193" t="s">
        <v>157</v>
      </c>
      <c r="C193" t="s">
        <v>17</v>
      </c>
      <c r="D193">
        <v>40.616039999999998</v>
      </c>
      <c r="E193">
        <v>-73.952259999999995</v>
      </c>
      <c r="F193" t="s">
        <v>21</v>
      </c>
      <c r="G193">
        <v>2</v>
      </c>
      <c r="H193">
        <v>1</v>
      </c>
      <c r="I193">
        <v>1</v>
      </c>
      <c r="J193">
        <v>2</v>
      </c>
      <c r="K193">
        <v>30</v>
      </c>
      <c r="L193">
        <v>106</v>
      </c>
      <c r="M193">
        <v>77</v>
      </c>
      <c r="N193">
        <v>0.91</v>
      </c>
      <c r="O193">
        <f>IF(F193="Private room",1,0)</f>
        <v>0</v>
      </c>
      <c r="P193">
        <f>IF(C193="Manhattan",4,IF(C193="Brooklyn",2,0))</f>
        <v>2</v>
      </c>
      <c r="Q193" s="2">
        <v>75</v>
      </c>
      <c r="R193" s="1">
        <v>45733</v>
      </c>
      <c r="S193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130.01000000000002</v>
      </c>
    </row>
    <row r="194" spans="1:19" x14ac:dyDescent="0.3">
      <c r="A194" t="s">
        <v>361</v>
      </c>
      <c r="B194" t="s">
        <v>23</v>
      </c>
      <c r="C194" t="s">
        <v>17</v>
      </c>
      <c r="D194">
        <v>40.71555</v>
      </c>
      <c r="E194">
        <v>-73.953469999999996</v>
      </c>
      <c r="F194" t="s">
        <v>21</v>
      </c>
      <c r="G194">
        <v>2</v>
      </c>
      <c r="H194">
        <v>1</v>
      </c>
      <c r="I194">
        <v>1</v>
      </c>
      <c r="J194">
        <v>1</v>
      </c>
      <c r="K194">
        <v>30</v>
      </c>
      <c r="L194">
        <v>305</v>
      </c>
      <c r="M194">
        <v>21</v>
      </c>
      <c r="N194">
        <v>0.26</v>
      </c>
      <c r="O194">
        <f>IF(F194="Private room",1,0)</f>
        <v>0</v>
      </c>
      <c r="P194">
        <f>IF(C194="Manhattan",4,IF(C194="Brooklyn",2,0))</f>
        <v>2</v>
      </c>
      <c r="Q194" s="2">
        <v>280</v>
      </c>
      <c r="R194" s="1">
        <v>45747</v>
      </c>
      <c r="S194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122.05000000000001</v>
      </c>
    </row>
    <row r="195" spans="1:19" x14ac:dyDescent="0.3">
      <c r="A195" t="s">
        <v>362</v>
      </c>
      <c r="B195" t="s">
        <v>264</v>
      </c>
      <c r="C195" t="s">
        <v>30</v>
      </c>
      <c r="D195" s="3" t="s">
        <v>363</v>
      </c>
      <c r="E195">
        <v>-73.754622093630502</v>
      </c>
      <c r="F195" t="s">
        <v>21</v>
      </c>
      <c r="G195">
        <v>4</v>
      </c>
      <c r="H195">
        <v>1</v>
      </c>
      <c r="I195">
        <v>2</v>
      </c>
      <c r="J195">
        <v>2</v>
      </c>
      <c r="K195">
        <v>3</v>
      </c>
      <c r="L195">
        <v>321</v>
      </c>
      <c r="M195">
        <v>82</v>
      </c>
      <c r="N195">
        <v>1.01</v>
      </c>
      <c r="O195">
        <f>IF(F195="Private room",1,0)</f>
        <v>0</v>
      </c>
      <c r="P195">
        <f>IF(C195="Manhattan",4,IF(C195="Brooklyn",2,0))</f>
        <v>0</v>
      </c>
      <c r="Q195" s="2">
        <v>142</v>
      </c>
      <c r="R195" s="1">
        <v>45744</v>
      </c>
      <c r="S195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219.36</v>
      </c>
    </row>
    <row r="196" spans="1:19" x14ac:dyDescent="0.3">
      <c r="A196" t="s">
        <v>364</v>
      </c>
      <c r="B196" t="s">
        <v>23</v>
      </c>
      <c r="C196" t="s">
        <v>17</v>
      </c>
      <c r="D196">
        <v>40.7119</v>
      </c>
      <c r="E196">
        <v>-73.941559999999996</v>
      </c>
      <c r="F196" t="s">
        <v>21</v>
      </c>
      <c r="G196">
        <v>4</v>
      </c>
      <c r="H196">
        <v>1.5</v>
      </c>
      <c r="I196">
        <v>2</v>
      </c>
      <c r="J196">
        <v>2</v>
      </c>
      <c r="K196">
        <v>30</v>
      </c>
      <c r="L196">
        <v>100</v>
      </c>
      <c r="M196">
        <v>28</v>
      </c>
      <c r="N196">
        <v>0.33</v>
      </c>
      <c r="O196">
        <f>IF(F196="Private room",1,0)</f>
        <v>0</v>
      </c>
      <c r="P196">
        <f>IF(C196="Manhattan",4,IF(C196="Brooklyn",2,0))</f>
        <v>2</v>
      </c>
      <c r="Q196" s="2">
        <v>147</v>
      </c>
      <c r="R196" s="1">
        <v>45747</v>
      </c>
      <c r="S196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173.82000000000005</v>
      </c>
    </row>
    <row r="197" spans="1:19" x14ac:dyDescent="0.3">
      <c r="A197" t="s">
        <v>365</v>
      </c>
      <c r="B197" t="s">
        <v>32</v>
      </c>
      <c r="C197" t="s">
        <v>20</v>
      </c>
      <c r="D197">
        <v>40.814278000000002</v>
      </c>
      <c r="E197">
        <v>-73.960257999999996</v>
      </c>
      <c r="F197" t="s">
        <v>21</v>
      </c>
      <c r="G197">
        <v>4</v>
      </c>
      <c r="H197">
        <v>1</v>
      </c>
      <c r="I197">
        <v>3</v>
      </c>
      <c r="J197">
        <v>4</v>
      </c>
      <c r="K197">
        <v>30</v>
      </c>
      <c r="L197">
        <v>331</v>
      </c>
      <c r="M197">
        <v>3</v>
      </c>
      <c r="N197">
        <v>0.05</v>
      </c>
      <c r="O197">
        <f>IF(F197="Private room",1,0)</f>
        <v>0</v>
      </c>
      <c r="P197">
        <f>IF(C197="Manhattan",4,IF(C197="Brooklyn",2,0))</f>
        <v>4</v>
      </c>
      <c r="Q197" s="2">
        <v>98</v>
      </c>
      <c r="R197" s="1">
        <v>45730</v>
      </c>
      <c r="S197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189.43</v>
      </c>
    </row>
    <row r="198" spans="1:19" x14ac:dyDescent="0.3">
      <c r="A198" t="s">
        <v>366</v>
      </c>
      <c r="B198" t="s">
        <v>27</v>
      </c>
      <c r="C198" t="s">
        <v>17</v>
      </c>
      <c r="D198">
        <v>40.683329999999998</v>
      </c>
      <c r="E198">
        <v>-73.958330000000004</v>
      </c>
      <c r="F198" t="s">
        <v>21</v>
      </c>
      <c r="G198">
        <v>4</v>
      </c>
      <c r="H198">
        <v>2</v>
      </c>
      <c r="I198">
        <v>2</v>
      </c>
      <c r="J198">
        <v>2</v>
      </c>
      <c r="K198">
        <v>30</v>
      </c>
      <c r="L198">
        <v>338</v>
      </c>
      <c r="M198">
        <v>16</v>
      </c>
      <c r="N198">
        <v>0.19</v>
      </c>
      <c r="O198">
        <f>IF(F198="Private room",1,0)</f>
        <v>0</v>
      </c>
      <c r="P198">
        <f>IF(C198="Manhattan",4,IF(C198="Brooklyn",2,0))</f>
        <v>2</v>
      </c>
      <c r="Q198" s="2">
        <v>252</v>
      </c>
      <c r="R198" s="1">
        <v>45719</v>
      </c>
      <c r="S198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169.91000000000003</v>
      </c>
    </row>
    <row r="199" spans="1:19" x14ac:dyDescent="0.3">
      <c r="A199" t="s">
        <v>367</v>
      </c>
      <c r="B199" t="s">
        <v>67</v>
      </c>
      <c r="C199" t="s">
        <v>17</v>
      </c>
      <c r="D199">
        <v>40.687359999999998</v>
      </c>
      <c r="E199">
        <v>-73.914450000000002</v>
      </c>
      <c r="F199" t="s">
        <v>21</v>
      </c>
      <c r="G199">
        <v>2</v>
      </c>
      <c r="H199">
        <v>1</v>
      </c>
      <c r="I199">
        <v>1</v>
      </c>
      <c r="J199">
        <v>1</v>
      </c>
      <c r="K199">
        <v>30</v>
      </c>
      <c r="L199">
        <v>129</v>
      </c>
      <c r="M199">
        <v>53</v>
      </c>
      <c r="N199">
        <v>1.38</v>
      </c>
      <c r="O199">
        <f>IF(F199="Private room",1,0)</f>
        <v>0</v>
      </c>
      <c r="P199">
        <f>IF(C199="Manhattan",4,IF(C199="Brooklyn",2,0))</f>
        <v>2</v>
      </c>
      <c r="Q199" s="2">
        <v>77</v>
      </c>
      <c r="R199" s="1">
        <v>45747</v>
      </c>
      <c r="S199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129.09000000000003</v>
      </c>
    </row>
    <row r="200" spans="1:19" x14ac:dyDescent="0.3">
      <c r="A200" t="s">
        <v>368</v>
      </c>
      <c r="B200" t="s">
        <v>66</v>
      </c>
      <c r="C200" t="s">
        <v>30</v>
      </c>
      <c r="D200">
        <v>40.741039999999998</v>
      </c>
      <c r="E200">
        <v>-73.926360000000003</v>
      </c>
      <c r="F200" t="s">
        <v>18</v>
      </c>
      <c r="G200">
        <v>1</v>
      </c>
      <c r="H200">
        <v>1</v>
      </c>
      <c r="I200">
        <v>1</v>
      </c>
      <c r="J200">
        <v>1</v>
      </c>
      <c r="K200">
        <v>30</v>
      </c>
      <c r="L200">
        <v>150</v>
      </c>
      <c r="M200">
        <v>55</v>
      </c>
      <c r="N200">
        <v>0.65</v>
      </c>
      <c r="O200">
        <f>IF(F200="Private room",1,0)</f>
        <v>1</v>
      </c>
      <c r="P200">
        <f>IF(C200="Manhattan",4,IF(C200="Brooklyn",2,0))</f>
        <v>0</v>
      </c>
      <c r="Q200" s="2">
        <v>50</v>
      </c>
      <c r="R200" s="1">
        <v>45735</v>
      </c>
      <c r="S200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35.510000000000005</v>
      </c>
    </row>
    <row r="201" spans="1:19" x14ac:dyDescent="0.3">
      <c r="A201" t="s">
        <v>369</v>
      </c>
      <c r="B201" t="s">
        <v>134</v>
      </c>
      <c r="C201" t="s">
        <v>30</v>
      </c>
      <c r="D201">
        <v>40.721829999999997</v>
      </c>
      <c r="E201">
        <v>-73.736069999999998</v>
      </c>
      <c r="F201" t="s">
        <v>21</v>
      </c>
      <c r="G201">
        <v>2</v>
      </c>
      <c r="H201">
        <v>1</v>
      </c>
      <c r="I201">
        <v>1</v>
      </c>
      <c r="J201">
        <v>1</v>
      </c>
      <c r="K201">
        <v>30</v>
      </c>
      <c r="L201">
        <v>122</v>
      </c>
      <c r="M201">
        <v>73</v>
      </c>
      <c r="N201">
        <v>0.87</v>
      </c>
      <c r="O201">
        <f>IF(F201="Private room",1,0)</f>
        <v>0</v>
      </c>
      <c r="P201">
        <f>IF(C201="Manhattan",4,IF(C201="Brooklyn",2,0))</f>
        <v>0</v>
      </c>
      <c r="Q201" s="2">
        <v>139</v>
      </c>
      <c r="R201" s="1">
        <v>45747</v>
      </c>
      <c r="S201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98.910000000000025</v>
      </c>
    </row>
    <row r="202" spans="1:19" x14ac:dyDescent="0.3">
      <c r="A202" t="s">
        <v>370</v>
      </c>
      <c r="B202" t="s">
        <v>49</v>
      </c>
      <c r="C202" t="s">
        <v>20</v>
      </c>
      <c r="D202" s="3" t="s">
        <v>359</v>
      </c>
      <c r="E202">
        <v>-73.9798583984375</v>
      </c>
      <c r="F202" t="s">
        <v>21</v>
      </c>
      <c r="G202">
        <v>2</v>
      </c>
      <c r="H202">
        <v>1</v>
      </c>
      <c r="I202">
        <v>0</v>
      </c>
      <c r="J202">
        <v>1</v>
      </c>
      <c r="K202">
        <v>30</v>
      </c>
      <c r="L202">
        <v>275</v>
      </c>
      <c r="M202">
        <v>19</v>
      </c>
      <c r="N202">
        <v>0.25</v>
      </c>
      <c r="O202">
        <f>IF(F202="Private room",1,0)</f>
        <v>0</v>
      </c>
      <c r="P202">
        <f>IF(C202="Manhattan",4,IF(C202="Brooklyn",2,0))</f>
        <v>4</v>
      </c>
      <c r="Q202" s="2">
        <v>120</v>
      </c>
      <c r="R202" s="1">
        <v>45736</v>
      </c>
      <c r="S202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153.71000000000004</v>
      </c>
    </row>
    <row r="203" spans="1:19" x14ac:dyDescent="0.3">
      <c r="A203" t="s">
        <v>372</v>
      </c>
      <c r="B203" t="s">
        <v>84</v>
      </c>
      <c r="C203" t="s">
        <v>17</v>
      </c>
      <c r="D203">
        <v>40.661560000000001</v>
      </c>
      <c r="E203">
        <v>-73.959019999999995</v>
      </c>
      <c r="F203" t="s">
        <v>21</v>
      </c>
      <c r="G203">
        <v>3</v>
      </c>
      <c r="H203">
        <v>1</v>
      </c>
      <c r="I203">
        <v>0</v>
      </c>
      <c r="J203">
        <v>2</v>
      </c>
      <c r="K203">
        <v>30</v>
      </c>
      <c r="L203">
        <v>260</v>
      </c>
      <c r="M203">
        <v>97</v>
      </c>
      <c r="N203">
        <v>1.17</v>
      </c>
      <c r="O203">
        <f>IF(F203="Private room",1,0)</f>
        <v>0</v>
      </c>
      <c r="P203">
        <f>IF(C203="Manhattan",4,IF(C203="Brooklyn",2,0))</f>
        <v>2</v>
      </c>
      <c r="Q203" s="2">
        <v>139</v>
      </c>
      <c r="R203" s="1">
        <v>45746</v>
      </c>
      <c r="S203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142.83000000000001</v>
      </c>
    </row>
    <row r="204" spans="1:19" x14ac:dyDescent="0.3">
      <c r="A204" t="s">
        <v>373</v>
      </c>
      <c r="B204" t="s">
        <v>27</v>
      </c>
      <c r="C204" t="s">
        <v>17</v>
      </c>
      <c r="D204">
        <v>40.695700000000002</v>
      </c>
      <c r="E204">
        <v>-73.934880000000007</v>
      </c>
      <c r="F204" t="s">
        <v>18</v>
      </c>
      <c r="G204">
        <v>2</v>
      </c>
      <c r="H204">
        <v>1</v>
      </c>
      <c r="I204">
        <v>1</v>
      </c>
      <c r="J204">
        <v>1</v>
      </c>
      <c r="K204">
        <v>5</v>
      </c>
      <c r="L204">
        <v>36</v>
      </c>
      <c r="M204">
        <v>143</v>
      </c>
      <c r="N204">
        <v>1.73</v>
      </c>
      <c r="O204">
        <f>IF(F204="Private room",1,0)</f>
        <v>1</v>
      </c>
      <c r="P204">
        <f>IF(C204="Manhattan",4,IF(C204="Brooklyn",2,0))</f>
        <v>2</v>
      </c>
      <c r="Q204" s="2">
        <v>186</v>
      </c>
      <c r="R204" s="1">
        <v>45736</v>
      </c>
      <c r="S204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173.26000000000002</v>
      </c>
    </row>
    <row r="205" spans="1:19" x14ac:dyDescent="0.3">
      <c r="A205" t="s">
        <v>374</v>
      </c>
      <c r="B205" t="s">
        <v>56</v>
      </c>
      <c r="C205" t="s">
        <v>17</v>
      </c>
      <c r="D205" s="3" t="s">
        <v>375</v>
      </c>
      <c r="E205">
        <v>-73.946116887862502</v>
      </c>
      <c r="F205" t="s">
        <v>18</v>
      </c>
      <c r="G205">
        <v>2</v>
      </c>
      <c r="H205">
        <v>1</v>
      </c>
      <c r="I205">
        <v>2</v>
      </c>
      <c r="J205">
        <v>2</v>
      </c>
      <c r="K205">
        <v>7</v>
      </c>
      <c r="L205">
        <v>170</v>
      </c>
      <c r="M205">
        <v>96</v>
      </c>
      <c r="N205">
        <v>1.18</v>
      </c>
      <c r="O205">
        <f>IF(F205="Private room",1,0)</f>
        <v>1</v>
      </c>
      <c r="P205">
        <f>IF(C205="Manhattan",4,IF(C205="Brooklyn",2,0))</f>
        <v>2</v>
      </c>
      <c r="Q205" s="2">
        <v>191</v>
      </c>
      <c r="R205" s="1">
        <v>45737</v>
      </c>
      <c r="S205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161.20000000000002</v>
      </c>
    </row>
    <row r="206" spans="1:19" x14ac:dyDescent="0.3">
      <c r="A206" t="s">
        <v>376</v>
      </c>
      <c r="B206" t="s">
        <v>137</v>
      </c>
      <c r="C206" t="s">
        <v>31</v>
      </c>
      <c r="D206">
        <v>40.836739999999999</v>
      </c>
      <c r="E206">
        <v>-73.858270000000005</v>
      </c>
      <c r="F206" t="s">
        <v>18</v>
      </c>
      <c r="G206">
        <v>2</v>
      </c>
      <c r="H206">
        <v>1</v>
      </c>
      <c r="I206">
        <v>1</v>
      </c>
      <c r="J206">
        <v>1</v>
      </c>
      <c r="K206">
        <v>30</v>
      </c>
      <c r="L206">
        <v>334</v>
      </c>
      <c r="M206">
        <v>102</v>
      </c>
      <c r="N206">
        <v>1.24</v>
      </c>
      <c r="O206">
        <f>IF(F206="Private room",1,0)</f>
        <v>1</v>
      </c>
      <c r="P206">
        <f>IF(C206="Manhattan",4,IF(C206="Brooklyn",2,0))</f>
        <v>0</v>
      </c>
      <c r="Q206" s="2">
        <v>50</v>
      </c>
      <c r="R206" s="1">
        <v>45747</v>
      </c>
      <c r="S206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47.130000000000024</v>
      </c>
    </row>
    <row r="207" spans="1:19" x14ac:dyDescent="0.3">
      <c r="A207" t="s">
        <v>378</v>
      </c>
      <c r="B207" t="s">
        <v>242</v>
      </c>
      <c r="C207" t="s">
        <v>31</v>
      </c>
      <c r="D207">
        <v>40.861499999999999</v>
      </c>
      <c r="E207">
        <v>-73.83775</v>
      </c>
      <c r="F207" t="s">
        <v>21</v>
      </c>
      <c r="G207">
        <v>6</v>
      </c>
      <c r="H207">
        <v>1</v>
      </c>
      <c r="I207">
        <v>2</v>
      </c>
      <c r="J207">
        <v>4</v>
      </c>
      <c r="K207">
        <v>30</v>
      </c>
      <c r="L207">
        <v>202</v>
      </c>
      <c r="M207">
        <v>143</v>
      </c>
      <c r="N207">
        <v>1.73</v>
      </c>
      <c r="O207">
        <f>IF(F207="Private room",1,0)</f>
        <v>0</v>
      </c>
      <c r="P207">
        <f>IF(C207="Manhattan",4,IF(C207="Brooklyn",2,0))</f>
        <v>0</v>
      </c>
      <c r="Q207" s="2">
        <v>146</v>
      </c>
      <c r="R207" s="1">
        <v>45741</v>
      </c>
      <c r="S207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171.63000000000002</v>
      </c>
    </row>
    <row r="208" spans="1:19" x14ac:dyDescent="0.3">
      <c r="A208" t="s">
        <v>380</v>
      </c>
      <c r="B208" t="s">
        <v>67</v>
      </c>
      <c r="C208" t="s">
        <v>17</v>
      </c>
      <c r="D208">
        <v>40.694980000000001</v>
      </c>
      <c r="E208">
        <v>-73.922579999999996</v>
      </c>
      <c r="F208" t="s">
        <v>21</v>
      </c>
      <c r="G208">
        <v>2</v>
      </c>
      <c r="H208">
        <v>1</v>
      </c>
      <c r="I208">
        <v>1</v>
      </c>
      <c r="J208">
        <v>1</v>
      </c>
      <c r="K208">
        <v>30</v>
      </c>
      <c r="L208">
        <v>147</v>
      </c>
      <c r="M208">
        <v>141</v>
      </c>
      <c r="N208">
        <v>1.73</v>
      </c>
      <c r="O208">
        <f>IF(F208="Private room",1,0)</f>
        <v>0</v>
      </c>
      <c r="P208">
        <f>IF(C208="Manhattan",4,IF(C208="Brooklyn",2,0))</f>
        <v>2</v>
      </c>
      <c r="Q208" s="2">
        <v>125</v>
      </c>
      <c r="R208" s="1">
        <v>45719</v>
      </c>
      <c r="S208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128.37000000000003</v>
      </c>
    </row>
    <row r="209" spans="1:19" x14ac:dyDescent="0.3">
      <c r="A209" t="s">
        <v>381</v>
      </c>
      <c r="B209" t="s">
        <v>23</v>
      </c>
      <c r="C209" t="s">
        <v>17</v>
      </c>
      <c r="D209">
        <v>40.712240000000001</v>
      </c>
      <c r="E209">
        <v>-73.939760000000007</v>
      </c>
      <c r="F209" t="s">
        <v>18</v>
      </c>
      <c r="G209">
        <v>2</v>
      </c>
      <c r="H209">
        <v>1</v>
      </c>
      <c r="I209">
        <v>3</v>
      </c>
      <c r="J209">
        <v>1</v>
      </c>
      <c r="K209">
        <v>30</v>
      </c>
      <c r="L209">
        <v>136</v>
      </c>
      <c r="M209">
        <v>28</v>
      </c>
      <c r="N209">
        <v>0.37</v>
      </c>
      <c r="O209">
        <f>IF(F209="Private room",1,0)</f>
        <v>1</v>
      </c>
      <c r="P209">
        <f>IF(C209="Manhattan",4,IF(C209="Brooklyn",2,0))</f>
        <v>2</v>
      </c>
      <c r="Q209" s="2">
        <v>74</v>
      </c>
      <c r="R209" s="1">
        <v>45747</v>
      </c>
      <c r="S209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85.510000000000019</v>
      </c>
    </row>
    <row r="210" spans="1:19" x14ac:dyDescent="0.3">
      <c r="A210" t="s">
        <v>382</v>
      </c>
      <c r="B210" t="s">
        <v>44</v>
      </c>
      <c r="C210" t="s">
        <v>30</v>
      </c>
      <c r="D210">
        <v>40.674239999999998</v>
      </c>
      <c r="E210">
        <v>-73.7971</v>
      </c>
      <c r="F210" t="s">
        <v>18</v>
      </c>
      <c r="G210">
        <v>2</v>
      </c>
      <c r="H210">
        <v>1</v>
      </c>
      <c r="I210">
        <v>1</v>
      </c>
      <c r="J210">
        <v>1</v>
      </c>
      <c r="K210">
        <v>30</v>
      </c>
      <c r="L210">
        <v>180</v>
      </c>
      <c r="M210">
        <v>219</v>
      </c>
      <c r="N210">
        <v>2.77</v>
      </c>
      <c r="O210">
        <f>IF(F210="Private room",1,0)</f>
        <v>1</v>
      </c>
      <c r="P210">
        <f>IF(C210="Manhattan",4,IF(C210="Brooklyn",2,0))</f>
        <v>0</v>
      </c>
      <c r="Q210" s="2">
        <v>50</v>
      </c>
      <c r="R210" s="1">
        <v>45747</v>
      </c>
      <c r="S210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53.29000000000002</v>
      </c>
    </row>
    <row r="211" spans="1:19" x14ac:dyDescent="0.3">
      <c r="A211" t="s">
        <v>377</v>
      </c>
      <c r="B211" t="s">
        <v>27</v>
      </c>
      <c r="C211" t="s">
        <v>17</v>
      </c>
      <c r="D211">
        <v>40.686279999999996</v>
      </c>
      <c r="E211">
        <v>-73.950760000000002</v>
      </c>
      <c r="F211" t="s">
        <v>18</v>
      </c>
      <c r="G211">
        <v>1</v>
      </c>
      <c r="H211">
        <v>1.5</v>
      </c>
      <c r="I211">
        <v>1</v>
      </c>
      <c r="J211">
        <v>1</v>
      </c>
      <c r="K211">
        <v>30</v>
      </c>
      <c r="L211">
        <v>363</v>
      </c>
      <c r="M211">
        <v>16</v>
      </c>
      <c r="N211">
        <v>0.2</v>
      </c>
      <c r="O211">
        <f>IF(F211="Private room",1,0)</f>
        <v>1</v>
      </c>
      <c r="P211">
        <f>IF(C211="Manhattan",4,IF(C211="Brooklyn",2,0))</f>
        <v>2</v>
      </c>
      <c r="Q211" s="2">
        <v>128</v>
      </c>
      <c r="R211" s="1">
        <v>45747</v>
      </c>
      <c r="S211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63.060000000000024</v>
      </c>
    </row>
    <row r="212" spans="1:19" x14ac:dyDescent="0.3">
      <c r="A212" t="s">
        <v>383</v>
      </c>
      <c r="B212" t="s">
        <v>23</v>
      </c>
      <c r="C212" t="s">
        <v>17</v>
      </c>
      <c r="D212">
        <v>40.713410000000003</v>
      </c>
      <c r="E212">
        <v>-73.960639999999998</v>
      </c>
      <c r="F212" t="s">
        <v>21</v>
      </c>
      <c r="G212">
        <v>2</v>
      </c>
      <c r="H212">
        <v>1</v>
      </c>
      <c r="I212">
        <v>1</v>
      </c>
      <c r="J212">
        <v>1</v>
      </c>
      <c r="K212">
        <v>30</v>
      </c>
      <c r="L212">
        <v>75</v>
      </c>
      <c r="M212">
        <v>15</v>
      </c>
      <c r="N212">
        <v>0.18</v>
      </c>
      <c r="O212">
        <f>IF(F212="Private room",1,0)</f>
        <v>0</v>
      </c>
      <c r="P212">
        <f>IF(C212="Manhattan",4,IF(C212="Brooklyn",2,0))</f>
        <v>2</v>
      </c>
      <c r="Q212" s="2">
        <v>305</v>
      </c>
      <c r="R212" s="1">
        <v>45747</v>
      </c>
      <c r="S212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131.25000000000003</v>
      </c>
    </row>
    <row r="213" spans="1:19" x14ac:dyDescent="0.3">
      <c r="A213" t="s">
        <v>384</v>
      </c>
      <c r="B213" t="s">
        <v>28</v>
      </c>
      <c r="C213" t="s">
        <v>20</v>
      </c>
      <c r="D213">
        <v>40.811860000000003</v>
      </c>
      <c r="E213">
        <v>-73.943089999999998</v>
      </c>
      <c r="F213" t="s">
        <v>18</v>
      </c>
      <c r="G213">
        <v>1</v>
      </c>
      <c r="H213">
        <v>1</v>
      </c>
      <c r="I213">
        <v>1</v>
      </c>
      <c r="J213">
        <v>1</v>
      </c>
      <c r="K213">
        <v>30</v>
      </c>
      <c r="L213">
        <v>356</v>
      </c>
      <c r="M213">
        <v>20</v>
      </c>
      <c r="N213">
        <v>0.25</v>
      </c>
      <c r="O213">
        <f>IF(F213="Private room",1,0)</f>
        <v>1</v>
      </c>
      <c r="P213">
        <f>IF(C213="Manhattan",4,IF(C213="Brooklyn",2,0))</f>
        <v>4</v>
      </c>
      <c r="Q213" s="2">
        <v>62</v>
      </c>
      <c r="R213" s="1">
        <v>45717</v>
      </c>
      <c r="S213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88.190000000000012</v>
      </c>
    </row>
    <row r="214" spans="1:19" x14ac:dyDescent="0.3">
      <c r="A214" t="s">
        <v>386</v>
      </c>
      <c r="B214" t="s">
        <v>73</v>
      </c>
      <c r="C214" t="s">
        <v>30</v>
      </c>
      <c r="D214" s="3" t="s">
        <v>387</v>
      </c>
      <c r="E214">
        <v>-73.921388676172299</v>
      </c>
      <c r="F214" t="s">
        <v>21</v>
      </c>
      <c r="G214">
        <v>4</v>
      </c>
      <c r="H214">
        <v>1</v>
      </c>
      <c r="I214">
        <v>2</v>
      </c>
      <c r="J214">
        <v>2</v>
      </c>
      <c r="K214">
        <v>30</v>
      </c>
      <c r="L214">
        <v>232</v>
      </c>
      <c r="M214">
        <v>25</v>
      </c>
      <c r="N214">
        <v>0.32</v>
      </c>
      <c r="O214">
        <f>IF(F214="Private room",1,0)</f>
        <v>0</v>
      </c>
      <c r="P214">
        <f>IF(C214="Manhattan",4,IF(C214="Brooklyn",2,0))</f>
        <v>0</v>
      </c>
      <c r="Q214" s="2">
        <v>124</v>
      </c>
      <c r="R214" s="1">
        <v>45747</v>
      </c>
      <c r="S214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132.47000000000003</v>
      </c>
    </row>
    <row r="215" spans="1:19" x14ac:dyDescent="0.3">
      <c r="A215" t="s">
        <v>388</v>
      </c>
      <c r="B215" t="s">
        <v>264</v>
      </c>
      <c r="C215" t="s">
        <v>30</v>
      </c>
      <c r="D215">
        <v>40.700940000000003</v>
      </c>
      <c r="E215">
        <v>-73.755309999999994</v>
      </c>
      <c r="F215" t="s">
        <v>18</v>
      </c>
      <c r="G215">
        <v>2</v>
      </c>
      <c r="H215">
        <v>1</v>
      </c>
      <c r="I215">
        <v>1</v>
      </c>
      <c r="J215">
        <v>1</v>
      </c>
      <c r="K215">
        <v>30</v>
      </c>
      <c r="L215">
        <v>364</v>
      </c>
      <c r="M215">
        <v>133</v>
      </c>
      <c r="N215">
        <v>1.65</v>
      </c>
      <c r="O215">
        <f>IF(F215="Private room",1,0)</f>
        <v>1</v>
      </c>
      <c r="P215">
        <f>IF(C215="Manhattan",4,IF(C215="Brooklyn",2,0))</f>
        <v>0</v>
      </c>
      <c r="Q215" s="2">
        <v>74</v>
      </c>
      <c r="R215" s="1">
        <v>45732</v>
      </c>
      <c r="S215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45.930000000000021</v>
      </c>
    </row>
    <row r="216" spans="1:19" x14ac:dyDescent="0.3">
      <c r="A216" t="s">
        <v>389</v>
      </c>
      <c r="B216" t="s">
        <v>44</v>
      </c>
      <c r="C216" t="s">
        <v>30</v>
      </c>
      <c r="D216">
        <v>40.687079099999998</v>
      </c>
      <c r="E216">
        <v>-73.775479500000003</v>
      </c>
      <c r="F216" t="s">
        <v>18</v>
      </c>
      <c r="G216">
        <v>2</v>
      </c>
      <c r="H216">
        <v>1</v>
      </c>
      <c r="I216">
        <v>1</v>
      </c>
      <c r="J216">
        <v>2</v>
      </c>
      <c r="K216">
        <v>1</v>
      </c>
      <c r="L216">
        <v>86</v>
      </c>
      <c r="M216">
        <v>86</v>
      </c>
      <c r="N216">
        <v>1.07</v>
      </c>
      <c r="O216">
        <f>IF(F216="Private room",1,0)</f>
        <v>1</v>
      </c>
      <c r="P216">
        <f>IF(C216="Manhattan",4,IF(C216="Brooklyn",2,0))</f>
        <v>0</v>
      </c>
      <c r="Q216" s="2">
        <v>100</v>
      </c>
      <c r="R216" s="1">
        <v>45746</v>
      </c>
      <c r="S216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154.20000000000005</v>
      </c>
    </row>
    <row r="217" spans="1:19" x14ac:dyDescent="0.3">
      <c r="A217" t="s">
        <v>390</v>
      </c>
      <c r="B217" t="s">
        <v>40</v>
      </c>
      <c r="C217" t="s">
        <v>17</v>
      </c>
      <c r="D217">
        <v>40.640430000000002</v>
      </c>
      <c r="E217">
        <v>-73.964060000000003</v>
      </c>
      <c r="F217" t="s">
        <v>18</v>
      </c>
      <c r="G217">
        <v>2</v>
      </c>
      <c r="H217">
        <v>1.5</v>
      </c>
      <c r="I217">
        <v>1</v>
      </c>
      <c r="J217">
        <v>1</v>
      </c>
      <c r="K217">
        <v>30</v>
      </c>
      <c r="L217">
        <v>180</v>
      </c>
      <c r="M217">
        <v>46</v>
      </c>
      <c r="N217">
        <v>0.57999999999999996</v>
      </c>
      <c r="O217">
        <f>IF(F217="Private room",1,0)</f>
        <v>1</v>
      </c>
      <c r="P217">
        <f>IF(C217="Manhattan",4,IF(C217="Brooklyn",2,0))</f>
        <v>2</v>
      </c>
      <c r="Q217" s="2">
        <v>70</v>
      </c>
      <c r="R217" s="1">
        <v>45739</v>
      </c>
      <c r="S217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89.360000000000042</v>
      </c>
    </row>
    <row r="218" spans="1:19" x14ac:dyDescent="0.3">
      <c r="A218" t="s">
        <v>391</v>
      </c>
      <c r="B218" t="s">
        <v>23</v>
      </c>
      <c r="C218" t="s">
        <v>17</v>
      </c>
      <c r="D218">
        <v>40.71557</v>
      </c>
      <c r="E218">
        <v>-73.950389999999999</v>
      </c>
      <c r="F218" t="s">
        <v>21</v>
      </c>
      <c r="G218">
        <v>2</v>
      </c>
      <c r="H218">
        <v>1</v>
      </c>
      <c r="I218">
        <v>1</v>
      </c>
      <c r="J218">
        <v>1</v>
      </c>
      <c r="K218">
        <v>30</v>
      </c>
      <c r="L218">
        <v>85</v>
      </c>
      <c r="M218">
        <v>66</v>
      </c>
      <c r="N218">
        <v>0.85</v>
      </c>
      <c r="O218">
        <f>IF(F218="Private room",1,0)</f>
        <v>0</v>
      </c>
      <c r="P218">
        <f>IF(C218="Manhattan",4,IF(C218="Brooklyn",2,0))</f>
        <v>2</v>
      </c>
      <c r="Q218" s="2">
        <v>131</v>
      </c>
      <c r="R218" s="1">
        <v>45747</v>
      </c>
      <c r="S218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130.85000000000002</v>
      </c>
    </row>
    <row r="219" spans="1:19" x14ac:dyDescent="0.3">
      <c r="A219" t="s">
        <v>392</v>
      </c>
      <c r="B219" t="s">
        <v>157</v>
      </c>
      <c r="C219" t="s">
        <v>17</v>
      </c>
      <c r="D219">
        <v>40.626840000000001</v>
      </c>
      <c r="E219">
        <v>-73.962760000000003</v>
      </c>
      <c r="F219" t="s">
        <v>21</v>
      </c>
      <c r="G219">
        <v>3</v>
      </c>
      <c r="H219">
        <v>1</v>
      </c>
      <c r="I219">
        <v>1</v>
      </c>
      <c r="J219">
        <v>4</v>
      </c>
      <c r="K219">
        <v>30</v>
      </c>
      <c r="L219">
        <v>87</v>
      </c>
      <c r="M219">
        <v>28</v>
      </c>
      <c r="N219">
        <v>0.35</v>
      </c>
      <c r="O219">
        <f>IF(F219="Private room",1,0)</f>
        <v>0</v>
      </c>
      <c r="P219">
        <f>IF(C219="Manhattan",4,IF(C219="Brooklyn",2,0))</f>
        <v>2</v>
      </c>
      <c r="Q219" s="2">
        <v>105</v>
      </c>
      <c r="R219" s="1">
        <v>45733</v>
      </c>
      <c r="S219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149.75</v>
      </c>
    </row>
    <row r="220" spans="1:19" x14ac:dyDescent="0.3">
      <c r="A220" t="s">
        <v>393</v>
      </c>
      <c r="B220" t="s">
        <v>38</v>
      </c>
      <c r="C220" t="s">
        <v>20</v>
      </c>
      <c r="D220">
        <v>40.76455</v>
      </c>
      <c r="E220">
        <v>-73.99033</v>
      </c>
      <c r="F220" t="s">
        <v>21</v>
      </c>
      <c r="G220">
        <v>3</v>
      </c>
      <c r="H220">
        <v>1</v>
      </c>
      <c r="I220">
        <v>1</v>
      </c>
      <c r="J220">
        <v>1</v>
      </c>
      <c r="K220">
        <v>30</v>
      </c>
      <c r="L220">
        <v>179</v>
      </c>
      <c r="M220">
        <v>119</v>
      </c>
      <c r="N220">
        <v>1.5</v>
      </c>
      <c r="O220">
        <f>IF(F220="Private room",1,0)</f>
        <v>0</v>
      </c>
      <c r="P220">
        <f>IF(C220="Manhattan",4,IF(C220="Brooklyn",2,0))</f>
        <v>4</v>
      </c>
      <c r="Q220" s="2">
        <v>450</v>
      </c>
      <c r="R220" s="1">
        <v>45719</v>
      </c>
      <c r="S220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176.53000000000003</v>
      </c>
    </row>
    <row r="221" spans="1:19" x14ac:dyDescent="0.3">
      <c r="A221" t="s">
        <v>394</v>
      </c>
      <c r="B221" t="s">
        <v>19</v>
      </c>
      <c r="C221" t="s">
        <v>20</v>
      </c>
      <c r="D221">
        <v>40.747210000000003</v>
      </c>
      <c r="E221">
        <v>-73.987949999999998</v>
      </c>
      <c r="F221" t="s">
        <v>21</v>
      </c>
      <c r="G221">
        <v>6</v>
      </c>
      <c r="H221">
        <v>1</v>
      </c>
      <c r="I221">
        <v>0</v>
      </c>
      <c r="J221">
        <v>3</v>
      </c>
      <c r="K221">
        <v>2</v>
      </c>
      <c r="L221">
        <v>188</v>
      </c>
      <c r="M221">
        <v>152</v>
      </c>
      <c r="N221">
        <v>1.98</v>
      </c>
      <c r="O221">
        <f>IF(F221="Private room",1,0)</f>
        <v>0</v>
      </c>
      <c r="P221">
        <f>IF(C221="Manhattan",4,IF(C221="Brooklyn",2,0))</f>
        <v>4</v>
      </c>
      <c r="Q221" s="2">
        <v>293</v>
      </c>
      <c r="R221" s="1">
        <v>45738</v>
      </c>
      <c r="S221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326.91000000000008</v>
      </c>
    </row>
    <row r="222" spans="1:19" x14ac:dyDescent="0.3">
      <c r="A222" t="s">
        <v>395</v>
      </c>
      <c r="B222" t="s">
        <v>56</v>
      </c>
      <c r="C222" t="s">
        <v>17</v>
      </c>
      <c r="D222">
        <v>40.674259999999997</v>
      </c>
      <c r="E222">
        <v>-73.946730000000002</v>
      </c>
      <c r="F222" t="s">
        <v>21</v>
      </c>
      <c r="G222">
        <v>2</v>
      </c>
      <c r="H222">
        <v>1</v>
      </c>
      <c r="I222">
        <v>0</v>
      </c>
      <c r="J222">
        <v>1</v>
      </c>
      <c r="K222">
        <v>30</v>
      </c>
      <c r="L222">
        <v>94</v>
      </c>
      <c r="M222">
        <v>229</v>
      </c>
      <c r="N222">
        <v>2.9</v>
      </c>
      <c r="O222">
        <f>IF(F222="Private room",1,0)</f>
        <v>0</v>
      </c>
      <c r="P222">
        <f>IF(C222="Manhattan",4,IF(C222="Brooklyn",2,0))</f>
        <v>2</v>
      </c>
      <c r="Q222" s="2">
        <v>85</v>
      </c>
      <c r="R222" s="1">
        <v>45743</v>
      </c>
      <c r="S222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130.49</v>
      </c>
    </row>
    <row r="223" spans="1:19" x14ac:dyDescent="0.3">
      <c r="A223" t="s">
        <v>396</v>
      </c>
      <c r="B223" t="s">
        <v>23</v>
      </c>
      <c r="C223" t="s">
        <v>17</v>
      </c>
      <c r="D223">
        <v>40.707470000000001</v>
      </c>
      <c r="E223">
        <v>-73.948560000000001</v>
      </c>
      <c r="F223" t="s">
        <v>21</v>
      </c>
      <c r="G223">
        <v>2</v>
      </c>
      <c r="H223">
        <v>1</v>
      </c>
      <c r="I223">
        <v>1</v>
      </c>
      <c r="J223">
        <v>1</v>
      </c>
      <c r="K223">
        <v>30</v>
      </c>
      <c r="L223">
        <v>38</v>
      </c>
      <c r="M223">
        <v>41</v>
      </c>
      <c r="N223">
        <v>0.54</v>
      </c>
      <c r="O223">
        <f>IF(F223="Private room",1,0)</f>
        <v>0</v>
      </c>
      <c r="P223">
        <f>IF(C223="Manhattan",4,IF(C223="Brooklyn",2,0))</f>
        <v>2</v>
      </c>
      <c r="Q223" s="2">
        <v>247</v>
      </c>
      <c r="R223" s="1">
        <v>45741</v>
      </c>
      <c r="S223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132.73000000000002</v>
      </c>
    </row>
    <row r="224" spans="1:19" x14ac:dyDescent="0.3">
      <c r="A224" t="s">
        <v>397</v>
      </c>
      <c r="B224" t="s">
        <v>59</v>
      </c>
      <c r="C224" t="s">
        <v>17</v>
      </c>
      <c r="D224" s="3" t="s">
        <v>398</v>
      </c>
      <c r="E224">
        <v>-73.964263231919702</v>
      </c>
      <c r="F224" t="s">
        <v>18</v>
      </c>
      <c r="G224">
        <v>1</v>
      </c>
      <c r="H224">
        <v>1</v>
      </c>
      <c r="I224">
        <v>1</v>
      </c>
      <c r="J224">
        <v>1</v>
      </c>
      <c r="K224">
        <v>30</v>
      </c>
      <c r="L224">
        <v>78</v>
      </c>
      <c r="M224">
        <v>24</v>
      </c>
      <c r="N224">
        <v>0.89</v>
      </c>
      <c r="O224">
        <f>IF(F224="Private room",1,0)</f>
        <v>1</v>
      </c>
      <c r="P224">
        <f>IF(C224="Manhattan",4,IF(C224="Brooklyn",2,0))</f>
        <v>2</v>
      </c>
      <c r="Q224" s="2">
        <v>70</v>
      </c>
      <c r="R224" s="1">
        <v>45747</v>
      </c>
      <c r="S224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68.849999999999994</v>
      </c>
    </row>
    <row r="225" spans="1:19" x14ac:dyDescent="0.3">
      <c r="A225" t="s">
        <v>399</v>
      </c>
      <c r="B225" t="s">
        <v>205</v>
      </c>
      <c r="C225" t="s">
        <v>17</v>
      </c>
      <c r="D225" s="3" t="s">
        <v>400</v>
      </c>
      <c r="E225">
        <v>-73.911318357251005</v>
      </c>
      <c r="F225" t="s">
        <v>18</v>
      </c>
      <c r="G225">
        <v>1</v>
      </c>
      <c r="H225">
        <v>1</v>
      </c>
      <c r="I225">
        <v>1</v>
      </c>
      <c r="J225">
        <v>1</v>
      </c>
      <c r="K225">
        <v>3</v>
      </c>
      <c r="L225">
        <v>351</v>
      </c>
      <c r="M225">
        <v>88</v>
      </c>
      <c r="N225">
        <v>1.31</v>
      </c>
      <c r="O225">
        <f>IF(F225="Private room",1,0)</f>
        <v>1</v>
      </c>
      <c r="P225">
        <f>IF(C225="Manhattan",4,IF(C225="Brooklyn",2,0))</f>
        <v>2</v>
      </c>
      <c r="Q225" s="2">
        <v>86</v>
      </c>
      <c r="R225" s="1">
        <v>45747</v>
      </c>
      <c r="S225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148.38</v>
      </c>
    </row>
    <row r="226" spans="1:19" x14ac:dyDescent="0.3">
      <c r="A226" t="s">
        <v>401</v>
      </c>
      <c r="B226" t="s">
        <v>38</v>
      </c>
      <c r="C226" t="s">
        <v>20</v>
      </c>
      <c r="D226" s="3" t="s">
        <v>402</v>
      </c>
      <c r="E226">
        <v>-73.9898844847758</v>
      </c>
      <c r="F226" t="s">
        <v>21</v>
      </c>
      <c r="G226">
        <v>4</v>
      </c>
      <c r="H226">
        <v>2</v>
      </c>
      <c r="I226">
        <v>2</v>
      </c>
      <c r="J226">
        <v>3</v>
      </c>
      <c r="K226">
        <v>30</v>
      </c>
      <c r="L226">
        <v>165</v>
      </c>
      <c r="M226">
        <v>6</v>
      </c>
      <c r="N226">
        <v>0.13</v>
      </c>
      <c r="O226">
        <f>IF(F226="Private room",1,0)</f>
        <v>0</v>
      </c>
      <c r="P226">
        <f>IF(C226="Manhattan",4,IF(C226="Brooklyn",2,0))</f>
        <v>4</v>
      </c>
      <c r="Q226" s="2">
        <v>200</v>
      </c>
      <c r="R226" s="1">
        <v>45735</v>
      </c>
      <c r="S226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207.29000000000002</v>
      </c>
    </row>
    <row r="227" spans="1:19" x14ac:dyDescent="0.3">
      <c r="A227" t="s">
        <v>403</v>
      </c>
      <c r="B227" t="s">
        <v>22</v>
      </c>
      <c r="C227" t="s">
        <v>17</v>
      </c>
      <c r="D227" s="3" t="s">
        <v>404</v>
      </c>
      <c r="E227">
        <v>-74.013391105901107</v>
      </c>
      <c r="F227" t="s">
        <v>18</v>
      </c>
      <c r="G227">
        <v>2</v>
      </c>
      <c r="H227">
        <v>1</v>
      </c>
      <c r="I227">
        <v>1</v>
      </c>
      <c r="J227">
        <v>1</v>
      </c>
      <c r="K227">
        <v>1</v>
      </c>
      <c r="L227">
        <v>220</v>
      </c>
      <c r="M227">
        <v>84</v>
      </c>
      <c r="N227">
        <v>1.1499999999999999</v>
      </c>
      <c r="O227">
        <f>IF(F227="Private room",1,0)</f>
        <v>1</v>
      </c>
      <c r="P227">
        <f>IF(C227="Manhattan",4,IF(C227="Brooklyn",2,0))</f>
        <v>2</v>
      </c>
      <c r="Q227" s="2">
        <v>100</v>
      </c>
      <c r="R227" s="1">
        <v>45740</v>
      </c>
      <c r="S227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179.30000000000004</v>
      </c>
    </row>
    <row r="228" spans="1:19" x14ac:dyDescent="0.3">
      <c r="A228" t="s">
        <v>405</v>
      </c>
      <c r="B228" t="s">
        <v>138</v>
      </c>
      <c r="C228" t="s">
        <v>31</v>
      </c>
      <c r="D228">
        <v>40.856859999999998</v>
      </c>
      <c r="E228">
        <v>-73.857650000000007</v>
      </c>
      <c r="F228" t="s">
        <v>18</v>
      </c>
      <c r="G228">
        <v>1</v>
      </c>
      <c r="H228">
        <v>1</v>
      </c>
      <c r="I228">
        <v>1</v>
      </c>
      <c r="J228">
        <v>1</v>
      </c>
      <c r="K228">
        <v>30</v>
      </c>
      <c r="L228">
        <v>278</v>
      </c>
      <c r="M228">
        <v>10</v>
      </c>
      <c r="N228">
        <v>0.13</v>
      </c>
      <c r="O228">
        <f>IF(F228="Private room",1,0)</f>
        <v>1</v>
      </c>
      <c r="P228">
        <f>IF(C228="Manhattan",4,IF(C228="Brooklyn",2,0))</f>
        <v>0</v>
      </c>
      <c r="Q228" s="2">
        <v>54</v>
      </c>
      <c r="R228" s="1">
        <v>45742</v>
      </c>
      <c r="S228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30.39</v>
      </c>
    </row>
    <row r="229" spans="1:19" x14ac:dyDescent="0.3">
      <c r="A229" t="s">
        <v>407</v>
      </c>
      <c r="B229" t="s">
        <v>19</v>
      </c>
      <c r="C229" t="s">
        <v>20</v>
      </c>
      <c r="D229">
        <v>40.747720000000001</v>
      </c>
      <c r="E229">
        <v>-73.986819999999994</v>
      </c>
      <c r="F229" t="s">
        <v>21</v>
      </c>
      <c r="G229">
        <v>6</v>
      </c>
      <c r="H229">
        <v>1</v>
      </c>
      <c r="I229">
        <v>0</v>
      </c>
      <c r="J229">
        <v>3</v>
      </c>
      <c r="K229">
        <v>2</v>
      </c>
      <c r="L229">
        <v>170</v>
      </c>
      <c r="M229">
        <v>167</v>
      </c>
      <c r="N229">
        <v>2.2400000000000002</v>
      </c>
      <c r="O229">
        <f>IF(F229="Private room",1,0)</f>
        <v>0</v>
      </c>
      <c r="P229">
        <f>IF(C229="Manhattan",4,IF(C229="Brooklyn",2,0))</f>
        <v>4</v>
      </c>
      <c r="Q229" s="2">
        <v>266</v>
      </c>
      <c r="R229" s="1">
        <v>45733</v>
      </c>
      <c r="S229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327.63000000000005</v>
      </c>
    </row>
    <row r="230" spans="1:19" x14ac:dyDescent="0.3">
      <c r="A230" t="s">
        <v>408</v>
      </c>
      <c r="B230" t="s">
        <v>45</v>
      </c>
      <c r="C230" t="s">
        <v>20</v>
      </c>
      <c r="D230">
        <v>40.753480000000003</v>
      </c>
      <c r="E230">
        <v>-74.000470000000007</v>
      </c>
      <c r="F230" t="s">
        <v>21</v>
      </c>
      <c r="G230">
        <v>2</v>
      </c>
      <c r="H230">
        <v>1</v>
      </c>
      <c r="I230">
        <v>1</v>
      </c>
      <c r="J230">
        <v>2</v>
      </c>
      <c r="K230">
        <v>30</v>
      </c>
      <c r="L230">
        <v>98</v>
      </c>
      <c r="M230">
        <v>35</v>
      </c>
      <c r="N230">
        <v>0.47</v>
      </c>
      <c r="O230">
        <f>IF(F230="Private room",1,0)</f>
        <v>0</v>
      </c>
      <c r="P230">
        <f>IF(C230="Manhattan",4,IF(C230="Brooklyn",2,0))</f>
        <v>4</v>
      </c>
      <c r="Q230" s="2">
        <v>283</v>
      </c>
      <c r="R230" s="1">
        <v>45747</v>
      </c>
      <c r="S230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160.79000000000002</v>
      </c>
    </row>
    <row r="231" spans="1:19" x14ac:dyDescent="0.3">
      <c r="A231" t="s">
        <v>409</v>
      </c>
      <c r="B231" t="s">
        <v>95</v>
      </c>
      <c r="C231" t="s">
        <v>20</v>
      </c>
      <c r="D231">
        <v>40.74718</v>
      </c>
      <c r="E231">
        <v>-73.974199999999996</v>
      </c>
      <c r="F231" t="s">
        <v>21</v>
      </c>
      <c r="G231">
        <v>4</v>
      </c>
      <c r="H231">
        <v>1</v>
      </c>
      <c r="I231">
        <v>1</v>
      </c>
      <c r="J231">
        <v>2</v>
      </c>
      <c r="K231">
        <v>1</v>
      </c>
      <c r="L231">
        <v>216</v>
      </c>
      <c r="M231">
        <v>77</v>
      </c>
      <c r="N231">
        <v>1.03</v>
      </c>
      <c r="O231">
        <f>IF(F231="Private room",1,0)</f>
        <v>0</v>
      </c>
      <c r="P231">
        <f>IF(C231="Manhattan",4,IF(C231="Brooklyn",2,0))</f>
        <v>4</v>
      </c>
      <c r="Q231" s="2">
        <v>416</v>
      </c>
      <c r="R231" s="1">
        <v>45725</v>
      </c>
      <c r="S231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291.18000000000006</v>
      </c>
    </row>
    <row r="232" spans="1:19" x14ac:dyDescent="0.3">
      <c r="A232" t="s">
        <v>410</v>
      </c>
      <c r="B232" t="s">
        <v>53</v>
      </c>
      <c r="C232" t="s">
        <v>20</v>
      </c>
      <c r="D232">
        <v>40.799743999999997</v>
      </c>
      <c r="E232">
        <v>-73.961494000000002</v>
      </c>
      <c r="F232" t="s">
        <v>21</v>
      </c>
      <c r="G232">
        <v>8</v>
      </c>
      <c r="H232">
        <v>2</v>
      </c>
      <c r="I232">
        <v>4</v>
      </c>
      <c r="J232">
        <v>6</v>
      </c>
      <c r="K232">
        <v>30</v>
      </c>
      <c r="L232">
        <v>365</v>
      </c>
      <c r="M232">
        <v>20</v>
      </c>
      <c r="N232">
        <v>0.27</v>
      </c>
      <c r="O232">
        <f>IF(F232="Private room",1,0)</f>
        <v>0</v>
      </c>
      <c r="P232">
        <f>IF(C232="Manhattan",4,IF(C232="Brooklyn",2,0))</f>
        <v>4</v>
      </c>
      <c r="Q232" s="2">
        <v>232</v>
      </c>
      <c r="R232" s="1">
        <v>45745</v>
      </c>
      <c r="S232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275.21000000000004</v>
      </c>
    </row>
    <row r="233" spans="1:19" x14ac:dyDescent="0.3">
      <c r="A233" t="s">
        <v>411</v>
      </c>
      <c r="B233" t="s">
        <v>53</v>
      </c>
      <c r="C233" t="s">
        <v>20</v>
      </c>
      <c r="D233" s="3" t="s">
        <v>412</v>
      </c>
      <c r="E233">
        <v>-73.964514322578907</v>
      </c>
      <c r="F233" t="s">
        <v>18</v>
      </c>
      <c r="G233">
        <v>2</v>
      </c>
      <c r="H233">
        <v>1</v>
      </c>
      <c r="I233">
        <v>1</v>
      </c>
      <c r="J233">
        <v>1</v>
      </c>
      <c r="K233">
        <v>30</v>
      </c>
      <c r="L233">
        <v>62</v>
      </c>
      <c r="M233">
        <v>51</v>
      </c>
      <c r="N233">
        <v>1.75</v>
      </c>
      <c r="O233">
        <f>IF(F233="Private room",1,0)</f>
        <v>1</v>
      </c>
      <c r="P233">
        <f>IF(C233="Manhattan",4,IF(C233="Brooklyn",2,0))</f>
        <v>4</v>
      </c>
      <c r="Q233" s="2">
        <v>70</v>
      </c>
      <c r="R233" s="1">
        <v>45747</v>
      </c>
      <c r="S233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118.93000000000002</v>
      </c>
    </row>
    <row r="234" spans="1:19" x14ac:dyDescent="0.3">
      <c r="A234" t="s">
        <v>413</v>
      </c>
      <c r="B234" t="s">
        <v>276</v>
      </c>
      <c r="C234" t="s">
        <v>30</v>
      </c>
      <c r="D234">
        <v>40.728070000000002</v>
      </c>
      <c r="E234">
        <v>-73.820729999999998</v>
      </c>
      <c r="F234" t="s">
        <v>21</v>
      </c>
      <c r="G234">
        <v>8</v>
      </c>
      <c r="H234">
        <v>1.5</v>
      </c>
      <c r="I234">
        <v>3</v>
      </c>
      <c r="J234">
        <v>4</v>
      </c>
      <c r="K234">
        <v>30</v>
      </c>
      <c r="L234">
        <v>241</v>
      </c>
      <c r="M234">
        <v>56</v>
      </c>
      <c r="N234">
        <v>0.77</v>
      </c>
      <c r="O234">
        <f>IF(F234="Private room",1,0)</f>
        <v>0</v>
      </c>
      <c r="P234">
        <f>IF(C234="Manhattan",4,IF(C234="Brooklyn",2,0))</f>
        <v>0</v>
      </c>
      <c r="Q234" s="2">
        <v>270</v>
      </c>
      <c r="R234" s="1">
        <v>45726</v>
      </c>
      <c r="S234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213.64000000000004</v>
      </c>
    </row>
    <row r="235" spans="1:19" x14ac:dyDescent="0.3">
      <c r="A235" t="s">
        <v>414</v>
      </c>
      <c r="B235" t="s">
        <v>49</v>
      </c>
      <c r="C235" t="s">
        <v>20</v>
      </c>
      <c r="D235">
        <v>40.74174</v>
      </c>
      <c r="E235">
        <v>-73.978049999999996</v>
      </c>
      <c r="F235" t="s">
        <v>21</v>
      </c>
      <c r="G235">
        <v>2</v>
      </c>
      <c r="H235">
        <v>1</v>
      </c>
      <c r="I235">
        <v>1</v>
      </c>
      <c r="J235">
        <v>1</v>
      </c>
      <c r="K235">
        <v>30</v>
      </c>
      <c r="L235">
        <v>296</v>
      </c>
      <c r="M235">
        <v>71</v>
      </c>
      <c r="N235">
        <v>0.98</v>
      </c>
      <c r="O235">
        <f>IF(F235="Private room",1,0)</f>
        <v>0</v>
      </c>
      <c r="P235">
        <f>IF(C235="Manhattan",4,IF(C235="Brooklyn",2,0))</f>
        <v>4</v>
      </c>
      <c r="Q235" s="2">
        <v>110</v>
      </c>
      <c r="R235" s="1">
        <v>45731</v>
      </c>
      <c r="S235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152.87</v>
      </c>
    </row>
    <row r="236" spans="1:19" x14ac:dyDescent="0.3">
      <c r="A236" t="s">
        <v>415</v>
      </c>
      <c r="B236" t="s">
        <v>67</v>
      </c>
      <c r="C236" t="s">
        <v>17</v>
      </c>
      <c r="D236">
        <v>40.690379999999998</v>
      </c>
      <c r="E236">
        <v>-73.912279999999996</v>
      </c>
      <c r="F236" t="s">
        <v>18</v>
      </c>
      <c r="G236">
        <v>2</v>
      </c>
      <c r="H236">
        <v>1</v>
      </c>
      <c r="I236">
        <v>1</v>
      </c>
      <c r="J236">
        <v>1</v>
      </c>
      <c r="K236">
        <v>30</v>
      </c>
      <c r="L236">
        <v>360</v>
      </c>
      <c r="M236">
        <v>20</v>
      </c>
      <c r="N236">
        <v>0.31</v>
      </c>
      <c r="O236">
        <f>IF(F236="Private room",1,0)</f>
        <v>1</v>
      </c>
      <c r="P236">
        <f>IF(C236="Manhattan",4,IF(C236="Brooklyn",2,0))</f>
        <v>2</v>
      </c>
      <c r="Q236" s="2">
        <v>62</v>
      </c>
      <c r="R236" s="1">
        <v>45720</v>
      </c>
      <c r="S236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76.550000000000011</v>
      </c>
    </row>
    <row r="237" spans="1:19" x14ac:dyDescent="0.3">
      <c r="A237" t="s">
        <v>416</v>
      </c>
      <c r="B237" t="s">
        <v>44</v>
      </c>
      <c r="C237" t="s">
        <v>30</v>
      </c>
      <c r="D237">
        <v>40.673229999999997</v>
      </c>
      <c r="E237">
        <v>-73.777150000000006</v>
      </c>
      <c r="F237" t="s">
        <v>21</v>
      </c>
      <c r="G237">
        <v>4</v>
      </c>
      <c r="H237">
        <v>1</v>
      </c>
      <c r="I237">
        <v>2</v>
      </c>
      <c r="J237">
        <v>2</v>
      </c>
      <c r="K237">
        <v>30</v>
      </c>
      <c r="L237">
        <v>245</v>
      </c>
      <c r="M237">
        <v>250</v>
      </c>
      <c r="N237">
        <v>3.45</v>
      </c>
      <c r="O237">
        <f>IF(F237="Private room",1,0)</f>
        <v>0</v>
      </c>
      <c r="P237">
        <f>IF(C237="Manhattan",4,IF(C237="Brooklyn",2,0))</f>
        <v>0</v>
      </c>
      <c r="Q237" s="2">
        <v>82</v>
      </c>
      <c r="R237" s="1">
        <v>45747</v>
      </c>
      <c r="S237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131.95000000000002</v>
      </c>
    </row>
    <row r="238" spans="1:19" x14ac:dyDescent="0.3">
      <c r="A238" t="s">
        <v>417</v>
      </c>
      <c r="B238" t="s">
        <v>94</v>
      </c>
      <c r="C238" t="s">
        <v>17</v>
      </c>
      <c r="D238">
        <v>40.660440000000001</v>
      </c>
      <c r="E238">
        <v>-73.899169999999998</v>
      </c>
      <c r="F238" t="s">
        <v>21</v>
      </c>
      <c r="G238">
        <v>2</v>
      </c>
      <c r="H238">
        <v>1</v>
      </c>
      <c r="I238">
        <v>1</v>
      </c>
      <c r="J238">
        <v>2</v>
      </c>
      <c r="K238">
        <v>30</v>
      </c>
      <c r="L238">
        <v>238</v>
      </c>
      <c r="M238">
        <v>290</v>
      </c>
      <c r="N238">
        <v>4.22</v>
      </c>
      <c r="O238">
        <f>IF(F238="Private room",1,0)</f>
        <v>0</v>
      </c>
      <c r="P238">
        <f>IF(C238="Manhattan",4,IF(C238="Brooklyn",2,0))</f>
        <v>2</v>
      </c>
      <c r="Q238" s="2">
        <v>84</v>
      </c>
      <c r="R238" s="1">
        <v>45739</v>
      </c>
      <c r="S238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124.73000000000002</v>
      </c>
    </row>
    <row r="239" spans="1:19" x14ac:dyDescent="0.3">
      <c r="A239" t="s">
        <v>418</v>
      </c>
      <c r="B239" t="s">
        <v>82</v>
      </c>
      <c r="C239" t="s">
        <v>30</v>
      </c>
      <c r="D239">
        <v>40.744540000000001</v>
      </c>
      <c r="E239">
        <v>-73.906210000000002</v>
      </c>
      <c r="F239" t="s">
        <v>18</v>
      </c>
      <c r="G239">
        <v>1</v>
      </c>
      <c r="H239">
        <v>1</v>
      </c>
      <c r="I239">
        <v>1</v>
      </c>
      <c r="J239">
        <v>1</v>
      </c>
      <c r="K239">
        <v>30</v>
      </c>
      <c r="L239">
        <v>304</v>
      </c>
      <c r="M239">
        <v>13</v>
      </c>
      <c r="N239">
        <v>0.2</v>
      </c>
      <c r="O239">
        <f>IF(F239="Private room",1,0)</f>
        <v>1</v>
      </c>
      <c r="P239">
        <f>IF(C239="Manhattan",4,IF(C239="Brooklyn",2,0))</f>
        <v>0</v>
      </c>
      <c r="Q239" s="2">
        <v>69</v>
      </c>
      <c r="R239" s="1">
        <v>45718</v>
      </c>
      <c r="S239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29.350000000000009</v>
      </c>
    </row>
    <row r="240" spans="1:19" x14ac:dyDescent="0.3">
      <c r="A240" t="s">
        <v>419</v>
      </c>
      <c r="B240" t="s">
        <v>85</v>
      </c>
      <c r="C240" t="s">
        <v>20</v>
      </c>
      <c r="D240" s="3" t="s">
        <v>420</v>
      </c>
      <c r="E240">
        <v>-73.996429443359304</v>
      </c>
      <c r="F240" t="s">
        <v>21</v>
      </c>
      <c r="G240">
        <v>2</v>
      </c>
      <c r="H240">
        <v>1</v>
      </c>
      <c r="I240">
        <v>1</v>
      </c>
      <c r="J240">
        <v>1</v>
      </c>
      <c r="K240">
        <v>30</v>
      </c>
      <c r="L240">
        <v>339</v>
      </c>
      <c r="M240">
        <v>17</v>
      </c>
      <c r="N240">
        <v>0.25</v>
      </c>
      <c r="O240">
        <f>IF(F240="Private room",1,0)</f>
        <v>0</v>
      </c>
      <c r="P240">
        <f>IF(C240="Manhattan",4,IF(C240="Brooklyn",2,0))</f>
        <v>4</v>
      </c>
      <c r="Q240" s="2">
        <v>133</v>
      </c>
      <c r="R240" s="1">
        <v>45740</v>
      </c>
      <c r="S240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151.15000000000003</v>
      </c>
    </row>
    <row r="241" spans="1:19" x14ac:dyDescent="0.3">
      <c r="A241" t="s">
        <v>421</v>
      </c>
      <c r="B241" t="s">
        <v>275</v>
      </c>
      <c r="C241" t="s">
        <v>30</v>
      </c>
      <c r="D241">
        <v>40.697000000000003</v>
      </c>
      <c r="E241">
        <v>-73.738</v>
      </c>
      <c r="F241" t="s">
        <v>21</v>
      </c>
      <c r="G241">
        <v>4</v>
      </c>
      <c r="H241">
        <v>1</v>
      </c>
      <c r="I241">
        <v>2</v>
      </c>
      <c r="J241">
        <v>5</v>
      </c>
      <c r="K241">
        <v>30</v>
      </c>
      <c r="L241">
        <v>121</v>
      </c>
      <c r="M241">
        <v>110</v>
      </c>
      <c r="N241">
        <v>1.59</v>
      </c>
      <c r="O241">
        <f>IF(F241="Private room",1,0)</f>
        <v>0</v>
      </c>
      <c r="P241">
        <f>IF(C241="Manhattan",4,IF(C241="Brooklyn",2,0))</f>
        <v>0</v>
      </c>
      <c r="Q241" s="2">
        <v>100</v>
      </c>
      <c r="R241" s="1">
        <v>45726</v>
      </c>
      <c r="S241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136.91000000000003</v>
      </c>
    </row>
    <row r="242" spans="1:19" x14ac:dyDescent="0.3">
      <c r="A242" t="s">
        <v>422</v>
      </c>
      <c r="B242" t="s">
        <v>48</v>
      </c>
      <c r="C242" t="s">
        <v>20</v>
      </c>
      <c r="D242">
        <v>40.727849999999997</v>
      </c>
      <c r="E242">
        <v>-73.99991</v>
      </c>
      <c r="F242" t="s">
        <v>21</v>
      </c>
      <c r="G242">
        <v>4</v>
      </c>
      <c r="H242">
        <v>1</v>
      </c>
      <c r="I242">
        <v>2</v>
      </c>
      <c r="J242">
        <v>2</v>
      </c>
      <c r="K242">
        <v>30</v>
      </c>
      <c r="L242">
        <v>153</v>
      </c>
      <c r="M242">
        <v>15</v>
      </c>
      <c r="N242">
        <v>0.22</v>
      </c>
      <c r="O242">
        <f>IF(F242="Private room",1,0)</f>
        <v>0</v>
      </c>
      <c r="P242">
        <f>IF(C242="Manhattan",4,IF(C242="Brooklyn",2,0))</f>
        <v>4</v>
      </c>
      <c r="Q242" s="2">
        <v>389</v>
      </c>
      <c r="R242" s="1">
        <v>45747</v>
      </c>
      <c r="S242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196.55</v>
      </c>
    </row>
    <row r="243" spans="1:19" x14ac:dyDescent="0.3">
      <c r="A243" t="s">
        <v>423</v>
      </c>
      <c r="B243" t="s">
        <v>58</v>
      </c>
      <c r="C243" t="s">
        <v>17</v>
      </c>
      <c r="D243">
        <v>40.670780000000001</v>
      </c>
      <c r="E243">
        <v>-73.9923</v>
      </c>
      <c r="F243" t="s">
        <v>21</v>
      </c>
      <c r="G243">
        <v>3</v>
      </c>
      <c r="H243">
        <v>1</v>
      </c>
      <c r="I243">
        <v>2</v>
      </c>
      <c r="J243">
        <v>3</v>
      </c>
      <c r="K243">
        <v>30</v>
      </c>
      <c r="L243">
        <v>213</v>
      </c>
      <c r="M243">
        <v>108</v>
      </c>
      <c r="N243">
        <v>1.49</v>
      </c>
      <c r="O243">
        <f>IF(F243="Private room",1,0)</f>
        <v>0</v>
      </c>
      <c r="P243">
        <f>IF(C243="Manhattan",4,IF(C243="Brooklyn",2,0))</f>
        <v>2</v>
      </c>
      <c r="Q243" s="2">
        <v>117</v>
      </c>
      <c r="R243" s="1">
        <v>45728</v>
      </c>
      <c r="S243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144.71</v>
      </c>
    </row>
    <row r="244" spans="1:19" x14ac:dyDescent="0.3">
      <c r="A244" t="s">
        <v>424</v>
      </c>
      <c r="B244" t="s">
        <v>19</v>
      </c>
      <c r="C244" t="s">
        <v>20</v>
      </c>
      <c r="D244">
        <v>40.7645895</v>
      </c>
      <c r="E244">
        <v>-73.980911899999995</v>
      </c>
      <c r="F244" t="s">
        <v>18</v>
      </c>
      <c r="G244">
        <v>2</v>
      </c>
      <c r="H244">
        <v>1</v>
      </c>
      <c r="I244">
        <v>1</v>
      </c>
      <c r="J244">
        <v>1</v>
      </c>
      <c r="K244">
        <v>1</v>
      </c>
      <c r="L244">
        <v>285</v>
      </c>
      <c r="M244">
        <v>123</v>
      </c>
      <c r="N244">
        <v>1.75</v>
      </c>
      <c r="O244">
        <f>IF(F244="Private room",1,0)</f>
        <v>1</v>
      </c>
      <c r="P244">
        <f>IF(C244="Manhattan",4,IF(C244="Brooklyn",2,0))</f>
        <v>4</v>
      </c>
      <c r="Q244" s="2">
        <v>301</v>
      </c>
      <c r="R244" s="1">
        <v>45740</v>
      </c>
      <c r="S244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207.16000000000003</v>
      </c>
    </row>
    <row r="245" spans="1:19" x14ac:dyDescent="0.3">
      <c r="A245" t="s">
        <v>425</v>
      </c>
      <c r="B245" t="s">
        <v>265</v>
      </c>
      <c r="C245" t="s">
        <v>31</v>
      </c>
      <c r="D245" s="3" t="s">
        <v>426</v>
      </c>
      <c r="E245">
        <v>-73.9101911661065</v>
      </c>
      <c r="F245" t="s">
        <v>18</v>
      </c>
      <c r="G245">
        <v>2</v>
      </c>
      <c r="H245">
        <v>1.5</v>
      </c>
      <c r="I245">
        <v>1</v>
      </c>
      <c r="J245">
        <v>1</v>
      </c>
      <c r="K245">
        <v>7</v>
      </c>
      <c r="L245">
        <v>135</v>
      </c>
      <c r="M245">
        <v>43</v>
      </c>
      <c r="N245">
        <v>0.62</v>
      </c>
      <c r="O245">
        <f>IF(F245="Private room",1,0)</f>
        <v>1</v>
      </c>
      <c r="P245">
        <f>IF(C245="Manhattan",4,IF(C245="Brooklyn",2,0))</f>
        <v>0</v>
      </c>
      <c r="Q245" s="2">
        <v>75</v>
      </c>
      <c r="R245" s="1">
        <v>45746</v>
      </c>
      <c r="S245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137.75000000000006</v>
      </c>
    </row>
    <row r="246" spans="1:19" x14ac:dyDescent="0.3">
      <c r="A246" t="s">
        <v>427</v>
      </c>
      <c r="B246" t="s">
        <v>78</v>
      </c>
      <c r="C246" t="s">
        <v>20</v>
      </c>
      <c r="D246">
        <v>40.761299999999999</v>
      </c>
      <c r="E246">
        <v>-73.980770000000007</v>
      </c>
      <c r="F246" t="s">
        <v>21</v>
      </c>
      <c r="G246">
        <v>4</v>
      </c>
      <c r="H246">
        <v>1</v>
      </c>
      <c r="I246">
        <v>2</v>
      </c>
      <c r="J246">
        <v>3</v>
      </c>
      <c r="K246">
        <v>30</v>
      </c>
      <c r="L246">
        <v>235</v>
      </c>
      <c r="M246">
        <v>17</v>
      </c>
      <c r="N246">
        <v>0.25</v>
      </c>
      <c r="O246">
        <f>IF(F246="Private room",1,0)</f>
        <v>0</v>
      </c>
      <c r="P246">
        <f>IF(C246="Manhattan",4,IF(C246="Brooklyn",2,0))</f>
        <v>4</v>
      </c>
      <c r="Q246" s="2">
        <v>220</v>
      </c>
      <c r="R246" s="1">
        <v>45739</v>
      </c>
      <c r="S246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193.27000000000004</v>
      </c>
    </row>
    <row r="247" spans="1:19" x14ac:dyDescent="0.3">
      <c r="A247" t="s">
        <v>428</v>
      </c>
      <c r="B247" t="s">
        <v>58</v>
      </c>
      <c r="C247" t="s">
        <v>17</v>
      </c>
      <c r="D247">
        <v>40.667940000000002</v>
      </c>
      <c r="E247">
        <v>-73.993189999999998</v>
      </c>
      <c r="F247" t="s">
        <v>21</v>
      </c>
      <c r="G247">
        <v>3</v>
      </c>
      <c r="H247">
        <v>1</v>
      </c>
      <c r="I247">
        <v>1</v>
      </c>
      <c r="J247">
        <v>1</v>
      </c>
      <c r="K247">
        <v>30</v>
      </c>
      <c r="L247">
        <v>92</v>
      </c>
      <c r="M247">
        <v>102</v>
      </c>
      <c r="N247">
        <v>1.41</v>
      </c>
      <c r="O247">
        <f>IF(F247="Private room",1,0)</f>
        <v>0</v>
      </c>
      <c r="P247">
        <f>IF(C247="Manhattan",4,IF(C247="Brooklyn",2,0))</f>
        <v>2</v>
      </c>
      <c r="Q247" s="2">
        <v>143</v>
      </c>
      <c r="R247" s="1">
        <v>45747</v>
      </c>
      <c r="S247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149.55000000000001</v>
      </c>
    </row>
    <row r="248" spans="1:19" x14ac:dyDescent="0.3">
      <c r="A248" t="s">
        <v>429</v>
      </c>
      <c r="B248" t="s">
        <v>40</v>
      </c>
      <c r="C248" t="s">
        <v>17</v>
      </c>
      <c r="D248">
        <v>40.641240000000003</v>
      </c>
      <c r="E248">
        <v>-73.965069999999997</v>
      </c>
      <c r="F248" t="s">
        <v>21</v>
      </c>
      <c r="G248">
        <v>2</v>
      </c>
      <c r="H248">
        <v>1</v>
      </c>
      <c r="I248">
        <v>0</v>
      </c>
      <c r="J248">
        <v>1</v>
      </c>
      <c r="K248">
        <v>30</v>
      </c>
      <c r="L248">
        <v>274</v>
      </c>
      <c r="M248">
        <v>217</v>
      </c>
      <c r="N248">
        <v>3.05</v>
      </c>
      <c r="O248">
        <f>IF(F248="Private room",1,0)</f>
        <v>0</v>
      </c>
      <c r="P248">
        <f>IF(C248="Manhattan",4,IF(C248="Brooklyn",2,0))</f>
        <v>2</v>
      </c>
      <c r="Q248" s="2">
        <v>98</v>
      </c>
      <c r="R248" s="1">
        <v>45738</v>
      </c>
      <c r="S248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123.29000000000002</v>
      </c>
    </row>
    <row r="249" spans="1:19" x14ac:dyDescent="0.3">
      <c r="A249" t="s">
        <v>430</v>
      </c>
      <c r="B249" t="s">
        <v>28</v>
      </c>
      <c r="C249" t="s">
        <v>20</v>
      </c>
      <c r="D249">
        <v>40.805079999999997</v>
      </c>
      <c r="E249">
        <v>-73.946709999999996</v>
      </c>
      <c r="F249" t="s">
        <v>21</v>
      </c>
      <c r="G249">
        <v>2</v>
      </c>
      <c r="H249">
        <v>1</v>
      </c>
      <c r="I249">
        <v>1</v>
      </c>
      <c r="J249">
        <v>3</v>
      </c>
      <c r="K249">
        <v>3</v>
      </c>
      <c r="L249">
        <v>250</v>
      </c>
      <c r="M249">
        <v>50</v>
      </c>
      <c r="N249">
        <v>0.7</v>
      </c>
      <c r="O249">
        <f>IF(F249="Private room",1,0)</f>
        <v>0</v>
      </c>
      <c r="P249">
        <f>IF(C249="Manhattan",4,IF(C249="Brooklyn",2,0))</f>
        <v>4</v>
      </c>
      <c r="Q249" s="2">
        <v>234</v>
      </c>
      <c r="R249" s="1">
        <v>45739</v>
      </c>
      <c r="S249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245.16000000000003</v>
      </c>
    </row>
    <row r="250" spans="1:19" x14ac:dyDescent="0.3">
      <c r="A250" t="s">
        <v>431</v>
      </c>
      <c r="B250" t="s">
        <v>55</v>
      </c>
      <c r="C250" t="s">
        <v>17</v>
      </c>
      <c r="D250">
        <v>40.661580000000001</v>
      </c>
      <c r="E250">
        <v>-73.984819999999999</v>
      </c>
      <c r="F250" t="s">
        <v>21</v>
      </c>
      <c r="G250">
        <v>4</v>
      </c>
      <c r="H250">
        <v>1</v>
      </c>
      <c r="I250">
        <v>1</v>
      </c>
      <c r="J250">
        <v>3</v>
      </c>
      <c r="K250">
        <v>30</v>
      </c>
      <c r="L250">
        <v>293</v>
      </c>
      <c r="M250">
        <v>139</v>
      </c>
      <c r="N250">
        <v>1.95</v>
      </c>
      <c r="O250">
        <f>IF(F250="Private room",1,0)</f>
        <v>0</v>
      </c>
      <c r="P250">
        <f>IF(C250="Manhattan",4,IF(C250="Brooklyn",2,0))</f>
        <v>2</v>
      </c>
      <c r="Q250" s="2">
        <v>139</v>
      </c>
      <c r="R250" s="1">
        <v>45731</v>
      </c>
      <c r="S250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160.49000000000004</v>
      </c>
    </row>
    <row r="251" spans="1:19" x14ac:dyDescent="0.3">
      <c r="A251" t="s">
        <v>432</v>
      </c>
      <c r="B251" t="s">
        <v>36</v>
      </c>
      <c r="C251" t="s">
        <v>20</v>
      </c>
      <c r="D251" s="3" t="s">
        <v>433</v>
      </c>
      <c r="E251">
        <v>-73.955627441406193</v>
      </c>
      <c r="F251" t="s">
        <v>21</v>
      </c>
      <c r="G251">
        <v>2</v>
      </c>
      <c r="H251">
        <v>1</v>
      </c>
      <c r="I251">
        <v>0</v>
      </c>
      <c r="J251">
        <v>1</v>
      </c>
      <c r="K251">
        <v>30</v>
      </c>
      <c r="L251">
        <v>332</v>
      </c>
      <c r="M251">
        <v>19</v>
      </c>
      <c r="N251">
        <v>0.27</v>
      </c>
      <c r="O251">
        <f>IF(F251="Private room",1,0)</f>
        <v>0</v>
      </c>
      <c r="P251">
        <f>IF(C251="Manhattan",4,IF(C251="Brooklyn",2,0))</f>
        <v>4</v>
      </c>
      <c r="Q251" s="2">
        <v>113</v>
      </c>
      <c r="R251" s="1">
        <v>45733</v>
      </c>
      <c r="S251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151.43</v>
      </c>
    </row>
    <row r="252" spans="1:19" x14ac:dyDescent="0.3">
      <c r="A252" t="s">
        <v>434</v>
      </c>
      <c r="B252" t="s">
        <v>135</v>
      </c>
      <c r="C252" t="s">
        <v>31</v>
      </c>
      <c r="D252">
        <v>40.881509999999999</v>
      </c>
      <c r="E252">
        <v>-73.849400000000003</v>
      </c>
      <c r="F252" t="s">
        <v>21</v>
      </c>
      <c r="G252">
        <v>2</v>
      </c>
      <c r="H252">
        <v>1</v>
      </c>
      <c r="I252">
        <v>1</v>
      </c>
      <c r="J252">
        <v>1</v>
      </c>
      <c r="K252">
        <v>30</v>
      </c>
      <c r="L252">
        <v>331</v>
      </c>
      <c r="M252">
        <v>74</v>
      </c>
      <c r="N252">
        <v>1.03</v>
      </c>
      <c r="O252">
        <f>IF(F252="Private room",1,0)</f>
        <v>0</v>
      </c>
      <c r="P252">
        <f>IF(C252="Manhattan",4,IF(C252="Brooklyn",2,0))</f>
        <v>0</v>
      </c>
      <c r="Q252" s="2">
        <v>67</v>
      </c>
      <c r="R252" s="1">
        <v>45738</v>
      </c>
      <c r="S252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90.550000000000026</v>
      </c>
    </row>
    <row r="253" spans="1:19" x14ac:dyDescent="0.3">
      <c r="A253" t="s">
        <v>435</v>
      </c>
      <c r="B253" t="s">
        <v>38</v>
      </c>
      <c r="C253" t="s">
        <v>20</v>
      </c>
      <c r="D253">
        <v>40.754800000000003</v>
      </c>
      <c r="E253">
        <v>-73.994079999999997</v>
      </c>
      <c r="F253" t="s">
        <v>18</v>
      </c>
      <c r="G253">
        <v>2</v>
      </c>
      <c r="H253">
        <v>1</v>
      </c>
      <c r="I253">
        <v>1</v>
      </c>
      <c r="J253">
        <v>2</v>
      </c>
      <c r="K253">
        <v>1</v>
      </c>
      <c r="L253">
        <v>325</v>
      </c>
      <c r="M253">
        <v>103</v>
      </c>
      <c r="N253">
        <v>1.95</v>
      </c>
      <c r="O253">
        <f>IF(F253="Private room",1,0)</f>
        <v>1</v>
      </c>
      <c r="P253">
        <f>IF(C253="Manhattan",4,IF(C253="Brooklyn",2,0))</f>
        <v>4</v>
      </c>
      <c r="Q253" s="2">
        <v>264</v>
      </c>
      <c r="R253" s="1">
        <v>45723</v>
      </c>
      <c r="S253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205.56000000000006</v>
      </c>
    </row>
    <row r="254" spans="1:19" x14ac:dyDescent="0.3">
      <c r="A254" t="s">
        <v>436</v>
      </c>
      <c r="B254" t="s">
        <v>73</v>
      </c>
      <c r="C254" t="s">
        <v>30</v>
      </c>
      <c r="D254">
        <v>40.753039999999999</v>
      </c>
      <c r="E254">
        <v>-73.927580000000006</v>
      </c>
      <c r="F254" t="s">
        <v>18</v>
      </c>
      <c r="G254">
        <v>1</v>
      </c>
      <c r="H254">
        <v>1</v>
      </c>
      <c r="I254">
        <v>1</v>
      </c>
      <c r="J254">
        <v>1</v>
      </c>
      <c r="K254">
        <v>30</v>
      </c>
      <c r="L254">
        <v>111</v>
      </c>
      <c r="M254">
        <v>14</v>
      </c>
      <c r="N254">
        <v>0.2</v>
      </c>
      <c r="O254">
        <f>IF(F254="Private room",1,0)</f>
        <v>1</v>
      </c>
      <c r="P254">
        <f>IF(C254="Manhattan",4,IF(C254="Brooklyn",2,0))</f>
        <v>0</v>
      </c>
      <c r="Q254" s="2">
        <v>68</v>
      </c>
      <c r="R254" s="1">
        <v>45726</v>
      </c>
      <c r="S254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37.070000000000007</v>
      </c>
    </row>
    <row r="255" spans="1:19" x14ac:dyDescent="0.3">
      <c r="A255" t="s">
        <v>437</v>
      </c>
      <c r="B255" t="s">
        <v>150</v>
      </c>
      <c r="C255" t="s">
        <v>17</v>
      </c>
      <c r="D255">
        <v>40.644179999999999</v>
      </c>
      <c r="E255">
        <v>-73.990979999999993</v>
      </c>
      <c r="F255" t="s">
        <v>18</v>
      </c>
      <c r="G255">
        <v>3</v>
      </c>
      <c r="H255">
        <v>1</v>
      </c>
      <c r="I255">
        <v>1</v>
      </c>
      <c r="J255">
        <v>2</v>
      </c>
      <c r="K255">
        <v>30</v>
      </c>
      <c r="L255">
        <v>180</v>
      </c>
      <c r="M255">
        <v>21</v>
      </c>
      <c r="N255">
        <v>0.28999999999999998</v>
      </c>
      <c r="O255">
        <f>IF(F255="Private room",1,0)</f>
        <v>1</v>
      </c>
      <c r="P255">
        <f>IF(C255="Manhattan",4,IF(C255="Brooklyn",2,0))</f>
        <v>2</v>
      </c>
      <c r="Q255" s="2">
        <v>70</v>
      </c>
      <c r="R255" s="1">
        <v>45739</v>
      </c>
      <c r="S255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102.73000000000002</v>
      </c>
    </row>
    <row r="256" spans="1:19" x14ac:dyDescent="0.3">
      <c r="A256" t="s">
        <v>438</v>
      </c>
      <c r="B256" t="s">
        <v>41</v>
      </c>
      <c r="C256" t="s">
        <v>20</v>
      </c>
      <c r="D256">
        <v>40.72531</v>
      </c>
      <c r="E256">
        <v>-73.985330000000005</v>
      </c>
      <c r="F256" t="s">
        <v>21</v>
      </c>
      <c r="G256">
        <v>3</v>
      </c>
      <c r="H256">
        <v>1</v>
      </c>
      <c r="I256">
        <v>1</v>
      </c>
      <c r="J256">
        <v>1</v>
      </c>
      <c r="K256">
        <v>30</v>
      </c>
      <c r="L256">
        <v>365</v>
      </c>
      <c r="M256">
        <v>12</v>
      </c>
      <c r="N256">
        <v>0.17</v>
      </c>
      <c r="O256">
        <f>IF(F256="Private room",1,0)</f>
        <v>0</v>
      </c>
      <c r="P256">
        <f>IF(C256="Manhattan",4,IF(C256="Brooklyn",2,0))</f>
        <v>4</v>
      </c>
      <c r="Q256" s="2">
        <v>183</v>
      </c>
      <c r="R256" s="1">
        <v>45741</v>
      </c>
      <c r="S256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169.09000000000003</v>
      </c>
    </row>
    <row r="257" spans="1:19" x14ac:dyDescent="0.3">
      <c r="A257" t="s">
        <v>439</v>
      </c>
      <c r="B257" t="s">
        <v>164</v>
      </c>
      <c r="C257" t="s">
        <v>91</v>
      </c>
      <c r="D257">
        <v>40.643329999999999</v>
      </c>
      <c r="E257">
        <v>-74.07799</v>
      </c>
      <c r="F257" t="s">
        <v>21</v>
      </c>
      <c r="G257">
        <v>2</v>
      </c>
      <c r="H257">
        <v>1</v>
      </c>
      <c r="I257">
        <v>0</v>
      </c>
      <c r="J257">
        <v>2</v>
      </c>
      <c r="K257">
        <v>30</v>
      </c>
      <c r="L257">
        <v>199</v>
      </c>
      <c r="M257">
        <v>75</v>
      </c>
      <c r="N257">
        <v>1.05</v>
      </c>
      <c r="O257">
        <f>IF(F257="Private room",1,0)</f>
        <v>0</v>
      </c>
      <c r="P257">
        <f>IF(C257="Manhattan",4,IF(C257="Brooklyn",2,0))</f>
        <v>0</v>
      </c>
      <c r="Q257" s="2">
        <v>100</v>
      </c>
      <c r="R257" s="1">
        <v>45730</v>
      </c>
      <c r="S257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95.830000000000027</v>
      </c>
    </row>
    <row r="258" spans="1:19" x14ac:dyDescent="0.3">
      <c r="A258" t="s">
        <v>440</v>
      </c>
      <c r="B258" t="s">
        <v>33</v>
      </c>
      <c r="C258" t="s">
        <v>17</v>
      </c>
      <c r="D258">
        <v>40.674410000000002</v>
      </c>
      <c r="E258">
        <v>-73.983260000000001</v>
      </c>
      <c r="F258" t="s">
        <v>21</v>
      </c>
      <c r="G258">
        <v>2</v>
      </c>
      <c r="H258">
        <v>1</v>
      </c>
      <c r="I258">
        <v>1</v>
      </c>
      <c r="J258">
        <v>2</v>
      </c>
      <c r="K258">
        <v>30</v>
      </c>
      <c r="L258">
        <v>68</v>
      </c>
      <c r="M258">
        <v>45</v>
      </c>
      <c r="N258">
        <v>0.63</v>
      </c>
      <c r="O258">
        <f>IF(F258="Private room",1,0)</f>
        <v>0</v>
      </c>
      <c r="P258">
        <f>IF(C258="Manhattan",4,IF(C258="Brooklyn",2,0))</f>
        <v>2</v>
      </c>
      <c r="Q258" s="2">
        <v>159</v>
      </c>
      <c r="R258" s="1">
        <v>45745</v>
      </c>
      <c r="S258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131.53000000000003</v>
      </c>
    </row>
    <row r="259" spans="1:19" x14ac:dyDescent="0.3">
      <c r="A259" t="s">
        <v>441</v>
      </c>
      <c r="B259" t="s">
        <v>19</v>
      </c>
      <c r="C259" t="s">
        <v>20</v>
      </c>
      <c r="D259">
        <v>40.763599999999997</v>
      </c>
      <c r="E259">
        <v>-73.980490000000003</v>
      </c>
      <c r="F259" t="s">
        <v>18</v>
      </c>
      <c r="G259">
        <v>4</v>
      </c>
      <c r="H259">
        <v>1</v>
      </c>
      <c r="I259">
        <v>1</v>
      </c>
      <c r="J259">
        <v>2</v>
      </c>
      <c r="K259">
        <v>1</v>
      </c>
      <c r="L259">
        <v>298</v>
      </c>
      <c r="M259">
        <v>37</v>
      </c>
      <c r="N259">
        <v>0.68</v>
      </c>
      <c r="O259">
        <f>IF(F259="Private room",1,0)</f>
        <v>1</v>
      </c>
      <c r="P259">
        <f>IF(C259="Manhattan",4,IF(C259="Brooklyn",2,0))</f>
        <v>4</v>
      </c>
      <c r="Q259" s="2">
        <v>324</v>
      </c>
      <c r="R259" s="1">
        <v>45732</v>
      </c>
      <c r="S259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244.60000000000008</v>
      </c>
    </row>
    <row r="260" spans="1:19" x14ac:dyDescent="0.3">
      <c r="A260" t="s">
        <v>442</v>
      </c>
      <c r="B260" t="s">
        <v>19</v>
      </c>
      <c r="C260" t="s">
        <v>20</v>
      </c>
      <c r="D260">
        <v>40.765520000000002</v>
      </c>
      <c r="E260">
        <v>-73.981960000000001</v>
      </c>
      <c r="F260" t="s">
        <v>18</v>
      </c>
      <c r="G260">
        <v>4</v>
      </c>
      <c r="H260">
        <v>1</v>
      </c>
      <c r="I260">
        <v>1</v>
      </c>
      <c r="J260">
        <v>2</v>
      </c>
      <c r="K260">
        <v>1</v>
      </c>
      <c r="L260">
        <v>261</v>
      </c>
      <c r="M260">
        <v>288</v>
      </c>
      <c r="N260">
        <v>4.28</v>
      </c>
      <c r="O260">
        <f>IF(F260="Private room",1,0)</f>
        <v>1</v>
      </c>
      <c r="P260">
        <f>IF(C260="Manhattan",4,IF(C260="Brooklyn",2,0))</f>
        <v>4</v>
      </c>
      <c r="Q260" s="2">
        <v>310</v>
      </c>
      <c r="R260" s="1">
        <v>45737</v>
      </c>
      <c r="S260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246.08000000000004</v>
      </c>
    </row>
    <row r="261" spans="1:19" x14ac:dyDescent="0.3">
      <c r="A261" t="s">
        <v>443</v>
      </c>
      <c r="B261" t="s">
        <v>95</v>
      </c>
      <c r="C261" t="s">
        <v>20</v>
      </c>
      <c r="D261">
        <v>40.745469999999997</v>
      </c>
      <c r="E261">
        <v>-73.976050000000001</v>
      </c>
      <c r="F261" t="s">
        <v>21</v>
      </c>
      <c r="G261">
        <v>3</v>
      </c>
      <c r="H261">
        <v>1</v>
      </c>
      <c r="I261">
        <v>1</v>
      </c>
      <c r="J261">
        <v>1</v>
      </c>
      <c r="K261">
        <v>30</v>
      </c>
      <c r="L261">
        <v>274</v>
      </c>
      <c r="M261">
        <v>8</v>
      </c>
      <c r="N261">
        <v>0.14000000000000001</v>
      </c>
      <c r="O261">
        <f>IF(F261="Private room",1,0)</f>
        <v>0</v>
      </c>
      <c r="P261">
        <f>IF(C261="Manhattan",4,IF(C261="Brooklyn",2,0))</f>
        <v>4</v>
      </c>
      <c r="Q261" s="2">
        <v>230</v>
      </c>
      <c r="R261" s="1">
        <v>45717</v>
      </c>
      <c r="S261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172.73000000000002</v>
      </c>
    </row>
    <row r="262" spans="1:19" x14ac:dyDescent="0.3">
      <c r="A262" t="s">
        <v>444</v>
      </c>
      <c r="B262" t="s">
        <v>28</v>
      </c>
      <c r="C262" t="s">
        <v>20</v>
      </c>
      <c r="D262">
        <v>40.831899999999997</v>
      </c>
      <c r="E262">
        <v>-73.94641</v>
      </c>
      <c r="F262" t="s">
        <v>18</v>
      </c>
      <c r="G262">
        <v>1</v>
      </c>
      <c r="H262">
        <v>1</v>
      </c>
      <c r="I262">
        <v>1</v>
      </c>
      <c r="J262">
        <v>1</v>
      </c>
      <c r="K262">
        <v>30</v>
      </c>
      <c r="L262">
        <v>190</v>
      </c>
      <c r="M262">
        <v>56</v>
      </c>
      <c r="N262">
        <v>1.5</v>
      </c>
      <c r="O262">
        <f>IF(F262="Private room",1,0)</f>
        <v>1</v>
      </c>
      <c r="P262">
        <f>IF(C262="Manhattan",4,IF(C262="Brooklyn",2,0))</f>
        <v>4</v>
      </c>
      <c r="Q262" s="2">
        <v>79</v>
      </c>
      <c r="R262" s="1">
        <v>45735</v>
      </c>
      <c r="S262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94.830000000000013</v>
      </c>
    </row>
    <row r="263" spans="1:19" x14ac:dyDescent="0.3">
      <c r="A263" t="s">
        <v>445</v>
      </c>
      <c r="B263" t="s">
        <v>59</v>
      </c>
      <c r="C263" t="s">
        <v>17</v>
      </c>
      <c r="D263">
        <v>40.684660000000001</v>
      </c>
      <c r="E263">
        <v>-73.966350000000006</v>
      </c>
      <c r="F263" t="s">
        <v>21</v>
      </c>
      <c r="G263">
        <v>5</v>
      </c>
      <c r="H263">
        <v>1</v>
      </c>
      <c r="I263">
        <v>2</v>
      </c>
      <c r="J263">
        <v>2</v>
      </c>
      <c r="K263">
        <v>30</v>
      </c>
      <c r="L263">
        <v>178</v>
      </c>
      <c r="M263">
        <v>117</v>
      </c>
      <c r="N263">
        <v>1.67</v>
      </c>
      <c r="O263">
        <f>IF(F263="Private room",1,0)</f>
        <v>0</v>
      </c>
      <c r="P263">
        <f>IF(C263="Manhattan",4,IF(C263="Brooklyn",2,0))</f>
        <v>2</v>
      </c>
      <c r="Q263" s="2">
        <v>203</v>
      </c>
      <c r="R263" s="1">
        <v>45747</v>
      </c>
      <c r="S263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184.07000000000002</v>
      </c>
    </row>
    <row r="264" spans="1:19" x14ac:dyDescent="0.3">
      <c r="A264" t="s">
        <v>446</v>
      </c>
      <c r="B264" t="s">
        <v>56</v>
      </c>
      <c r="C264" t="s">
        <v>17</v>
      </c>
      <c r="D264">
        <v>40.671860000000002</v>
      </c>
      <c r="E264">
        <v>-73.962450000000004</v>
      </c>
      <c r="F264" t="s">
        <v>18</v>
      </c>
      <c r="G264">
        <v>2</v>
      </c>
      <c r="H264">
        <v>1</v>
      </c>
      <c r="I264">
        <v>1</v>
      </c>
      <c r="J264">
        <v>1</v>
      </c>
      <c r="K264">
        <v>30</v>
      </c>
      <c r="L264">
        <v>119</v>
      </c>
      <c r="M264">
        <v>97</v>
      </c>
      <c r="N264">
        <v>1.39</v>
      </c>
      <c r="O264">
        <f>IF(F264="Private room",1,0)</f>
        <v>1</v>
      </c>
      <c r="P264">
        <f>IF(C264="Manhattan",4,IF(C264="Brooklyn",2,0))</f>
        <v>2</v>
      </c>
      <c r="Q264" s="2">
        <v>80</v>
      </c>
      <c r="R264" s="1">
        <v>45733</v>
      </c>
      <c r="S264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86.190000000000026</v>
      </c>
    </row>
    <row r="265" spans="1:19" x14ac:dyDescent="0.3">
      <c r="A265" t="s">
        <v>447</v>
      </c>
      <c r="B265" t="s">
        <v>54</v>
      </c>
      <c r="C265" t="s">
        <v>31</v>
      </c>
      <c r="D265">
        <v>40.879959999999997</v>
      </c>
      <c r="E265">
        <v>-73.836259999999996</v>
      </c>
      <c r="F265" t="s">
        <v>18</v>
      </c>
      <c r="G265">
        <v>3</v>
      </c>
      <c r="H265">
        <v>1</v>
      </c>
      <c r="I265">
        <v>1</v>
      </c>
      <c r="J265">
        <v>2</v>
      </c>
      <c r="K265">
        <v>2</v>
      </c>
      <c r="L265">
        <v>342</v>
      </c>
      <c r="M265">
        <v>10</v>
      </c>
      <c r="N265">
        <v>0.21</v>
      </c>
      <c r="O265">
        <f>IF(F265="Private room",1,0)</f>
        <v>1</v>
      </c>
      <c r="P265">
        <f>IF(C265="Manhattan",4,IF(C265="Brooklyn",2,0))</f>
        <v>0</v>
      </c>
      <c r="Q265" s="2">
        <v>92</v>
      </c>
      <c r="R265" s="1">
        <v>45725</v>
      </c>
      <c r="S265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159.59000000000003</v>
      </c>
    </row>
    <row r="266" spans="1:19" x14ac:dyDescent="0.3">
      <c r="A266" t="s">
        <v>448</v>
      </c>
      <c r="B266" t="s">
        <v>251</v>
      </c>
      <c r="C266" t="s">
        <v>30</v>
      </c>
      <c r="D266">
        <v>40.670250000000003</v>
      </c>
      <c r="E266">
        <v>-73.744140000000002</v>
      </c>
      <c r="F266" t="s">
        <v>18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362</v>
      </c>
      <c r="M266">
        <v>66</v>
      </c>
      <c r="N266">
        <v>0.94</v>
      </c>
      <c r="O266">
        <f>IF(F266="Private room",1,0)</f>
        <v>1</v>
      </c>
      <c r="P266">
        <f>IF(C266="Manhattan",4,IF(C266="Brooklyn",2,0))</f>
        <v>0</v>
      </c>
      <c r="Q266" s="2">
        <v>59</v>
      </c>
      <c r="R266" s="1">
        <v>45747</v>
      </c>
      <c r="S266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124.18000000000002</v>
      </c>
    </row>
    <row r="267" spans="1:19" x14ac:dyDescent="0.3">
      <c r="A267" t="s">
        <v>449</v>
      </c>
      <c r="B267" t="s">
        <v>27</v>
      </c>
      <c r="C267" t="s">
        <v>17</v>
      </c>
      <c r="D267">
        <v>40.682929999999999</v>
      </c>
      <c r="E267">
        <v>-73.912570000000002</v>
      </c>
      <c r="F267" t="s">
        <v>21</v>
      </c>
      <c r="G267">
        <v>6</v>
      </c>
      <c r="H267">
        <v>1</v>
      </c>
      <c r="I267">
        <v>2</v>
      </c>
      <c r="J267">
        <v>3</v>
      </c>
      <c r="K267">
        <v>30</v>
      </c>
      <c r="L267">
        <v>356</v>
      </c>
      <c r="M267">
        <v>374</v>
      </c>
      <c r="N267">
        <v>5.33</v>
      </c>
      <c r="O267">
        <f>IF(F267="Private room",1,0)</f>
        <v>0</v>
      </c>
      <c r="P267">
        <f>IF(C267="Manhattan",4,IF(C267="Brooklyn",2,0))</f>
        <v>2</v>
      </c>
      <c r="Q267" s="2">
        <v>145</v>
      </c>
      <c r="R267" s="1">
        <v>45740</v>
      </c>
      <c r="S267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195.93000000000004</v>
      </c>
    </row>
    <row r="268" spans="1:19" x14ac:dyDescent="0.3">
      <c r="A268" t="s">
        <v>450</v>
      </c>
      <c r="B268" t="s">
        <v>36</v>
      </c>
      <c r="C268" t="s">
        <v>20</v>
      </c>
      <c r="D268">
        <v>40.78107</v>
      </c>
      <c r="E268">
        <v>-73.946479999999994</v>
      </c>
      <c r="F268" t="s">
        <v>21</v>
      </c>
      <c r="G268">
        <v>4</v>
      </c>
      <c r="H268">
        <v>1</v>
      </c>
      <c r="I268">
        <v>2</v>
      </c>
      <c r="J268">
        <v>3</v>
      </c>
      <c r="K268">
        <v>30</v>
      </c>
      <c r="L268">
        <v>362</v>
      </c>
      <c r="M268">
        <v>8</v>
      </c>
      <c r="N268">
        <v>0.12</v>
      </c>
      <c r="O268">
        <f>IF(F268="Private room",1,0)</f>
        <v>0</v>
      </c>
      <c r="P268">
        <f>IF(C268="Manhattan",4,IF(C268="Brooklyn",2,0))</f>
        <v>4</v>
      </c>
      <c r="Q268" s="2">
        <v>146</v>
      </c>
      <c r="R268" s="1">
        <v>45747</v>
      </c>
      <c r="S268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188.19000000000003</v>
      </c>
    </row>
    <row r="269" spans="1:19" x14ac:dyDescent="0.3">
      <c r="A269" t="s">
        <v>451</v>
      </c>
      <c r="B269" t="s">
        <v>23</v>
      </c>
      <c r="C269" t="s">
        <v>17</v>
      </c>
      <c r="D269">
        <v>40.70637</v>
      </c>
      <c r="E269">
        <v>-73.927040000000005</v>
      </c>
      <c r="F269" t="s">
        <v>21</v>
      </c>
      <c r="G269">
        <v>2</v>
      </c>
      <c r="H269">
        <v>1</v>
      </c>
      <c r="I269">
        <v>0</v>
      </c>
      <c r="J269">
        <v>1</v>
      </c>
      <c r="K269">
        <v>30</v>
      </c>
      <c r="L269">
        <v>89</v>
      </c>
      <c r="M269">
        <v>120</v>
      </c>
      <c r="N269">
        <v>1.71</v>
      </c>
      <c r="O269">
        <f>IF(F269="Private room",1,0)</f>
        <v>0</v>
      </c>
      <c r="P269">
        <f>IF(C269="Manhattan",4,IF(C269="Brooklyn",2,0))</f>
        <v>2</v>
      </c>
      <c r="Q269" s="2">
        <v>157</v>
      </c>
      <c r="R269" s="1">
        <v>45731</v>
      </c>
      <c r="S269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130.69000000000003</v>
      </c>
    </row>
    <row r="270" spans="1:19" x14ac:dyDescent="0.3">
      <c r="A270" t="s">
        <v>453</v>
      </c>
      <c r="B270" t="s">
        <v>28</v>
      </c>
      <c r="C270" t="s">
        <v>20</v>
      </c>
      <c r="D270">
        <v>40.804169999999999</v>
      </c>
      <c r="E270">
        <v>-73.950029999999998</v>
      </c>
      <c r="F270" t="s">
        <v>21</v>
      </c>
      <c r="G270">
        <v>3</v>
      </c>
      <c r="H270">
        <v>1</v>
      </c>
      <c r="I270">
        <v>1</v>
      </c>
      <c r="J270">
        <v>1</v>
      </c>
      <c r="K270">
        <v>30</v>
      </c>
      <c r="L270">
        <v>179</v>
      </c>
      <c r="M270">
        <v>14</v>
      </c>
      <c r="N270">
        <v>0.2</v>
      </c>
      <c r="O270">
        <f>IF(F270="Private room",1,0)</f>
        <v>0</v>
      </c>
      <c r="P270">
        <f>IF(C270="Manhattan",4,IF(C270="Brooklyn",2,0))</f>
        <v>4</v>
      </c>
      <c r="Q270" s="2">
        <v>182</v>
      </c>
      <c r="R270" s="1">
        <v>45747</v>
      </c>
      <c r="S270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176.53000000000003</v>
      </c>
    </row>
    <row r="271" spans="1:19" x14ac:dyDescent="0.3">
      <c r="A271" t="s">
        <v>454</v>
      </c>
      <c r="B271" t="s">
        <v>43</v>
      </c>
      <c r="C271" t="s">
        <v>20</v>
      </c>
      <c r="D271">
        <v>40.722580000000001</v>
      </c>
      <c r="E271">
        <v>-73.990459999999999</v>
      </c>
      <c r="F271" t="s">
        <v>18</v>
      </c>
      <c r="G271">
        <v>2</v>
      </c>
      <c r="H271">
        <v>1</v>
      </c>
      <c r="I271">
        <v>1</v>
      </c>
      <c r="J271">
        <v>1</v>
      </c>
      <c r="K271">
        <v>1</v>
      </c>
      <c r="L271">
        <v>349</v>
      </c>
      <c r="M271">
        <v>278</v>
      </c>
      <c r="N271">
        <v>4.24</v>
      </c>
      <c r="O271">
        <f>IF(F271="Private room",1,0)</f>
        <v>1</v>
      </c>
      <c r="P271">
        <f>IF(C271="Manhattan",4,IF(C271="Brooklyn",2,0))</f>
        <v>4</v>
      </c>
      <c r="Q271" s="2">
        <v>284</v>
      </c>
      <c r="R271" s="1">
        <v>45732</v>
      </c>
      <c r="S271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204.60000000000002</v>
      </c>
    </row>
    <row r="272" spans="1:19" x14ac:dyDescent="0.3">
      <c r="A272" t="s">
        <v>455</v>
      </c>
      <c r="B272" t="s">
        <v>56</v>
      </c>
      <c r="C272" t="s">
        <v>17</v>
      </c>
      <c r="D272" s="3" t="s">
        <v>456</v>
      </c>
      <c r="E272">
        <v>-73.955319854574199</v>
      </c>
      <c r="F272" t="s">
        <v>18</v>
      </c>
      <c r="G272">
        <v>2</v>
      </c>
      <c r="H272">
        <v>1</v>
      </c>
      <c r="I272">
        <v>1</v>
      </c>
      <c r="J272">
        <v>1</v>
      </c>
      <c r="K272">
        <v>2</v>
      </c>
      <c r="L272">
        <v>356</v>
      </c>
      <c r="M272">
        <v>29</v>
      </c>
      <c r="N272">
        <v>0.42</v>
      </c>
      <c r="O272">
        <f>IF(F272="Private room",1,0)</f>
        <v>1</v>
      </c>
      <c r="P272">
        <f>IF(C272="Manhattan",4,IF(C272="Brooklyn",2,0))</f>
        <v>2</v>
      </c>
      <c r="Q272" s="2">
        <v>143</v>
      </c>
      <c r="R272" s="1">
        <v>45739</v>
      </c>
      <c r="S272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170.51000000000002</v>
      </c>
    </row>
    <row r="273" spans="1:19" x14ac:dyDescent="0.3">
      <c r="A273" t="s">
        <v>457</v>
      </c>
      <c r="B273" t="s">
        <v>27</v>
      </c>
      <c r="C273" t="s">
        <v>17</v>
      </c>
      <c r="D273">
        <v>40.677669999999999</v>
      </c>
      <c r="E273">
        <v>-73.91686</v>
      </c>
      <c r="F273" t="s">
        <v>21</v>
      </c>
      <c r="G273">
        <v>2</v>
      </c>
      <c r="H273">
        <v>2</v>
      </c>
      <c r="I273">
        <v>2</v>
      </c>
      <c r="J273">
        <v>3</v>
      </c>
      <c r="K273">
        <v>3</v>
      </c>
      <c r="L273">
        <v>260</v>
      </c>
      <c r="M273">
        <v>189</v>
      </c>
      <c r="N273">
        <v>2.72</v>
      </c>
      <c r="O273">
        <f>IF(F273="Private room",1,0)</f>
        <v>0</v>
      </c>
      <c r="P273">
        <f>IF(C273="Manhattan",4,IF(C273="Brooklyn",2,0))</f>
        <v>2</v>
      </c>
      <c r="Q273" s="2">
        <v>245</v>
      </c>
      <c r="R273" s="1">
        <v>45746</v>
      </c>
      <c r="S273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225.52</v>
      </c>
    </row>
    <row r="274" spans="1:19" x14ac:dyDescent="0.3">
      <c r="A274" t="s">
        <v>458</v>
      </c>
      <c r="B274" t="s">
        <v>36</v>
      </c>
      <c r="C274" t="s">
        <v>20</v>
      </c>
      <c r="D274">
        <v>40.760829999999999</v>
      </c>
      <c r="E274">
        <v>-73.96002</v>
      </c>
      <c r="F274" t="s">
        <v>21</v>
      </c>
      <c r="G274">
        <v>4</v>
      </c>
      <c r="H274">
        <v>1</v>
      </c>
      <c r="I274">
        <v>2</v>
      </c>
      <c r="J274">
        <v>2</v>
      </c>
      <c r="K274">
        <v>30</v>
      </c>
      <c r="L274">
        <v>339</v>
      </c>
      <c r="M274">
        <v>14</v>
      </c>
      <c r="N274">
        <v>0.21</v>
      </c>
      <c r="O274">
        <f>IF(F274="Private room",1,0)</f>
        <v>0</v>
      </c>
      <c r="P274">
        <f>IF(C274="Manhattan",4,IF(C274="Brooklyn",2,0))</f>
        <v>4</v>
      </c>
      <c r="Q274" s="2">
        <v>193</v>
      </c>
      <c r="R274" s="1">
        <v>45739</v>
      </c>
      <c r="S274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189.11</v>
      </c>
    </row>
    <row r="275" spans="1:19" x14ac:dyDescent="0.3">
      <c r="A275" t="s">
        <v>459</v>
      </c>
      <c r="B275" t="s">
        <v>33</v>
      </c>
      <c r="C275" t="s">
        <v>17</v>
      </c>
      <c r="D275">
        <v>40.675779800000001</v>
      </c>
      <c r="E275">
        <v>-73.978014799999997</v>
      </c>
      <c r="F275" t="s">
        <v>18</v>
      </c>
      <c r="G275">
        <v>4</v>
      </c>
      <c r="H275">
        <v>1</v>
      </c>
      <c r="I275">
        <v>1</v>
      </c>
      <c r="J275">
        <v>1</v>
      </c>
      <c r="K275">
        <v>2</v>
      </c>
      <c r="L275">
        <v>288</v>
      </c>
      <c r="M275">
        <v>86</v>
      </c>
      <c r="N275">
        <v>2.65</v>
      </c>
      <c r="O275">
        <f>IF(F275="Private room",1,0)</f>
        <v>1</v>
      </c>
      <c r="P275">
        <f>IF(C275="Manhattan",4,IF(C275="Brooklyn",2,0))</f>
        <v>2</v>
      </c>
      <c r="Q275" s="2">
        <v>298</v>
      </c>
      <c r="R275" s="1">
        <v>45747</v>
      </c>
      <c r="S275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211.19000000000003</v>
      </c>
    </row>
    <row r="276" spans="1:19" x14ac:dyDescent="0.3">
      <c r="A276" t="s">
        <v>460</v>
      </c>
      <c r="B276" t="s">
        <v>45</v>
      </c>
      <c r="C276" t="s">
        <v>20</v>
      </c>
      <c r="D276">
        <v>40.746839999999999</v>
      </c>
      <c r="E276">
        <v>-73.992069999999998</v>
      </c>
      <c r="F276" t="s">
        <v>21</v>
      </c>
      <c r="G276">
        <v>2</v>
      </c>
      <c r="H276">
        <v>1</v>
      </c>
      <c r="I276">
        <v>0</v>
      </c>
      <c r="J276">
        <v>1</v>
      </c>
      <c r="K276">
        <v>30</v>
      </c>
      <c r="L276">
        <v>265</v>
      </c>
      <c r="M276">
        <v>13</v>
      </c>
      <c r="N276">
        <v>0.2</v>
      </c>
      <c r="O276">
        <f>IF(F276="Private room",1,0)</f>
        <v>0</v>
      </c>
      <c r="P276">
        <f>IF(C276="Manhattan",4,IF(C276="Brooklyn",2,0))</f>
        <v>4</v>
      </c>
      <c r="Q276" s="2">
        <v>115</v>
      </c>
      <c r="R276" s="1">
        <v>45729</v>
      </c>
      <c r="S276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154.11000000000001</v>
      </c>
    </row>
    <row r="277" spans="1:19" x14ac:dyDescent="0.3">
      <c r="A277" t="s">
        <v>461</v>
      </c>
      <c r="B277" t="s">
        <v>45</v>
      </c>
      <c r="C277" t="s">
        <v>20</v>
      </c>
      <c r="D277">
        <v>40.746839999999999</v>
      </c>
      <c r="E277">
        <v>-73.992069999999998</v>
      </c>
      <c r="F277" t="s">
        <v>21</v>
      </c>
      <c r="G277">
        <v>2</v>
      </c>
      <c r="H277">
        <v>1</v>
      </c>
      <c r="I277">
        <v>0</v>
      </c>
      <c r="J277">
        <v>1</v>
      </c>
      <c r="K277">
        <v>30</v>
      </c>
      <c r="L277">
        <v>272</v>
      </c>
      <c r="M277">
        <v>15</v>
      </c>
      <c r="N277">
        <v>0.23</v>
      </c>
      <c r="O277">
        <f>IF(F277="Private room",1,0)</f>
        <v>0</v>
      </c>
      <c r="P277">
        <f>IF(C277="Manhattan",4,IF(C277="Brooklyn",2,0))</f>
        <v>4</v>
      </c>
      <c r="Q277" s="2">
        <v>120</v>
      </c>
      <c r="R277" s="1">
        <v>45747</v>
      </c>
      <c r="S277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153.83000000000004</v>
      </c>
    </row>
    <row r="278" spans="1:19" x14ac:dyDescent="0.3">
      <c r="A278" t="s">
        <v>462</v>
      </c>
      <c r="B278" t="s">
        <v>27</v>
      </c>
      <c r="C278" t="s">
        <v>17</v>
      </c>
      <c r="D278">
        <v>40.689500000000002</v>
      </c>
      <c r="E278">
        <v>-73.957350000000005</v>
      </c>
      <c r="F278" t="s">
        <v>21</v>
      </c>
      <c r="G278">
        <v>6</v>
      </c>
      <c r="H278">
        <v>1</v>
      </c>
      <c r="I278">
        <v>3</v>
      </c>
      <c r="J278">
        <v>3</v>
      </c>
      <c r="K278">
        <v>30</v>
      </c>
      <c r="L278">
        <v>279</v>
      </c>
      <c r="M278">
        <v>19</v>
      </c>
      <c r="N278">
        <v>0.67</v>
      </c>
      <c r="O278">
        <f>IF(F278="Private room",1,0)</f>
        <v>0</v>
      </c>
      <c r="P278">
        <f>IF(C278="Manhattan",4,IF(C278="Brooklyn",2,0))</f>
        <v>2</v>
      </c>
      <c r="Q278" s="2">
        <v>428</v>
      </c>
      <c r="R278" s="1">
        <v>45719</v>
      </c>
      <c r="S278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199.01000000000005</v>
      </c>
    </row>
    <row r="279" spans="1:19" x14ac:dyDescent="0.3">
      <c r="A279" t="s">
        <v>463</v>
      </c>
      <c r="B279" t="s">
        <v>82</v>
      </c>
      <c r="C279" t="s">
        <v>30</v>
      </c>
      <c r="D279">
        <v>40.749310000000001</v>
      </c>
      <c r="E279">
        <v>-73.899929999999998</v>
      </c>
      <c r="F279" t="s">
        <v>18</v>
      </c>
      <c r="G279">
        <v>1</v>
      </c>
      <c r="H279">
        <v>1.5</v>
      </c>
      <c r="I279">
        <v>1</v>
      </c>
      <c r="J279">
        <v>1</v>
      </c>
      <c r="K279">
        <v>30</v>
      </c>
      <c r="L279">
        <v>334</v>
      </c>
      <c r="M279">
        <v>10</v>
      </c>
      <c r="N279">
        <v>0.15</v>
      </c>
      <c r="O279">
        <f>IF(F279="Private room",1,0)</f>
        <v>1</v>
      </c>
      <c r="P279">
        <f>IF(C279="Manhattan",4,IF(C279="Brooklyn",2,0))</f>
        <v>0</v>
      </c>
      <c r="Q279" s="2">
        <v>74</v>
      </c>
      <c r="R279" s="1">
        <v>45717</v>
      </c>
      <c r="S279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33.760000000000019</v>
      </c>
    </row>
    <row r="280" spans="1:19" x14ac:dyDescent="0.3">
      <c r="A280" t="s">
        <v>464</v>
      </c>
      <c r="B280" t="s">
        <v>134</v>
      </c>
      <c r="C280" t="s">
        <v>30</v>
      </c>
      <c r="D280">
        <v>40.71096</v>
      </c>
      <c r="E280">
        <v>-73.735600000000005</v>
      </c>
      <c r="F280" t="s">
        <v>21</v>
      </c>
      <c r="G280">
        <v>4</v>
      </c>
      <c r="H280">
        <v>1</v>
      </c>
      <c r="I280">
        <v>2</v>
      </c>
      <c r="J280">
        <v>2</v>
      </c>
      <c r="K280">
        <v>30</v>
      </c>
      <c r="L280">
        <v>330</v>
      </c>
      <c r="M280">
        <v>161</v>
      </c>
      <c r="N280">
        <v>2.33</v>
      </c>
      <c r="O280">
        <f>IF(F280="Private room",1,0)</f>
        <v>0</v>
      </c>
      <c r="P280">
        <f>IF(C280="Manhattan",4,IF(C280="Brooklyn",2,0))</f>
        <v>0</v>
      </c>
      <c r="Q280" s="2">
        <v>204</v>
      </c>
      <c r="R280" s="1">
        <v>45720</v>
      </c>
      <c r="S280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128.55000000000004</v>
      </c>
    </row>
    <row r="281" spans="1:19" x14ac:dyDescent="0.3">
      <c r="A281" t="s">
        <v>465</v>
      </c>
      <c r="B281" t="s">
        <v>19</v>
      </c>
      <c r="C281" t="s">
        <v>20</v>
      </c>
      <c r="D281">
        <v>40.747819999999997</v>
      </c>
      <c r="E281">
        <v>-73.988680000000002</v>
      </c>
      <c r="F281" t="s">
        <v>21</v>
      </c>
      <c r="G281">
        <v>4</v>
      </c>
      <c r="H281">
        <v>1</v>
      </c>
      <c r="I281">
        <v>0</v>
      </c>
      <c r="J281">
        <v>2</v>
      </c>
      <c r="K281">
        <v>2</v>
      </c>
      <c r="L281">
        <v>180</v>
      </c>
      <c r="M281">
        <v>130</v>
      </c>
      <c r="N281">
        <v>1.92</v>
      </c>
      <c r="O281">
        <f>IF(F281="Private room",1,0)</f>
        <v>0</v>
      </c>
      <c r="P281">
        <f>IF(C281="Manhattan",4,IF(C281="Brooklyn",2,0))</f>
        <v>4</v>
      </c>
      <c r="Q281" s="2">
        <v>213</v>
      </c>
      <c r="R281" s="1">
        <v>45732</v>
      </c>
      <c r="S281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289.27000000000004</v>
      </c>
    </row>
    <row r="282" spans="1:19" x14ac:dyDescent="0.3">
      <c r="A282" t="s">
        <v>466</v>
      </c>
      <c r="B282" t="s">
        <v>131</v>
      </c>
      <c r="C282" t="s">
        <v>20</v>
      </c>
      <c r="D282">
        <v>40.70655</v>
      </c>
      <c r="E282">
        <v>-74.006519999999995</v>
      </c>
      <c r="F282" t="s">
        <v>21</v>
      </c>
      <c r="G282">
        <v>4</v>
      </c>
      <c r="H282">
        <v>1</v>
      </c>
      <c r="I282">
        <v>0</v>
      </c>
      <c r="J282">
        <v>2</v>
      </c>
      <c r="K282">
        <v>1</v>
      </c>
      <c r="L282">
        <v>251</v>
      </c>
      <c r="M282">
        <v>109</v>
      </c>
      <c r="N282">
        <v>1.62</v>
      </c>
      <c r="O282">
        <f>IF(F282="Private room",1,0)</f>
        <v>0</v>
      </c>
      <c r="P282">
        <f>IF(C282="Manhattan",4,IF(C282="Brooklyn",2,0))</f>
        <v>4</v>
      </c>
      <c r="Q282" s="2">
        <v>319</v>
      </c>
      <c r="R282" s="1">
        <v>45746</v>
      </c>
      <c r="S282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289.78000000000003</v>
      </c>
    </row>
    <row r="283" spans="1:19" x14ac:dyDescent="0.3">
      <c r="A283" t="s">
        <v>467</v>
      </c>
      <c r="B283" t="s">
        <v>36</v>
      </c>
      <c r="C283" t="s">
        <v>20</v>
      </c>
      <c r="D283">
        <v>40.76097</v>
      </c>
      <c r="E283">
        <v>-73.961150000000004</v>
      </c>
      <c r="F283" t="s">
        <v>21</v>
      </c>
      <c r="G283">
        <v>2</v>
      </c>
      <c r="H283">
        <v>1</v>
      </c>
      <c r="I283">
        <v>1</v>
      </c>
      <c r="J283">
        <v>1</v>
      </c>
      <c r="K283">
        <v>30</v>
      </c>
      <c r="L283">
        <v>364</v>
      </c>
      <c r="M283">
        <v>14</v>
      </c>
      <c r="N283">
        <v>0.21</v>
      </c>
      <c r="O283">
        <f>IF(F283="Private room",1,0)</f>
        <v>0</v>
      </c>
      <c r="P283">
        <f>IF(C283="Manhattan",4,IF(C283="Brooklyn",2,0))</f>
        <v>4</v>
      </c>
      <c r="Q283" s="2">
        <v>158</v>
      </c>
      <c r="R283" s="1">
        <v>45746</v>
      </c>
      <c r="S283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150.15000000000003</v>
      </c>
    </row>
    <row r="284" spans="1:19" x14ac:dyDescent="0.3">
      <c r="A284" t="s">
        <v>468</v>
      </c>
      <c r="B284" t="s">
        <v>19</v>
      </c>
      <c r="C284" t="s">
        <v>20</v>
      </c>
      <c r="D284">
        <v>40.752499999999998</v>
      </c>
      <c r="E284">
        <v>-73.970830000000007</v>
      </c>
      <c r="F284" t="s">
        <v>21</v>
      </c>
      <c r="G284">
        <v>3</v>
      </c>
      <c r="H284">
        <v>1</v>
      </c>
      <c r="I284">
        <v>0</v>
      </c>
      <c r="J284">
        <v>2</v>
      </c>
      <c r="K284">
        <v>30</v>
      </c>
      <c r="L284">
        <v>192</v>
      </c>
      <c r="M284">
        <v>10</v>
      </c>
      <c r="N284">
        <v>0.15</v>
      </c>
      <c r="O284">
        <f>IF(F284="Private room",1,0)</f>
        <v>0</v>
      </c>
      <c r="P284">
        <f>IF(C284="Manhattan",4,IF(C284="Brooklyn",2,0))</f>
        <v>4</v>
      </c>
      <c r="Q284" s="2">
        <v>255</v>
      </c>
      <c r="R284" s="1">
        <v>45740</v>
      </c>
      <c r="S284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176.01</v>
      </c>
    </row>
    <row r="285" spans="1:19" x14ac:dyDescent="0.3">
      <c r="A285" t="s">
        <v>470</v>
      </c>
      <c r="B285" t="s">
        <v>122</v>
      </c>
      <c r="C285" t="s">
        <v>17</v>
      </c>
      <c r="D285">
        <v>40.62538</v>
      </c>
      <c r="E285">
        <v>-74.024640000000005</v>
      </c>
      <c r="F285" t="s">
        <v>18</v>
      </c>
      <c r="G285">
        <v>2</v>
      </c>
      <c r="H285">
        <v>2</v>
      </c>
      <c r="I285">
        <v>1</v>
      </c>
      <c r="J285">
        <v>1</v>
      </c>
      <c r="K285">
        <v>30</v>
      </c>
      <c r="L285">
        <v>112</v>
      </c>
      <c r="M285">
        <v>163</v>
      </c>
      <c r="N285">
        <v>2.39</v>
      </c>
      <c r="O285">
        <f>IF(F285="Private room",1,0)</f>
        <v>1</v>
      </c>
      <c r="P285">
        <f>IF(C285="Manhattan",4,IF(C285="Brooklyn",2,0))</f>
        <v>2</v>
      </c>
      <c r="Q285" s="2">
        <v>53</v>
      </c>
      <c r="R285" s="1">
        <v>45718</v>
      </c>
      <c r="S285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97.690000000000026</v>
      </c>
    </row>
    <row r="286" spans="1:19" x14ac:dyDescent="0.3">
      <c r="A286" t="s">
        <v>471</v>
      </c>
      <c r="B286" t="s">
        <v>185</v>
      </c>
      <c r="C286" t="s">
        <v>31</v>
      </c>
      <c r="D286">
        <v>40.847709999999999</v>
      </c>
      <c r="E286">
        <v>-73.847329999999999</v>
      </c>
      <c r="F286" t="s">
        <v>18</v>
      </c>
      <c r="G286">
        <v>2</v>
      </c>
      <c r="H286">
        <v>1</v>
      </c>
      <c r="I286">
        <v>1</v>
      </c>
      <c r="J286">
        <v>1</v>
      </c>
      <c r="K286">
        <v>30</v>
      </c>
      <c r="L286">
        <v>240</v>
      </c>
      <c r="M286">
        <v>87</v>
      </c>
      <c r="N286">
        <v>1.28</v>
      </c>
      <c r="O286">
        <f>IF(F286="Private room",1,0)</f>
        <v>1</v>
      </c>
      <c r="P286">
        <f>IF(C286="Manhattan",4,IF(C286="Brooklyn",2,0))</f>
        <v>0</v>
      </c>
      <c r="Q286" s="2">
        <v>59</v>
      </c>
      <c r="R286" s="1">
        <v>45747</v>
      </c>
      <c r="S286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50.890000000000029</v>
      </c>
    </row>
    <row r="287" spans="1:19" x14ac:dyDescent="0.3">
      <c r="A287" t="s">
        <v>472</v>
      </c>
      <c r="B287" t="s">
        <v>56</v>
      </c>
      <c r="C287" t="s">
        <v>17</v>
      </c>
      <c r="D287">
        <v>40.670962279876399</v>
      </c>
      <c r="E287">
        <v>-73.954010648554402</v>
      </c>
      <c r="F287" t="s">
        <v>21</v>
      </c>
      <c r="G287">
        <v>2</v>
      </c>
      <c r="H287">
        <v>1</v>
      </c>
      <c r="I287">
        <v>0</v>
      </c>
      <c r="J287">
        <v>1</v>
      </c>
      <c r="K287">
        <v>30</v>
      </c>
      <c r="L287">
        <v>193</v>
      </c>
      <c r="M287">
        <v>5</v>
      </c>
      <c r="N287">
        <v>0.56999999999999995</v>
      </c>
      <c r="O287">
        <f>IF(F287="Private room",1,0)</f>
        <v>0</v>
      </c>
      <c r="P287">
        <f>IF(C287="Manhattan",4,IF(C287="Brooklyn",2,0))</f>
        <v>2</v>
      </c>
      <c r="Q287" s="2">
        <v>211</v>
      </c>
      <c r="R287" s="1">
        <v>45747</v>
      </c>
      <c r="S287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126.53000000000003</v>
      </c>
    </row>
    <row r="288" spans="1:19" x14ac:dyDescent="0.3">
      <c r="A288" t="s">
        <v>473</v>
      </c>
      <c r="B288" t="s">
        <v>264</v>
      </c>
      <c r="C288" t="s">
        <v>30</v>
      </c>
      <c r="D288">
        <v>40.700899999999997</v>
      </c>
      <c r="E288">
        <v>-73.751919999999998</v>
      </c>
      <c r="F288" t="s">
        <v>21</v>
      </c>
      <c r="G288">
        <v>4</v>
      </c>
      <c r="H288">
        <v>1</v>
      </c>
      <c r="I288">
        <v>2</v>
      </c>
      <c r="J288">
        <v>2</v>
      </c>
      <c r="K288">
        <v>3</v>
      </c>
      <c r="L288">
        <v>270</v>
      </c>
      <c r="M288">
        <v>39</v>
      </c>
      <c r="N288">
        <v>0.57999999999999996</v>
      </c>
      <c r="O288">
        <f>IF(F288="Private room",1,0)</f>
        <v>0</v>
      </c>
      <c r="P288">
        <f>IF(C288="Manhattan",4,IF(C288="Brooklyn",2,0))</f>
        <v>0</v>
      </c>
      <c r="Q288" s="2">
        <v>186</v>
      </c>
      <c r="R288" s="1">
        <v>45725</v>
      </c>
      <c r="S288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221.4</v>
      </c>
    </row>
    <row r="289" spans="1:19" x14ac:dyDescent="0.3">
      <c r="A289" t="s">
        <v>474</v>
      </c>
      <c r="B289" t="s">
        <v>59</v>
      </c>
      <c r="C289" t="s">
        <v>17</v>
      </c>
      <c r="D289">
        <v>40.694769999999998</v>
      </c>
      <c r="E289">
        <v>-73.969750000000005</v>
      </c>
      <c r="F289" t="s">
        <v>18</v>
      </c>
      <c r="G289">
        <v>2</v>
      </c>
      <c r="H289">
        <v>1</v>
      </c>
      <c r="I289">
        <v>1</v>
      </c>
      <c r="J289">
        <v>1</v>
      </c>
      <c r="K289">
        <v>30</v>
      </c>
      <c r="L289">
        <v>153</v>
      </c>
      <c r="M289">
        <v>191</v>
      </c>
      <c r="N289">
        <v>2.86</v>
      </c>
      <c r="O289">
        <f>IF(F289="Private room",1,0)</f>
        <v>1</v>
      </c>
      <c r="P289">
        <f>IF(C289="Manhattan",4,IF(C289="Brooklyn",2,0))</f>
        <v>2</v>
      </c>
      <c r="Q289" s="2">
        <v>67</v>
      </c>
      <c r="R289" s="1">
        <v>45723</v>
      </c>
      <c r="S289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84.830000000000013</v>
      </c>
    </row>
    <row r="290" spans="1:19" x14ac:dyDescent="0.3">
      <c r="A290" t="s">
        <v>475</v>
      </c>
      <c r="B290" t="s">
        <v>62</v>
      </c>
      <c r="C290" t="s">
        <v>20</v>
      </c>
      <c r="D290">
        <v>40.713560000000001</v>
      </c>
      <c r="E290">
        <v>-73.990399999999994</v>
      </c>
      <c r="F290" t="s">
        <v>18</v>
      </c>
      <c r="G290">
        <v>1</v>
      </c>
      <c r="H290">
        <v>1</v>
      </c>
      <c r="I290">
        <v>1</v>
      </c>
      <c r="J290">
        <v>1</v>
      </c>
      <c r="K290">
        <v>30</v>
      </c>
      <c r="L290">
        <v>237</v>
      </c>
      <c r="M290">
        <v>78</v>
      </c>
      <c r="N290">
        <v>1.1499999999999999</v>
      </c>
      <c r="O290">
        <f>IF(F290="Private room",1,0)</f>
        <v>1</v>
      </c>
      <c r="P290">
        <f>IF(C290="Manhattan",4,IF(C290="Brooklyn",2,0))</f>
        <v>4</v>
      </c>
      <c r="Q290" s="2">
        <v>75</v>
      </c>
      <c r="R290" s="1">
        <v>45727</v>
      </c>
      <c r="S290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92.95</v>
      </c>
    </row>
    <row r="291" spans="1:19" x14ac:dyDescent="0.3">
      <c r="A291" t="s">
        <v>476</v>
      </c>
      <c r="B291" t="s">
        <v>19</v>
      </c>
      <c r="C291" t="s">
        <v>20</v>
      </c>
      <c r="D291">
        <v>40.747149999999998</v>
      </c>
      <c r="E291">
        <v>-73.9846</v>
      </c>
      <c r="F291" t="s">
        <v>18</v>
      </c>
      <c r="G291">
        <v>2</v>
      </c>
      <c r="H291">
        <v>1</v>
      </c>
      <c r="I291">
        <v>1</v>
      </c>
      <c r="J291">
        <v>1</v>
      </c>
      <c r="K291">
        <v>1</v>
      </c>
      <c r="L291">
        <v>262</v>
      </c>
      <c r="M291">
        <v>48</v>
      </c>
      <c r="N291">
        <v>0.89</v>
      </c>
      <c r="O291">
        <f>IF(F291="Private room",1,0)</f>
        <v>1</v>
      </c>
      <c r="P291">
        <f>IF(C291="Manhattan",4,IF(C291="Brooklyn",2,0))</f>
        <v>4</v>
      </c>
      <c r="Q291" s="2">
        <v>294</v>
      </c>
      <c r="R291" s="1">
        <v>45730</v>
      </c>
      <c r="S291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208.08000000000004</v>
      </c>
    </row>
    <row r="292" spans="1:19" x14ac:dyDescent="0.3">
      <c r="A292" t="s">
        <v>477</v>
      </c>
      <c r="B292" t="s">
        <v>19</v>
      </c>
      <c r="C292" t="s">
        <v>20</v>
      </c>
      <c r="D292">
        <v>40.74579</v>
      </c>
      <c r="E292">
        <v>-73.984470000000002</v>
      </c>
      <c r="F292" t="s">
        <v>18</v>
      </c>
      <c r="G292">
        <v>2</v>
      </c>
      <c r="H292">
        <v>1</v>
      </c>
      <c r="I292">
        <v>1</v>
      </c>
      <c r="J292">
        <v>1</v>
      </c>
      <c r="K292">
        <v>1</v>
      </c>
      <c r="L292">
        <v>270</v>
      </c>
      <c r="M292">
        <v>94</v>
      </c>
      <c r="N292">
        <v>1.61</v>
      </c>
      <c r="O292">
        <f>IF(F292="Private room",1,0)</f>
        <v>1</v>
      </c>
      <c r="P292">
        <f>IF(C292="Manhattan",4,IF(C292="Brooklyn",2,0))</f>
        <v>4</v>
      </c>
      <c r="Q292" s="2">
        <v>305</v>
      </c>
      <c r="R292" s="1">
        <v>45739</v>
      </c>
      <c r="S292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207.76000000000005</v>
      </c>
    </row>
    <row r="293" spans="1:19" x14ac:dyDescent="0.3">
      <c r="A293" t="s">
        <v>479</v>
      </c>
      <c r="B293" t="s">
        <v>43</v>
      </c>
      <c r="C293" t="s">
        <v>20</v>
      </c>
      <c r="D293">
        <v>40.720379999999999</v>
      </c>
      <c r="E293">
        <v>-73.985039999999998</v>
      </c>
      <c r="F293" t="s">
        <v>18</v>
      </c>
      <c r="G293">
        <v>1</v>
      </c>
      <c r="H293">
        <v>1</v>
      </c>
      <c r="I293">
        <v>1</v>
      </c>
      <c r="J293">
        <v>1</v>
      </c>
      <c r="K293">
        <v>30</v>
      </c>
      <c r="L293">
        <v>317</v>
      </c>
      <c r="M293">
        <v>45</v>
      </c>
      <c r="N293">
        <v>0.67</v>
      </c>
      <c r="O293">
        <f>IF(F293="Private room",1,0)</f>
        <v>1</v>
      </c>
      <c r="P293">
        <f>IF(C293="Manhattan",4,IF(C293="Brooklyn",2,0))</f>
        <v>4</v>
      </c>
      <c r="Q293" s="2">
        <v>97</v>
      </c>
      <c r="R293" s="1">
        <v>45724</v>
      </c>
      <c r="S293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89.75</v>
      </c>
    </row>
    <row r="294" spans="1:19" x14ac:dyDescent="0.3">
      <c r="A294" t="s">
        <v>480</v>
      </c>
      <c r="B294" t="s">
        <v>32</v>
      </c>
      <c r="C294" t="s">
        <v>20</v>
      </c>
      <c r="D294">
        <v>40.810200000000002</v>
      </c>
      <c r="E294">
        <v>-73.959130000000002</v>
      </c>
      <c r="F294" t="s">
        <v>18</v>
      </c>
      <c r="G294">
        <v>2</v>
      </c>
      <c r="H294">
        <v>1</v>
      </c>
      <c r="I294">
        <v>1</v>
      </c>
      <c r="J294">
        <v>1</v>
      </c>
      <c r="K294">
        <v>30</v>
      </c>
      <c r="L294">
        <v>66</v>
      </c>
      <c r="M294">
        <v>187</v>
      </c>
      <c r="N294">
        <v>2.81</v>
      </c>
      <c r="O294">
        <f>IF(F294="Private room",1,0)</f>
        <v>1</v>
      </c>
      <c r="P294">
        <f>IF(C294="Manhattan",4,IF(C294="Brooklyn",2,0))</f>
        <v>4</v>
      </c>
      <c r="Q294" s="2">
        <v>58</v>
      </c>
      <c r="R294" s="1">
        <v>45729</v>
      </c>
      <c r="S294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118.77000000000002</v>
      </c>
    </row>
    <row r="295" spans="1:19" x14ac:dyDescent="0.3">
      <c r="A295" t="s">
        <v>482</v>
      </c>
      <c r="B295" t="s">
        <v>67</v>
      </c>
      <c r="C295" t="s">
        <v>17</v>
      </c>
      <c r="D295" s="3" t="s">
        <v>483</v>
      </c>
      <c r="E295">
        <v>-73.915100097656193</v>
      </c>
      <c r="F295" t="s">
        <v>18</v>
      </c>
      <c r="G295">
        <v>2</v>
      </c>
      <c r="H295">
        <v>1</v>
      </c>
      <c r="I295">
        <v>1</v>
      </c>
      <c r="J295">
        <v>1</v>
      </c>
      <c r="K295">
        <v>1</v>
      </c>
      <c r="L295">
        <v>45</v>
      </c>
      <c r="M295">
        <v>72</v>
      </c>
      <c r="N295">
        <v>1.0900000000000001</v>
      </c>
      <c r="O295">
        <f>IF(F295="Private room",1,0)</f>
        <v>1</v>
      </c>
      <c r="P295">
        <f>IF(C295="Manhattan",4,IF(C295="Brooklyn",2,0))</f>
        <v>2</v>
      </c>
      <c r="Q295" s="2">
        <v>88</v>
      </c>
      <c r="R295" s="1">
        <v>45746</v>
      </c>
      <c r="S295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186.30000000000004</v>
      </c>
    </row>
    <row r="296" spans="1:19" x14ac:dyDescent="0.3">
      <c r="A296" t="s">
        <v>484</v>
      </c>
      <c r="B296" t="s">
        <v>86</v>
      </c>
      <c r="C296" t="s">
        <v>20</v>
      </c>
      <c r="D296">
        <v>40.721679999999999</v>
      </c>
      <c r="E296">
        <v>-73.998390000000001</v>
      </c>
      <c r="F296" t="s">
        <v>21</v>
      </c>
      <c r="G296">
        <v>1</v>
      </c>
      <c r="H296">
        <v>1</v>
      </c>
      <c r="I296">
        <v>0</v>
      </c>
      <c r="J296">
        <v>1</v>
      </c>
      <c r="K296">
        <v>30</v>
      </c>
      <c r="L296">
        <v>291</v>
      </c>
      <c r="M296">
        <v>14</v>
      </c>
      <c r="N296">
        <v>0.3</v>
      </c>
      <c r="O296">
        <f>IF(F296="Private room",1,0)</f>
        <v>0</v>
      </c>
      <c r="P296">
        <f>IF(C296="Manhattan",4,IF(C296="Brooklyn",2,0))</f>
        <v>4</v>
      </c>
      <c r="Q296" s="2">
        <v>162</v>
      </c>
      <c r="R296" s="1">
        <v>45746</v>
      </c>
      <c r="S296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134.09</v>
      </c>
    </row>
    <row r="297" spans="1:19" x14ac:dyDescent="0.3">
      <c r="A297" t="s">
        <v>485</v>
      </c>
      <c r="B297" t="s">
        <v>28</v>
      </c>
      <c r="C297" t="s">
        <v>20</v>
      </c>
      <c r="D297">
        <v>40.824089999999998</v>
      </c>
      <c r="E297">
        <v>-73.940219999999997</v>
      </c>
      <c r="F297" t="s">
        <v>18</v>
      </c>
      <c r="G297">
        <v>2</v>
      </c>
      <c r="H297">
        <v>1</v>
      </c>
      <c r="I297">
        <v>1</v>
      </c>
      <c r="J297">
        <v>1</v>
      </c>
      <c r="K297">
        <v>30</v>
      </c>
      <c r="L297">
        <v>90</v>
      </c>
      <c r="M297">
        <v>111</v>
      </c>
      <c r="N297">
        <v>1.7</v>
      </c>
      <c r="O297">
        <f>IF(F297="Private room",1,0)</f>
        <v>1</v>
      </c>
      <c r="P297">
        <f>IF(C297="Manhattan",4,IF(C297="Brooklyn",2,0))</f>
        <v>4</v>
      </c>
      <c r="Q297" s="2">
        <v>165</v>
      </c>
      <c r="R297" s="1">
        <v>45740</v>
      </c>
      <c r="S297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117.81000000000003</v>
      </c>
    </row>
    <row r="298" spans="1:19" x14ac:dyDescent="0.3">
      <c r="A298" t="s">
        <v>486</v>
      </c>
      <c r="B298" t="s">
        <v>46</v>
      </c>
      <c r="C298" t="s">
        <v>17</v>
      </c>
      <c r="D298">
        <v>40.692230000000002</v>
      </c>
      <c r="E298">
        <v>-73.992599999999996</v>
      </c>
      <c r="F298" t="s">
        <v>21</v>
      </c>
      <c r="G298">
        <v>3</v>
      </c>
      <c r="H298">
        <v>1</v>
      </c>
      <c r="I298">
        <v>1</v>
      </c>
      <c r="J298">
        <v>2</v>
      </c>
      <c r="K298">
        <v>30</v>
      </c>
      <c r="L298">
        <v>38</v>
      </c>
      <c r="M298">
        <v>87</v>
      </c>
      <c r="N298">
        <v>1.34</v>
      </c>
      <c r="O298">
        <f>IF(F298="Private room",1,0)</f>
        <v>0</v>
      </c>
      <c r="P298">
        <f>IF(C298="Manhattan",4,IF(C298="Brooklyn",2,0))</f>
        <v>2</v>
      </c>
      <c r="Q298" s="2">
        <v>177</v>
      </c>
      <c r="R298" s="1">
        <v>45747</v>
      </c>
      <c r="S298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151.71</v>
      </c>
    </row>
    <row r="299" spans="1:19" x14ac:dyDescent="0.3">
      <c r="A299" t="s">
        <v>487</v>
      </c>
      <c r="B299" t="s">
        <v>23</v>
      </c>
      <c r="C299" t="s">
        <v>17</v>
      </c>
      <c r="D299">
        <v>40.713590000000003</v>
      </c>
      <c r="E299">
        <v>-73.952889999999996</v>
      </c>
      <c r="F299" t="s">
        <v>21</v>
      </c>
      <c r="G299">
        <v>2</v>
      </c>
      <c r="H299">
        <v>1</v>
      </c>
      <c r="I299">
        <v>1</v>
      </c>
      <c r="J299">
        <v>1</v>
      </c>
      <c r="K299">
        <v>30</v>
      </c>
      <c r="L299">
        <v>156</v>
      </c>
      <c r="M299">
        <v>49</v>
      </c>
      <c r="N299">
        <v>0.75</v>
      </c>
      <c r="O299">
        <f>IF(F299="Private room",1,0)</f>
        <v>0</v>
      </c>
      <c r="P299">
        <f>IF(C299="Manhattan",4,IF(C299="Brooklyn",2,0))</f>
        <v>2</v>
      </c>
      <c r="Q299" s="2">
        <v>94</v>
      </c>
      <c r="R299" s="1">
        <v>45747</v>
      </c>
      <c r="S299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128.01000000000002</v>
      </c>
    </row>
    <row r="300" spans="1:19" x14ac:dyDescent="0.3">
      <c r="A300" t="s">
        <v>488</v>
      </c>
      <c r="B300" t="s">
        <v>19</v>
      </c>
      <c r="C300" t="s">
        <v>20</v>
      </c>
      <c r="D300">
        <v>40.748080000000002</v>
      </c>
      <c r="E300">
        <v>-73.988280000000003</v>
      </c>
      <c r="F300" t="s">
        <v>21</v>
      </c>
      <c r="G300">
        <v>6</v>
      </c>
      <c r="H300">
        <v>1</v>
      </c>
      <c r="I300">
        <v>0</v>
      </c>
      <c r="J300">
        <v>4</v>
      </c>
      <c r="K300">
        <v>1</v>
      </c>
      <c r="L300">
        <v>92</v>
      </c>
      <c r="M300">
        <v>89</v>
      </c>
      <c r="N300">
        <v>1.52</v>
      </c>
      <c r="O300">
        <f>IF(F300="Private room",1,0)</f>
        <v>0</v>
      </c>
      <c r="P300">
        <f>IF(C300="Manhattan",4,IF(C300="Brooklyn",2,0))</f>
        <v>4</v>
      </c>
      <c r="Q300" s="2">
        <v>402</v>
      </c>
      <c r="R300" s="1">
        <v>45728</v>
      </c>
      <c r="S300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334.1</v>
      </c>
    </row>
    <row r="301" spans="1:19" x14ac:dyDescent="0.3">
      <c r="A301" t="s">
        <v>489</v>
      </c>
      <c r="B301" t="s">
        <v>27</v>
      </c>
      <c r="C301" t="s">
        <v>17</v>
      </c>
      <c r="D301" s="3" t="s">
        <v>490</v>
      </c>
      <c r="E301">
        <v>-73.945002670869201</v>
      </c>
      <c r="F301" t="s">
        <v>21</v>
      </c>
      <c r="G301">
        <v>2</v>
      </c>
      <c r="H301">
        <v>1</v>
      </c>
      <c r="I301">
        <v>1</v>
      </c>
      <c r="J301">
        <v>1</v>
      </c>
      <c r="K301">
        <v>5</v>
      </c>
      <c r="L301">
        <v>51</v>
      </c>
      <c r="M301">
        <v>117</v>
      </c>
      <c r="N301">
        <v>1.81</v>
      </c>
      <c r="O301">
        <f>IF(F301="Private room",1,0)</f>
        <v>0</v>
      </c>
      <c r="P301">
        <f>IF(C301="Manhattan",4,IF(C301="Brooklyn",2,0))</f>
        <v>2</v>
      </c>
      <c r="Q301" s="2">
        <v>210</v>
      </c>
      <c r="R301" s="1">
        <v>45744</v>
      </c>
      <c r="S301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215.96000000000004</v>
      </c>
    </row>
    <row r="302" spans="1:19" x14ac:dyDescent="0.3">
      <c r="A302" t="s">
        <v>491</v>
      </c>
      <c r="B302" t="s">
        <v>68</v>
      </c>
      <c r="C302" t="s">
        <v>20</v>
      </c>
      <c r="D302">
        <v>40.848550000000003</v>
      </c>
      <c r="E302">
        <v>-73.936809999999994</v>
      </c>
      <c r="F302" t="s">
        <v>21</v>
      </c>
      <c r="G302">
        <v>2</v>
      </c>
      <c r="H302">
        <v>1</v>
      </c>
      <c r="I302">
        <v>1</v>
      </c>
      <c r="J302">
        <v>2</v>
      </c>
      <c r="K302">
        <v>30</v>
      </c>
      <c r="L302">
        <v>106</v>
      </c>
      <c r="M302">
        <v>54</v>
      </c>
      <c r="N302">
        <v>0.83</v>
      </c>
      <c r="O302">
        <f>IF(F302="Private room",1,0)</f>
        <v>0</v>
      </c>
      <c r="P302">
        <f>IF(C302="Manhattan",4,IF(C302="Brooklyn",2,0))</f>
        <v>4</v>
      </c>
      <c r="Q302" s="2">
        <v>114</v>
      </c>
      <c r="R302" s="1">
        <v>45747</v>
      </c>
      <c r="S302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160.47000000000003</v>
      </c>
    </row>
    <row r="303" spans="1:19" x14ac:dyDescent="0.3">
      <c r="A303" t="s">
        <v>492</v>
      </c>
      <c r="B303" t="s">
        <v>33</v>
      </c>
      <c r="C303" t="s">
        <v>17</v>
      </c>
      <c r="D303">
        <v>40.678930000000001</v>
      </c>
      <c r="E303">
        <v>-73.975390000000004</v>
      </c>
      <c r="F303" t="s">
        <v>21</v>
      </c>
      <c r="G303">
        <v>2</v>
      </c>
      <c r="H303">
        <v>1</v>
      </c>
      <c r="I303">
        <v>1</v>
      </c>
      <c r="J303">
        <v>1</v>
      </c>
      <c r="K303">
        <v>30</v>
      </c>
      <c r="L303">
        <v>80</v>
      </c>
      <c r="M303">
        <v>23</v>
      </c>
      <c r="N303">
        <v>0.54</v>
      </c>
      <c r="O303">
        <f>IF(F303="Private room",1,0)</f>
        <v>0</v>
      </c>
      <c r="P303">
        <f>IF(C303="Manhattan",4,IF(C303="Brooklyn",2,0))</f>
        <v>2</v>
      </c>
      <c r="Q303" s="2">
        <v>245</v>
      </c>
      <c r="R303" s="1">
        <v>45741</v>
      </c>
      <c r="S303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131.05000000000001</v>
      </c>
    </row>
    <row r="304" spans="1:19" x14ac:dyDescent="0.3">
      <c r="A304" t="s">
        <v>493</v>
      </c>
      <c r="B304" t="s">
        <v>27</v>
      </c>
      <c r="C304" t="s">
        <v>17</v>
      </c>
      <c r="D304">
        <v>40.689630000000001</v>
      </c>
      <c r="E304">
        <v>-73.931740000000005</v>
      </c>
      <c r="F304" t="s">
        <v>18</v>
      </c>
      <c r="G304">
        <v>2</v>
      </c>
      <c r="H304">
        <v>1</v>
      </c>
      <c r="I304">
        <v>1</v>
      </c>
      <c r="J304">
        <v>1</v>
      </c>
      <c r="K304">
        <v>2</v>
      </c>
      <c r="L304">
        <v>46</v>
      </c>
      <c r="M304">
        <v>150</v>
      </c>
      <c r="N304">
        <v>2.34</v>
      </c>
      <c r="O304">
        <f>IF(F304="Private room",1,0)</f>
        <v>1</v>
      </c>
      <c r="P304">
        <f>IF(C304="Manhattan",4,IF(C304="Brooklyn",2,0))</f>
        <v>2</v>
      </c>
      <c r="Q304" s="2">
        <v>120</v>
      </c>
      <c r="R304" s="1">
        <v>45746</v>
      </c>
      <c r="S304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182.91000000000005</v>
      </c>
    </row>
    <row r="305" spans="1:19" x14ac:dyDescent="0.3">
      <c r="A305" t="s">
        <v>494</v>
      </c>
      <c r="B305" t="s">
        <v>385</v>
      </c>
      <c r="C305" t="s">
        <v>17</v>
      </c>
      <c r="D305">
        <v>40.628059999999998</v>
      </c>
      <c r="E305">
        <v>-73.914450000000002</v>
      </c>
      <c r="F305" t="s">
        <v>21</v>
      </c>
      <c r="G305">
        <v>2</v>
      </c>
      <c r="H305">
        <v>1</v>
      </c>
      <c r="I305">
        <v>1</v>
      </c>
      <c r="J305">
        <v>1</v>
      </c>
      <c r="K305">
        <v>2</v>
      </c>
      <c r="L305">
        <v>319</v>
      </c>
      <c r="M305">
        <v>191</v>
      </c>
      <c r="N305">
        <v>2.99</v>
      </c>
      <c r="O305">
        <f>IF(F305="Private room",1,0)</f>
        <v>0</v>
      </c>
      <c r="P305">
        <f>IF(C305="Manhattan",4,IF(C305="Brooklyn",2,0))</f>
        <v>2</v>
      </c>
      <c r="Q305" s="2">
        <v>161</v>
      </c>
      <c r="R305" s="1">
        <v>45728</v>
      </c>
      <c r="S305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215.29000000000005</v>
      </c>
    </row>
    <row r="306" spans="1:19" x14ac:dyDescent="0.3">
      <c r="A306" t="s">
        <v>495</v>
      </c>
      <c r="B306" t="s">
        <v>36</v>
      </c>
      <c r="C306" t="s">
        <v>20</v>
      </c>
      <c r="D306">
        <v>40.774900000000002</v>
      </c>
      <c r="E306">
        <v>-73.953360000000004</v>
      </c>
      <c r="F306" t="s">
        <v>21</v>
      </c>
      <c r="G306">
        <v>2</v>
      </c>
      <c r="H306">
        <v>1</v>
      </c>
      <c r="I306">
        <v>0</v>
      </c>
      <c r="J306">
        <v>2</v>
      </c>
      <c r="K306">
        <v>30</v>
      </c>
      <c r="L306">
        <v>365</v>
      </c>
      <c r="M306">
        <v>11</v>
      </c>
      <c r="N306">
        <v>0.25</v>
      </c>
      <c r="O306">
        <f>IF(F306="Private room",1,0)</f>
        <v>0</v>
      </c>
      <c r="P306">
        <f>IF(C306="Manhattan",4,IF(C306="Brooklyn",2,0))</f>
        <v>4</v>
      </c>
      <c r="Q306" s="2">
        <v>117</v>
      </c>
      <c r="R306" s="1">
        <v>45747</v>
      </c>
      <c r="S306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150.11000000000001</v>
      </c>
    </row>
    <row r="307" spans="1:19" x14ac:dyDescent="0.3">
      <c r="A307" t="s">
        <v>496</v>
      </c>
      <c r="B307" t="s">
        <v>40</v>
      </c>
      <c r="C307" t="s">
        <v>17</v>
      </c>
      <c r="D307">
        <v>40.641179999999999</v>
      </c>
      <c r="E307">
        <v>-73.952309999999997</v>
      </c>
      <c r="F307" t="s">
        <v>18</v>
      </c>
      <c r="G307">
        <v>1</v>
      </c>
      <c r="H307">
        <v>1</v>
      </c>
      <c r="I307">
        <v>1</v>
      </c>
      <c r="J307">
        <v>1</v>
      </c>
      <c r="K307">
        <v>30</v>
      </c>
      <c r="L307">
        <v>141</v>
      </c>
      <c r="M307">
        <v>44</v>
      </c>
      <c r="N307">
        <v>0.7</v>
      </c>
      <c r="O307">
        <f>IF(F307="Private room",1,0)</f>
        <v>1</v>
      </c>
      <c r="P307">
        <f>IF(C307="Manhattan",4,IF(C307="Brooklyn",2,0))</f>
        <v>2</v>
      </c>
      <c r="Q307" s="2">
        <v>67</v>
      </c>
      <c r="R307" s="1">
        <v>45718</v>
      </c>
      <c r="S307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66.330000000000013</v>
      </c>
    </row>
    <row r="308" spans="1:19" x14ac:dyDescent="0.3">
      <c r="A308" t="s">
        <v>497</v>
      </c>
      <c r="B308" t="s">
        <v>251</v>
      </c>
      <c r="C308" t="s">
        <v>30</v>
      </c>
      <c r="D308">
        <v>40.673479999999998</v>
      </c>
      <c r="E308">
        <v>-73.75094</v>
      </c>
      <c r="F308" t="s">
        <v>21</v>
      </c>
      <c r="G308">
        <v>6</v>
      </c>
      <c r="H308">
        <v>1</v>
      </c>
      <c r="I308">
        <v>3</v>
      </c>
      <c r="J308">
        <v>4</v>
      </c>
      <c r="K308">
        <v>30</v>
      </c>
      <c r="L308">
        <v>351</v>
      </c>
      <c r="M308">
        <v>76</v>
      </c>
      <c r="N308">
        <v>1.28</v>
      </c>
      <c r="O308">
        <f>IF(F308="Private room",1,0)</f>
        <v>0</v>
      </c>
      <c r="P308">
        <f>IF(C308="Manhattan",4,IF(C308="Brooklyn",2,0))</f>
        <v>0</v>
      </c>
      <c r="Q308" s="2">
        <v>100</v>
      </c>
      <c r="R308" s="1">
        <v>45723</v>
      </c>
      <c r="S308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165.67000000000004</v>
      </c>
    </row>
    <row r="309" spans="1:19" x14ac:dyDescent="0.3">
      <c r="A309" t="s">
        <v>498</v>
      </c>
      <c r="B309" t="s">
        <v>43</v>
      </c>
      <c r="C309" t="s">
        <v>20</v>
      </c>
      <c r="D309">
        <v>40.712319999999998</v>
      </c>
      <c r="E309">
        <v>-73.991479999999996</v>
      </c>
      <c r="F309" t="s">
        <v>21</v>
      </c>
      <c r="G309">
        <v>2</v>
      </c>
      <c r="H309">
        <v>1</v>
      </c>
      <c r="I309">
        <v>1</v>
      </c>
      <c r="J309">
        <v>1</v>
      </c>
      <c r="K309">
        <v>30</v>
      </c>
      <c r="L309">
        <v>266</v>
      </c>
      <c r="M309">
        <v>39</v>
      </c>
      <c r="N309">
        <v>0.62</v>
      </c>
      <c r="O309">
        <f>IF(F309="Private room",1,0)</f>
        <v>0</v>
      </c>
      <c r="P309">
        <f>IF(C309="Manhattan",4,IF(C309="Brooklyn",2,0))</f>
        <v>4</v>
      </c>
      <c r="Q309" s="2">
        <v>90</v>
      </c>
      <c r="R309" s="1">
        <v>45747</v>
      </c>
      <c r="S309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154.07000000000002</v>
      </c>
    </row>
    <row r="310" spans="1:19" x14ac:dyDescent="0.3">
      <c r="A310" t="s">
        <v>499</v>
      </c>
      <c r="B310" t="s">
        <v>27</v>
      </c>
      <c r="C310" t="s">
        <v>17</v>
      </c>
      <c r="D310">
        <v>40.690989999999999</v>
      </c>
      <c r="E310">
        <v>-73.926029999999997</v>
      </c>
      <c r="F310" t="s">
        <v>21</v>
      </c>
      <c r="G310">
        <v>2</v>
      </c>
      <c r="H310">
        <v>1</v>
      </c>
      <c r="I310">
        <v>1</v>
      </c>
      <c r="J310">
        <v>2</v>
      </c>
      <c r="K310">
        <v>30</v>
      </c>
      <c r="L310">
        <v>150</v>
      </c>
      <c r="M310">
        <v>20</v>
      </c>
      <c r="N310">
        <v>0.83</v>
      </c>
      <c r="O310">
        <f>IF(F310="Private room",1,0)</f>
        <v>0</v>
      </c>
      <c r="P310">
        <f>IF(C310="Manhattan",4,IF(C310="Brooklyn",2,0))</f>
        <v>2</v>
      </c>
      <c r="Q310" s="2">
        <v>100</v>
      </c>
      <c r="R310" s="1">
        <v>45743</v>
      </c>
      <c r="S310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128.25000000000003</v>
      </c>
    </row>
    <row r="311" spans="1:19" x14ac:dyDescent="0.3">
      <c r="A311" t="s">
        <v>500</v>
      </c>
      <c r="B311" t="s">
        <v>23</v>
      </c>
      <c r="C311" t="s">
        <v>17</v>
      </c>
      <c r="D311">
        <v>40.708060000000003</v>
      </c>
      <c r="E311">
        <v>-73.960989999999995</v>
      </c>
      <c r="F311" t="s">
        <v>21</v>
      </c>
      <c r="G311">
        <v>4</v>
      </c>
      <c r="H311">
        <v>1</v>
      </c>
      <c r="I311">
        <v>2</v>
      </c>
      <c r="J311">
        <v>2</v>
      </c>
      <c r="K311">
        <v>30</v>
      </c>
      <c r="L311">
        <v>266</v>
      </c>
      <c r="M311">
        <v>49</v>
      </c>
      <c r="N311">
        <v>0.78</v>
      </c>
      <c r="O311">
        <f>IF(F311="Private room",1,0)</f>
        <v>0</v>
      </c>
      <c r="P311">
        <f>IF(C311="Manhattan",4,IF(C311="Brooklyn",2,0))</f>
        <v>2</v>
      </c>
      <c r="Q311" s="2">
        <v>150</v>
      </c>
      <c r="R311" s="1">
        <v>45740</v>
      </c>
      <c r="S311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161.57000000000002</v>
      </c>
    </row>
    <row r="312" spans="1:19" x14ac:dyDescent="0.3">
      <c r="A312" t="s">
        <v>502</v>
      </c>
      <c r="B312" t="s">
        <v>28</v>
      </c>
      <c r="C312" t="s">
        <v>20</v>
      </c>
      <c r="D312">
        <v>40.808160000000001</v>
      </c>
      <c r="E312">
        <v>-73.951920000000001</v>
      </c>
      <c r="F312" t="s">
        <v>21</v>
      </c>
      <c r="G312">
        <v>2</v>
      </c>
      <c r="H312">
        <v>1</v>
      </c>
      <c r="I312">
        <v>0</v>
      </c>
      <c r="J312">
        <v>1</v>
      </c>
      <c r="K312">
        <v>4</v>
      </c>
      <c r="L312">
        <v>38</v>
      </c>
      <c r="M312">
        <v>65</v>
      </c>
      <c r="N312">
        <v>1.03</v>
      </c>
      <c r="O312">
        <f>IF(F312="Private room",1,0)</f>
        <v>0</v>
      </c>
      <c r="P312">
        <f>IF(C312="Manhattan",4,IF(C312="Brooklyn",2,0))</f>
        <v>4</v>
      </c>
      <c r="Q312" s="2">
        <v>169</v>
      </c>
      <c r="R312" s="1">
        <v>45746</v>
      </c>
      <c r="S312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250.29000000000002</v>
      </c>
    </row>
    <row r="313" spans="1:19" x14ac:dyDescent="0.3">
      <c r="A313" t="s">
        <v>503</v>
      </c>
      <c r="B313" t="s">
        <v>72</v>
      </c>
      <c r="C313" t="s">
        <v>20</v>
      </c>
      <c r="D313">
        <v>40.734540000000003</v>
      </c>
      <c r="E313">
        <v>-73.983429999999998</v>
      </c>
      <c r="F313" t="s">
        <v>18</v>
      </c>
      <c r="G313">
        <v>1</v>
      </c>
      <c r="H313">
        <v>4</v>
      </c>
      <c r="I313">
        <v>1</v>
      </c>
      <c r="J313">
        <v>1</v>
      </c>
      <c r="K313">
        <v>30</v>
      </c>
      <c r="L313">
        <v>291</v>
      </c>
      <c r="M313">
        <v>10</v>
      </c>
      <c r="N313">
        <v>0.23</v>
      </c>
      <c r="O313">
        <f>IF(F313="Private room",1,0)</f>
        <v>1</v>
      </c>
      <c r="P313">
        <f>IF(C313="Manhattan",4,IF(C313="Brooklyn",2,0))</f>
        <v>4</v>
      </c>
      <c r="Q313" s="2">
        <v>82</v>
      </c>
      <c r="R313" s="1">
        <v>45718</v>
      </c>
      <c r="S313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124.45</v>
      </c>
    </row>
    <row r="314" spans="1:19" x14ac:dyDescent="0.3">
      <c r="A314" t="s">
        <v>504</v>
      </c>
      <c r="B314" t="s">
        <v>36</v>
      </c>
      <c r="C314" t="s">
        <v>20</v>
      </c>
      <c r="D314">
        <v>40.773200000000003</v>
      </c>
      <c r="E314">
        <v>-73.951570000000004</v>
      </c>
      <c r="F314" t="s">
        <v>21</v>
      </c>
      <c r="G314">
        <v>3</v>
      </c>
      <c r="H314">
        <v>1</v>
      </c>
      <c r="I314">
        <v>0</v>
      </c>
      <c r="J314">
        <v>2</v>
      </c>
      <c r="K314">
        <v>30</v>
      </c>
      <c r="L314">
        <v>260</v>
      </c>
      <c r="M314">
        <v>4</v>
      </c>
      <c r="N314">
        <v>0.16</v>
      </c>
      <c r="O314">
        <f>IF(F314="Private room",1,0)</f>
        <v>0</v>
      </c>
      <c r="P314">
        <f>IF(C314="Manhattan",4,IF(C314="Brooklyn",2,0))</f>
        <v>4</v>
      </c>
      <c r="Q314" s="2">
        <v>125</v>
      </c>
      <c r="R314" s="1">
        <v>45740</v>
      </c>
      <c r="S314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173.29000000000002</v>
      </c>
    </row>
    <row r="315" spans="1:19" x14ac:dyDescent="0.3">
      <c r="A315" t="s">
        <v>505</v>
      </c>
      <c r="B315" t="s">
        <v>72</v>
      </c>
      <c r="C315" t="s">
        <v>20</v>
      </c>
      <c r="D315">
        <v>40.735469999999999</v>
      </c>
      <c r="E315">
        <v>-73.985479999999995</v>
      </c>
      <c r="F315" t="s">
        <v>18</v>
      </c>
      <c r="G315">
        <v>1</v>
      </c>
      <c r="H315">
        <v>4</v>
      </c>
      <c r="I315">
        <v>1</v>
      </c>
      <c r="J315">
        <v>1</v>
      </c>
      <c r="K315">
        <v>30</v>
      </c>
      <c r="L315">
        <v>235</v>
      </c>
      <c r="M315">
        <v>18</v>
      </c>
      <c r="N315">
        <v>0.42</v>
      </c>
      <c r="O315">
        <f>IF(F315="Private room",1,0)</f>
        <v>1</v>
      </c>
      <c r="P315">
        <f>IF(C315="Manhattan",4,IF(C315="Brooklyn",2,0))</f>
        <v>4</v>
      </c>
      <c r="Q315" s="2">
        <v>90</v>
      </c>
      <c r="R315" s="1">
        <v>45719</v>
      </c>
      <c r="S315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126.69</v>
      </c>
    </row>
    <row r="316" spans="1:19" x14ac:dyDescent="0.3">
      <c r="A316" t="s">
        <v>506</v>
      </c>
      <c r="B316" t="s">
        <v>36</v>
      </c>
      <c r="C316" t="s">
        <v>20</v>
      </c>
      <c r="D316">
        <v>40.784109999999998</v>
      </c>
      <c r="E316">
        <v>-73.948639999999997</v>
      </c>
      <c r="F316" t="s">
        <v>21</v>
      </c>
      <c r="G316">
        <v>4</v>
      </c>
      <c r="H316">
        <v>1</v>
      </c>
      <c r="I316">
        <v>2</v>
      </c>
      <c r="J316">
        <v>3</v>
      </c>
      <c r="K316">
        <v>30</v>
      </c>
      <c r="L316">
        <v>365</v>
      </c>
      <c r="M316">
        <v>4</v>
      </c>
      <c r="N316">
        <v>0.11</v>
      </c>
      <c r="O316">
        <f>IF(F316="Private room",1,0)</f>
        <v>0</v>
      </c>
      <c r="P316">
        <f>IF(C316="Manhattan",4,IF(C316="Brooklyn",2,0))</f>
        <v>4</v>
      </c>
      <c r="Q316" s="2">
        <v>143</v>
      </c>
      <c r="R316" s="1">
        <v>45745</v>
      </c>
      <c r="S316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188.07000000000005</v>
      </c>
    </row>
    <row r="317" spans="1:19" x14ac:dyDescent="0.3">
      <c r="A317" t="s">
        <v>507</v>
      </c>
      <c r="B317" t="s">
        <v>95</v>
      </c>
      <c r="C317" t="s">
        <v>20</v>
      </c>
      <c r="D317">
        <v>40.748820000000002</v>
      </c>
      <c r="E317">
        <v>-73.980119999999999</v>
      </c>
      <c r="F317" t="s">
        <v>21</v>
      </c>
      <c r="G317">
        <v>5</v>
      </c>
      <c r="H317">
        <v>2</v>
      </c>
      <c r="I317">
        <v>2</v>
      </c>
      <c r="J317">
        <v>2</v>
      </c>
      <c r="K317">
        <v>30</v>
      </c>
      <c r="L317">
        <v>274</v>
      </c>
      <c r="M317">
        <v>14</v>
      </c>
      <c r="N317">
        <v>0.22</v>
      </c>
      <c r="O317">
        <f>IF(F317="Private room",1,0)</f>
        <v>0</v>
      </c>
      <c r="P317">
        <f>IF(C317="Manhattan",4,IF(C317="Brooklyn",2,0))</f>
        <v>4</v>
      </c>
      <c r="Q317" s="2">
        <v>330</v>
      </c>
      <c r="R317" s="1">
        <v>45717</v>
      </c>
      <c r="S317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221.91000000000003</v>
      </c>
    </row>
    <row r="318" spans="1:19" x14ac:dyDescent="0.3">
      <c r="A318" t="s">
        <v>508</v>
      </c>
      <c r="B318" t="s">
        <v>132</v>
      </c>
      <c r="C318" t="s">
        <v>17</v>
      </c>
      <c r="D318" s="3" t="s">
        <v>509</v>
      </c>
      <c r="E318">
        <v>-73.912321694878798</v>
      </c>
      <c r="F318" t="s">
        <v>18</v>
      </c>
      <c r="G318">
        <v>1</v>
      </c>
      <c r="H318">
        <v>1</v>
      </c>
      <c r="I318">
        <v>1</v>
      </c>
      <c r="J318">
        <v>1</v>
      </c>
      <c r="K318">
        <v>2</v>
      </c>
      <c r="L318">
        <v>167</v>
      </c>
      <c r="M318">
        <v>68</v>
      </c>
      <c r="N318">
        <v>1.98</v>
      </c>
      <c r="O318">
        <f>IF(F318="Private room",1,0)</f>
        <v>1</v>
      </c>
      <c r="P318">
        <f>IF(C318="Manhattan",4,IF(C318="Brooklyn",2,0))</f>
        <v>2</v>
      </c>
      <c r="Q318" s="2">
        <v>118</v>
      </c>
      <c r="R318" s="1">
        <v>45732</v>
      </c>
      <c r="S318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159.09</v>
      </c>
    </row>
    <row r="319" spans="1:19" x14ac:dyDescent="0.3">
      <c r="A319" t="s">
        <v>510</v>
      </c>
      <c r="B319" t="s">
        <v>27</v>
      </c>
      <c r="C319" t="s">
        <v>17</v>
      </c>
      <c r="D319">
        <v>40.681910000000002</v>
      </c>
      <c r="E319">
        <v>-73.939880000000002</v>
      </c>
      <c r="F319" t="s">
        <v>21</v>
      </c>
      <c r="G319">
        <v>4</v>
      </c>
      <c r="H319">
        <v>1</v>
      </c>
      <c r="I319">
        <v>2</v>
      </c>
      <c r="J319">
        <v>2</v>
      </c>
      <c r="K319">
        <v>30</v>
      </c>
      <c r="L319">
        <v>188</v>
      </c>
      <c r="M319">
        <v>102</v>
      </c>
      <c r="N319">
        <v>1.71</v>
      </c>
      <c r="O319">
        <f>IF(F319="Private room",1,0)</f>
        <v>0</v>
      </c>
      <c r="P319">
        <f>IF(C319="Manhattan",4,IF(C319="Brooklyn",2,0))</f>
        <v>2</v>
      </c>
      <c r="Q319" s="2">
        <v>170</v>
      </c>
      <c r="R319" s="1">
        <v>45739</v>
      </c>
      <c r="S319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164.69000000000003</v>
      </c>
    </row>
    <row r="320" spans="1:19" x14ac:dyDescent="0.3">
      <c r="A320" t="s">
        <v>512</v>
      </c>
      <c r="B320" t="s">
        <v>43</v>
      </c>
      <c r="C320" t="s">
        <v>20</v>
      </c>
      <c r="D320">
        <v>40.718679999999999</v>
      </c>
      <c r="E320">
        <v>-73.993709999999993</v>
      </c>
      <c r="F320" t="s">
        <v>21</v>
      </c>
      <c r="G320">
        <v>2</v>
      </c>
      <c r="H320">
        <v>1</v>
      </c>
      <c r="I320">
        <v>0</v>
      </c>
      <c r="J320">
        <v>1</v>
      </c>
      <c r="K320">
        <v>15</v>
      </c>
      <c r="L320">
        <v>57</v>
      </c>
      <c r="M320">
        <v>42</v>
      </c>
      <c r="N320">
        <v>0.78</v>
      </c>
      <c r="O320">
        <f>IF(F320="Private room",1,0)</f>
        <v>0</v>
      </c>
      <c r="P320">
        <f>IF(C320="Manhattan",4,IF(C320="Brooklyn",2,0))</f>
        <v>4</v>
      </c>
      <c r="Q320" s="2">
        <v>200</v>
      </c>
      <c r="R320" s="1">
        <v>45744</v>
      </c>
      <c r="S320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212.68</v>
      </c>
    </row>
    <row r="321" spans="1:19" x14ac:dyDescent="0.3">
      <c r="A321" t="s">
        <v>512</v>
      </c>
      <c r="B321" t="s">
        <v>62</v>
      </c>
      <c r="C321" t="s">
        <v>20</v>
      </c>
      <c r="D321">
        <v>40.718809999999998</v>
      </c>
      <c r="E321">
        <v>-73.996049999999997</v>
      </c>
      <c r="F321" t="s">
        <v>21</v>
      </c>
      <c r="G321">
        <v>2</v>
      </c>
      <c r="H321">
        <v>1</v>
      </c>
      <c r="I321">
        <v>0</v>
      </c>
      <c r="J321">
        <v>1</v>
      </c>
      <c r="K321">
        <v>15</v>
      </c>
      <c r="L321">
        <v>89</v>
      </c>
      <c r="M321">
        <v>35</v>
      </c>
      <c r="N321">
        <v>0.57999999999999996</v>
      </c>
      <c r="O321">
        <f>IF(F321="Private room",1,0)</f>
        <v>0</v>
      </c>
      <c r="P321">
        <f>IF(C321="Manhattan",4,IF(C321="Brooklyn",2,0))</f>
        <v>4</v>
      </c>
      <c r="Q321" s="2">
        <v>227</v>
      </c>
      <c r="R321" s="1">
        <v>45717</v>
      </c>
      <c r="S321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211.40000000000003</v>
      </c>
    </row>
    <row r="322" spans="1:19" x14ac:dyDescent="0.3">
      <c r="A322" t="s">
        <v>513</v>
      </c>
      <c r="B322" t="s">
        <v>85</v>
      </c>
      <c r="C322" t="s">
        <v>20</v>
      </c>
      <c r="D322">
        <v>40.719880000000003</v>
      </c>
      <c r="E322">
        <v>-73.995559999999998</v>
      </c>
      <c r="F322" t="s">
        <v>21</v>
      </c>
      <c r="G322">
        <v>2</v>
      </c>
      <c r="H322">
        <v>1</v>
      </c>
      <c r="I322">
        <v>0</v>
      </c>
      <c r="J322">
        <v>1</v>
      </c>
      <c r="K322">
        <v>15</v>
      </c>
      <c r="L322">
        <v>69</v>
      </c>
      <c r="M322">
        <v>47</v>
      </c>
      <c r="N322">
        <v>0.79</v>
      </c>
      <c r="O322">
        <f>IF(F322="Private room",1,0)</f>
        <v>0</v>
      </c>
      <c r="P322">
        <f>IF(C322="Manhattan",4,IF(C322="Brooklyn",2,0))</f>
        <v>4</v>
      </c>
      <c r="Q322" s="2">
        <v>204</v>
      </c>
      <c r="R322" s="1">
        <v>45740</v>
      </c>
      <c r="S322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212.20000000000005</v>
      </c>
    </row>
    <row r="323" spans="1:19" x14ac:dyDescent="0.3">
      <c r="A323" t="s">
        <v>515</v>
      </c>
      <c r="B323" t="s">
        <v>43</v>
      </c>
      <c r="C323" t="s">
        <v>20</v>
      </c>
      <c r="D323">
        <v>40.718820000000001</v>
      </c>
      <c r="E323">
        <v>-73.993729999999999</v>
      </c>
      <c r="F323" t="s">
        <v>21</v>
      </c>
      <c r="G323">
        <v>2</v>
      </c>
      <c r="H323">
        <v>1</v>
      </c>
      <c r="I323">
        <v>0</v>
      </c>
      <c r="J323">
        <v>1</v>
      </c>
      <c r="K323">
        <v>19</v>
      </c>
      <c r="L323">
        <v>73</v>
      </c>
      <c r="M323">
        <v>27</v>
      </c>
      <c r="N323">
        <v>0.45</v>
      </c>
      <c r="O323">
        <f>IF(F323="Private room",1,0)</f>
        <v>0</v>
      </c>
      <c r="P323">
        <f>IF(C323="Manhattan",4,IF(C323="Brooklyn",2,0))</f>
        <v>4</v>
      </c>
      <c r="Q323" s="2">
        <v>200</v>
      </c>
      <c r="R323" s="1">
        <v>45745</v>
      </c>
      <c r="S323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198.64000000000004</v>
      </c>
    </row>
    <row r="324" spans="1:19" x14ac:dyDescent="0.3">
      <c r="A324" t="s">
        <v>516</v>
      </c>
      <c r="B324" t="s">
        <v>57</v>
      </c>
      <c r="C324" t="s">
        <v>20</v>
      </c>
      <c r="D324">
        <v>40.720269999999999</v>
      </c>
      <c r="E324">
        <v>-73.995670000000004</v>
      </c>
      <c r="F324" t="s">
        <v>18</v>
      </c>
      <c r="G324">
        <v>2</v>
      </c>
      <c r="H324">
        <v>1</v>
      </c>
      <c r="I324">
        <v>1</v>
      </c>
      <c r="J324">
        <v>1</v>
      </c>
      <c r="K324">
        <v>15</v>
      </c>
      <c r="L324">
        <v>81</v>
      </c>
      <c r="M324">
        <v>45</v>
      </c>
      <c r="N324">
        <v>0.81</v>
      </c>
      <c r="O324">
        <f>IF(F324="Private room",1,0)</f>
        <v>1</v>
      </c>
      <c r="P324">
        <f>IF(C324="Manhattan",4,IF(C324="Brooklyn",2,0))</f>
        <v>4</v>
      </c>
      <c r="Q324" s="2">
        <v>200</v>
      </c>
      <c r="R324" s="1">
        <v>45732</v>
      </c>
      <c r="S324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168.42000000000002</v>
      </c>
    </row>
    <row r="325" spans="1:19" x14ac:dyDescent="0.3">
      <c r="A325" t="s">
        <v>514</v>
      </c>
      <c r="B325" t="s">
        <v>62</v>
      </c>
      <c r="C325" t="s">
        <v>20</v>
      </c>
      <c r="D325">
        <v>40.718629999999997</v>
      </c>
      <c r="E325">
        <v>-73.995620000000002</v>
      </c>
      <c r="F325" t="s">
        <v>21</v>
      </c>
      <c r="G325">
        <v>2</v>
      </c>
      <c r="H325">
        <v>1</v>
      </c>
      <c r="I325">
        <v>0</v>
      </c>
      <c r="J325">
        <v>1</v>
      </c>
      <c r="K325">
        <v>15</v>
      </c>
      <c r="L325">
        <v>62</v>
      </c>
      <c r="M325">
        <v>56</v>
      </c>
      <c r="N325">
        <v>0.94</v>
      </c>
      <c r="O325">
        <f>IF(F325="Private room",1,0)</f>
        <v>0</v>
      </c>
      <c r="P325">
        <f>IF(C325="Manhattan",4,IF(C325="Brooklyn",2,0))</f>
        <v>4</v>
      </c>
      <c r="Q325" s="2">
        <v>200</v>
      </c>
      <c r="R325" s="1">
        <v>45746</v>
      </c>
      <c r="S325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212.48000000000002</v>
      </c>
    </row>
    <row r="326" spans="1:19" x14ac:dyDescent="0.3">
      <c r="A326" t="s">
        <v>511</v>
      </c>
      <c r="B326" t="s">
        <v>85</v>
      </c>
      <c r="C326" t="s">
        <v>20</v>
      </c>
      <c r="D326">
        <v>40.719880000000003</v>
      </c>
      <c r="E326">
        <v>-73.995469999999997</v>
      </c>
      <c r="F326" t="s">
        <v>21</v>
      </c>
      <c r="G326">
        <v>2</v>
      </c>
      <c r="H326">
        <v>1</v>
      </c>
      <c r="I326">
        <v>0</v>
      </c>
      <c r="J326">
        <v>1</v>
      </c>
      <c r="K326">
        <v>15</v>
      </c>
      <c r="L326">
        <v>59</v>
      </c>
      <c r="M326">
        <v>45</v>
      </c>
      <c r="N326">
        <v>0.89</v>
      </c>
      <c r="O326">
        <f>IF(F326="Private room",1,0)</f>
        <v>0</v>
      </c>
      <c r="P326">
        <f>IF(C326="Manhattan",4,IF(C326="Brooklyn",2,0))</f>
        <v>4</v>
      </c>
      <c r="Q326" s="2">
        <v>200</v>
      </c>
      <c r="R326" s="1">
        <v>45744</v>
      </c>
      <c r="S326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212.60000000000002</v>
      </c>
    </row>
    <row r="327" spans="1:19" x14ac:dyDescent="0.3">
      <c r="A327" t="s">
        <v>518</v>
      </c>
      <c r="B327" t="s">
        <v>26</v>
      </c>
      <c r="C327" t="s">
        <v>17</v>
      </c>
      <c r="D327">
        <v>40.689160000000001</v>
      </c>
      <c r="E327">
        <v>-73.977620000000002</v>
      </c>
      <c r="F327" t="s">
        <v>21</v>
      </c>
      <c r="G327">
        <v>4</v>
      </c>
      <c r="H327">
        <v>1</v>
      </c>
      <c r="I327">
        <v>1</v>
      </c>
      <c r="J327">
        <v>2</v>
      </c>
      <c r="K327">
        <v>30</v>
      </c>
      <c r="L327">
        <v>285</v>
      </c>
      <c r="M327">
        <v>42</v>
      </c>
      <c r="N327">
        <v>0.73</v>
      </c>
      <c r="O327">
        <f>IF(F327="Private room",1,0)</f>
        <v>0</v>
      </c>
      <c r="P327">
        <f>IF(C327="Manhattan",4,IF(C327="Brooklyn",2,0))</f>
        <v>2</v>
      </c>
      <c r="Q327" s="2">
        <v>180</v>
      </c>
      <c r="R327" s="1">
        <v>45745</v>
      </c>
      <c r="S327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160.81000000000003</v>
      </c>
    </row>
    <row r="328" spans="1:19" x14ac:dyDescent="0.3">
      <c r="A328" t="s">
        <v>514</v>
      </c>
      <c r="B328" t="s">
        <v>57</v>
      </c>
      <c r="C328" t="s">
        <v>20</v>
      </c>
      <c r="D328">
        <v>40.720219999999998</v>
      </c>
      <c r="E328">
        <v>-73.994280000000003</v>
      </c>
      <c r="F328" t="s">
        <v>21</v>
      </c>
      <c r="G328">
        <v>2</v>
      </c>
      <c r="H328">
        <v>1</v>
      </c>
      <c r="I328">
        <v>1</v>
      </c>
      <c r="J328">
        <v>1</v>
      </c>
      <c r="K328">
        <v>15</v>
      </c>
      <c r="L328">
        <v>61</v>
      </c>
      <c r="M328">
        <v>53</v>
      </c>
      <c r="N328">
        <v>0.96</v>
      </c>
      <c r="O328">
        <f>IF(F328="Private room",1,0)</f>
        <v>0</v>
      </c>
      <c r="P328">
        <f>IF(C328="Manhattan",4,IF(C328="Brooklyn",2,0))</f>
        <v>4</v>
      </c>
      <c r="Q328" s="2">
        <v>200</v>
      </c>
      <c r="R328" s="1">
        <v>45742</v>
      </c>
      <c r="S328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212.52000000000004</v>
      </c>
    </row>
    <row r="329" spans="1:19" x14ac:dyDescent="0.3">
      <c r="A329" t="s">
        <v>514</v>
      </c>
      <c r="B329" t="s">
        <v>57</v>
      </c>
      <c r="C329" t="s">
        <v>20</v>
      </c>
      <c r="D329">
        <v>40.720320000000001</v>
      </c>
      <c r="E329">
        <v>-73.995480000000001</v>
      </c>
      <c r="F329" t="s">
        <v>21</v>
      </c>
      <c r="G329">
        <v>2</v>
      </c>
      <c r="H329">
        <v>1</v>
      </c>
      <c r="I329">
        <v>0</v>
      </c>
      <c r="J329">
        <v>1</v>
      </c>
      <c r="K329">
        <v>15</v>
      </c>
      <c r="L329">
        <v>58</v>
      </c>
      <c r="M329">
        <v>53</v>
      </c>
      <c r="N329">
        <v>1.01</v>
      </c>
      <c r="O329">
        <f>IF(F329="Private room",1,0)</f>
        <v>0</v>
      </c>
      <c r="P329">
        <f>IF(C329="Manhattan",4,IF(C329="Brooklyn",2,0))</f>
        <v>4</v>
      </c>
      <c r="Q329" s="2">
        <v>228</v>
      </c>
      <c r="R329" s="1">
        <v>45720</v>
      </c>
      <c r="S329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212.64000000000004</v>
      </c>
    </row>
    <row r="330" spans="1:19" x14ac:dyDescent="0.3">
      <c r="A330" t="s">
        <v>519</v>
      </c>
      <c r="B330" t="s">
        <v>56</v>
      </c>
      <c r="C330" t="s">
        <v>17</v>
      </c>
      <c r="D330">
        <v>40.674439999999997</v>
      </c>
      <c r="E330">
        <v>-73.953329999999994</v>
      </c>
      <c r="F330" t="s">
        <v>18</v>
      </c>
      <c r="G330">
        <v>1</v>
      </c>
      <c r="H330">
        <v>1</v>
      </c>
      <c r="I330">
        <v>1</v>
      </c>
      <c r="J330">
        <v>1</v>
      </c>
      <c r="K330">
        <v>30</v>
      </c>
      <c r="L330">
        <v>148</v>
      </c>
      <c r="M330">
        <v>45</v>
      </c>
      <c r="N330">
        <v>0.82</v>
      </c>
      <c r="O330">
        <f>IF(F330="Private room",1,0)</f>
        <v>1</v>
      </c>
      <c r="P330">
        <f>IF(C330="Manhattan",4,IF(C330="Brooklyn",2,0))</f>
        <v>2</v>
      </c>
      <c r="Q330" s="2">
        <v>100</v>
      </c>
      <c r="R330" s="1">
        <v>45724</v>
      </c>
      <c r="S330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66.050000000000011</v>
      </c>
    </row>
    <row r="331" spans="1:19" x14ac:dyDescent="0.3">
      <c r="A331" t="s">
        <v>520</v>
      </c>
      <c r="B331" t="s">
        <v>23</v>
      </c>
      <c r="C331" t="s">
        <v>17</v>
      </c>
      <c r="D331">
        <v>40.709879999999998</v>
      </c>
      <c r="E331">
        <v>-73.948419999999999</v>
      </c>
      <c r="F331" t="s">
        <v>21</v>
      </c>
      <c r="G331">
        <v>2</v>
      </c>
      <c r="H331">
        <v>1</v>
      </c>
      <c r="I331">
        <v>0</v>
      </c>
      <c r="J331">
        <v>1</v>
      </c>
      <c r="K331">
        <v>30</v>
      </c>
      <c r="L331">
        <v>310</v>
      </c>
      <c r="M331">
        <v>58</v>
      </c>
      <c r="N331">
        <v>1</v>
      </c>
      <c r="O331">
        <f>IF(F331="Private room",1,0)</f>
        <v>0</v>
      </c>
      <c r="P331">
        <f>IF(C331="Manhattan",4,IF(C331="Brooklyn",2,0))</f>
        <v>2</v>
      </c>
      <c r="Q331" s="2">
        <v>105</v>
      </c>
      <c r="R331" s="1">
        <v>45747</v>
      </c>
      <c r="S331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121.85000000000002</v>
      </c>
    </row>
    <row r="332" spans="1:19" x14ac:dyDescent="0.3">
      <c r="A332" t="s">
        <v>521</v>
      </c>
      <c r="B332" t="s">
        <v>86</v>
      </c>
      <c r="C332" t="s">
        <v>20</v>
      </c>
      <c r="D332">
        <v>40.720140000000001</v>
      </c>
      <c r="E332">
        <v>-74.001480000000001</v>
      </c>
      <c r="F332" t="s">
        <v>21</v>
      </c>
      <c r="G332">
        <v>4</v>
      </c>
      <c r="H332">
        <v>1</v>
      </c>
      <c r="I332">
        <v>2</v>
      </c>
      <c r="J332">
        <v>2</v>
      </c>
      <c r="K332">
        <v>30</v>
      </c>
      <c r="L332">
        <v>131</v>
      </c>
      <c r="M332">
        <v>36</v>
      </c>
      <c r="N332">
        <v>0.6</v>
      </c>
      <c r="O332">
        <f>IF(F332="Private room",1,0)</f>
        <v>0</v>
      </c>
      <c r="P332">
        <f>IF(C332="Manhattan",4,IF(C332="Brooklyn",2,0))</f>
        <v>4</v>
      </c>
      <c r="Q332" s="2">
        <v>248</v>
      </c>
      <c r="R332" s="1">
        <v>45719</v>
      </c>
      <c r="S332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197.43</v>
      </c>
    </row>
    <row r="333" spans="1:19" x14ac:dyDescent="0.3">
      <c r="A333" t="s">
        <v>522</v>
      </c>
      <c r="B333" t="s">
        <v>36</v>
      </c>
      <c r="C333" t="s">
        <v>20</v>
      </c>
      <c r="D333">
        <v>40.78304</v>
      </c>
      <c r="E333">
        <v>-73.945779999999999</v>
      </c>
      <c r="F333" t="s">
        <v>21</v>
      </c>
      <c r="G333">
        <v>3</v>
      </c>
      <c r="H333">
        <v>1</v>
      </c>
      <c r="I333">
        <v>0</v>
      </c>
      <c r="J333">
        <v>2</v>
      </c>
      <c r="K333">
        <v>30</v>
      </c>
      <c r="L333">
        <v>364</v>
      </c>
      <c r="M333">
        <v>6</v>
      </c>
      <c r="N333">
        <v>0.13</v>
      </c>
      <c r="O333">
        <f>IF(F333="Private room",1,0)</f>
        <v>0</v>
      </c>
      <c r="P333">
        <f>IF(C333="Manhattan",4,IF(C333="Brooklyn",2,0))</f>
        <v>4</v>
      </c>
      <c r="Q333" s="2">
        <v>114</v>
      </c>
      <c r="R333" s="1">
        <v>45718</v>
      </c>
      <c r="S333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169.13</v>
      </c>
    </row>
    <row r="334" spans="1:19" x14ac:dyDescent="0.3">
      <c r="A334" t="s">
        <v>523</v>
      </c>
      <c r="B334" t="s">
        <v>94</v>
      </c>
      <c r="C334" t="s">
        <v>17</v>
      </c>
      <c r="D334">
        <v>40.674460000000003</v>
      </c>
      <c r="E334">
        <v>-73.876850000000005</v>
      </c>
      <c r="F334" t="s">
        <v>18</v>
      </c>
      <c r="G334">
        <v>2</v>
      </c>
      <c r="H334">
        <v>1</v>
      </c>
      <c r="I334">
        <v>1</v>
      </c>
      <c r="J334">
        <v>1</v>
      </c>
      <c r="K334">
        <v>4</v>
      </c>
      <c r="L334">
        <v>358</v>
      </c>
      <c r="M334">
        <v>51</v>
      </c>
      <c r="N334">
        <v>1.43</v>
      </c>
      <c r="O334">
        <f>IF(F334="Private room",1,0)</f>
        <v>1</v>
      </c>
      <c r="P334">
        <f>IF(C334="Manhattan",4,IF(C334="Brooklyn",2,0))</f>
        <v>2</v>
      </c>
      <c r="Q334" s="2">
        <v>132</v>
      </c>
      <c r="R334" s="1">
        <v>45725</v>
      </c>
      <c r="S334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163.73000000000005</v>
      </c>
    </row>
    <row r="335" spans="1:19" x14ac:dyDescent="0.3">
      <c r="A335" t="s">
        <v>524</v>
      </c>
      <c r="B335" t="s">
        <v>28</v>
      </c>
      <c r="C335" t="s">
        <v>20</v>
      </c>
      <c r="D335">
        <v>40.804220000000001</v>
      </c>
      <c r="E335">
        <v>-73.957310000000007</v>
      </c>
      <c r="F335" t="s">
        <v>21</v>
      </c>
      <c r="G335">
        <v>3</v>
      </c>
      <c r="H335">
        <v>1</v>
      </c>
      <c r="I335">
        <v>2</v>
      </c>
      <c r="J335">
        <v>2</v>
      </c>
      <c r="K335">
        <v>30</v>
      </c>
      <c r="L335">
        <v>76</v>
      </c>
      <c r="M335">
        <v>47</v>
      </c>
      <c r="N335">
        <v>0.83</v>
      </c>
      <c r="O335">
        <f>IF(F335="Private room",1,0)</f>
        <v>0</v>
      </c>
      <c r="P335">
        <f>IF(C335="Manhattan",4,IF(C335="Brooklyn",2,0))</f>
        <v>4</v>
      </c>
      <c r="Q335" s="2">
        <v>199</v>
      </c>
      <c r="R335" s="1">
        <v>45744</v>
      </c>
      <c r="S335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180.65</v>
      </c>
    </row>
    <row r="336" spans="1:19" x14ac:dyDescent="0.3">
      <c r="A336" t="s">
        <v>525</v>
      </c>
      <c r="B336" t="s">
        <v>55</v>
      </c>
      <c r="C336" t="s">
        <v>17</v>
      </c>
      <c r="D336">
        <v>40.661960000000001</v>
      </c>
      <c r="E336">
        <v>-73.98518</v>
      </c>
      <c r="F336" t="s">
        <v>21</v>
      </c>
      <c r="G336">
        <v>2</v>
      </c>
      <c r="H336">
        <v>1</v>
      </c>
      <c r="I336">
        <v>0</v>
      </c>
      <c r="J336">
        <v>1</v>
      </c>
      <c r="K336">
        <v>30</v>
      </c>
      <c r="L336">
        <v>181</v>
      </c>
      <c r="M336">
        <v>8</v>
      </c>
      <c r="N336">
        <v>0.36</v>
      </c>
      <c r="O336">
        <f>IF(F336="Private room",1,0)</f>
        <v>0</v>
      </c>
      <c r="P336">
        <f>IF(C336="Manhattan",4,IF(C336="Brooklyn",2,0))</f>
        <v>2</v>
      </c>
      <c r="Q336" s="2">
        <v>80</v>
      </c>
      <c r="R336" s="1">
        <v>45747</v>
      </c>
      <c r="S336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127.01000000000002</v>
      </c>
    </row>
    <row r="337" spans="1:19" x14ac:dyDescent="0.3">
      <c r="A337" t="s">
        <v>526</v>
      </c>
      <c r="B337" t="s">
        <v>67</v>
      </c>
      <c r="C337" t="s">
        <v>17</v>
      </c>
      <c r="D337">
        <v>40.691459999999999</v>
      </c>
      <c r="E337">
        <v>-73.917140000000003</v>
      </c>
      <c r="F337" t="s">
        <v>21</v>
      </c>
      <c r="G337">
        <v>5</v>
      </c>
      <c r="H337">
        <v>2</v>
      </c>
      <c r="I337">
        <v>2</v>
      </c>
      <c r="J337">
        <v>2</v>
      </c>
      <c r="K337">
        <v>30</v>
      </c>
      <c r="L337">
        <v>103</v>
      </c>
      <c r="M337">
        <v>52</v>
      </c>
      <c r="N337">
        <v>0.99</v>
      </c>
      <c r="O337">
        <f>IF(F337="Private room",1,0)</f>
        <v>0</v>
      </c>
      <c r="P337">
        <f>IF(C337="Manhattan",4,IF(C337="Brooklyn",2,0))</f>
        <v>2</v>
      </c>
      <c r="Q337" s="2">
        <v>168</v>
      </c>
      <c r="R337" s="1">
        <v>45732</v>
      </c>
      <c r="S337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198.29000000000005</v>
      </c>
    </row>
    <row r="338" spans="1:19" x14ac:dyDescent="0.3">
      <c r="A338" t="s">
        <v>511</v>
      </c>
      <c r="B338" t="s">
        <v>43</v>
      </c>
      <c r="C338" t="s">
        <v>20</v>
      </c>
      <c r="D338">
        <v>40.71942</v>
      </c>
      <c r="E338">
        <v>-73.993859999999998</v>
      </c>
      <c r="F338" t="s">
        <v>21</v>
      </c>
      <c r="G338">
        <v>2</v>
      </c>
      <c r="H338">
        <v>1</v>
      </c>
      <c r="I338">
        <v>0</v>
      </c>
      <c r="J338">
        <v>1</v>
      </c>
      <c r="K338">
        <v>15</v>
      </c>
      <c r="L338">
        <v>75</v>
      </c>
      <c r="M338">
        <v>48</v>
      </c>
      <c r="N338">
        <v>1.02</v>
      </c>
      <c r="O338">
        <f>IF(F338="Private room",1,0)</f>
        <v>0</v>
      </c>
      <c r="P338">
        <f>IF(C338="Manhattan",4,IF(C338="Brooklyn",2,0))</f>
        <v>4</v>
      </c>
      <c r="Q338" s="2">
        <v>205</v>
      </c>
      <c r="R338" s="1">
        <v>45724</v>
      </c>
      <c r="S338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211.96000000000004</v>
      </c>
    </row>
    <row r="339" spans="1:19" x14ac:dyDescent="0.3">
      <c r="A339" t="s">
        <v>527</v>
      </c>
      <c r="B339" t="s">
        <v>128</v>
      </c>
      <c r="C339" t="s">
        <v>30</v>
      </c>
      <c r="D339">
        <v>40.705739999999999</v>
      </c>
      <c r="E339">
        <v>-73.872969999999995</v>
      </c>
      <c r="F339" t="s">
        <v>21</v>
      </c>
      <c r="G339">
        <v>7</v>
      </c>
      <c r="H339">
        <v>1</v>
      </c>
      <c r="I339">
        <v>3</v>
      </c>
      <c r="J339">
        <v>5</v>
      </c>
      <c r="K339">
        <v>30</v>
      </c>
      <c r="L339">
        <v>365</v>
      </c>
      <c r="M339">
        <v>63</v>
      </c>
      <c r="N339">
        <v>1.2</v>
      </c>
      <c r="O339">
        <f>IF(F339="Private room",1,0)</f>
        <v>0</v>
      </c>
      <c r="P339">
        <f>IF(C339="Manhattan",4,IF(C339="Brooklyn",2,0))</f>
        <v>0</v>
      </c>
      <c r="Q339" s="2">
        <v>298</v>
      </c>
      <c r="R339" s="1">
        <v>45722</v>
      </c>
      <c r="S339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184.09000000000006</v>
      </c>
    </row>
    <row r="340" spans="1:19" x14ac:dyDescent="0.3">
      <c r="A340" t="s">
        <v>528</v>
      </c>
      <c r="B340" t="s">
        <v>24</v>
      </c>
      <c r="C340" t="s">
        <v>20</v>
      </c>
      <c r="D340">
        <v>40.797969999999999</v>
      </c>
      <c r="E340">
        <v>-73.936710000000005</v>
      </c>
      <c r="F340" t="s">
        <v>21</v>
      </c>
      <c r="G340">
        <v>4</v>
      </c>
      <c r="H340">
        <v>1</v>
      </c>
      <c r="I340">
        <v>2</v>
      </c>
      <c r="J340">
        <v>2</v>
      </c>
      <c r="K340">
        <v>30</v>
      </c>
      <c r="L340">
        <v>270</v>
      </c>
      <c r="M340">
        <v>7</v>
      </c>
      <c r="N340">
        <v>0.22</v>
      </c>
      <c r="O340">
        <f>IF(F340="Private room",1,0)</f>
        <v>0</v>
      </c>
      <c r="P340">
        <f>IF(C340="Manhattan",4,IF(C340="Brooklyn",2,0))</f>
        <v>4</v>
      </c>
      <c r="Q340" s="2">
        <v>110</v>
      </c>
      <c r="R340" s="1">
        <v>45741</v>
      </c>
      <c r="S340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191.87</v>
      </c>
    </row>
    <row r="341" spans="1:19" x14ac:dyDescent="0.3">
      <c r="A341" t="s">
        <v>517</v>
      </c>
      <c r="B341" t="s">
        <v>57</v>
      </c>
      <c r="C341" t="s">
        <v>20</v>
      </c>
      <c r="D341">
        <v>40.720170000000003</v>
      </c>
      <c r="E341">
        <v>-73.995829999999998</v>
      </c>
      <c r="F341" t="s">
        <v>21</v>
      </c>
      <c r="G341">
        <v>2</v>
      </c>
      <c r="H341">
        <v>1</v>
      </c>
      <c r="I341">
        <v>1</v>
      </c>
      <c r="J341">
        <v>1</v>
      </c>
      <c r="K341">
        <v>15</v>
      </c>
      <c r="L341">
        <v>62</v>
      </c>
      <c r="M341">
        <v>64</v>
      </c>
      <c r="N341">
        <v>1.1000000000000001</v>
      </c>
      <c r="O341">
        <f>IF(F341="Private room",1,0)</f>
        <v>0</v>
      </c>
      <c r="P341">
        <f>IF(C341="Manhattan",4,IF(C341="Brooklyn",2,0))</f>
        <v>4</v>
      </c>
      <c r="Q341" s="2">
        <v>250</v>
      </c>
      <c r="R341" s="1">
        <v>45738</v>
      </c>
      <c r="S341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212.48000000000002</v>
      </c>
    </row>
    <row r="342" spans="1:19" x14ac:dyDescent="0.3">
      <c r="A342" t="s">
        <v>529</v>
      </c>
      <c r="B342" t="s">
        <v>38</v>
      </c>
      <c r="C342" t="s">
        <v>20</v>
      </c>
      <c r="D342">
        <v>40.765659999999997</v>
      </c>
      <c r="E342">
        <v>-73.989689999999996</v>
      </c>
      <c r="F342" t="s">
        <v>21</v>
      </c>
      <c r="G342">
        <v>2</v>
      </c>
      <c r="H342">
        <v>1</v>
      </c>
      <c r="I342">
        <v>0</v>
      </c>
      <c r="J342">
        <v>1</v>
      </c>
      <c r="K342">
        <v>30</v>
      </c>
      <c r="L342">
        <v>217</v>
      </c>
      <c r="M342">
        <v>6</v>
      </c>
      <c r="N342">
        <v>0.11</v>
      </c>
      <c r="O342">
        <f>IF(F342="Private room",1,0)</f>
        <v>0</v>
      </c>
      <c r="P342">
        <f>IF(C342="Manhattan",4,IF(C342="Brooklyn",2,0))</f>
        <v>4</v>
      </c>
      <c r="Q342" s="2">
        <v>131</v>
      </c>
      <c r="R342" s="1">
        <v>45717</v>
      </c>
      <c r="S342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156.03000000000003</v>
      </c>
    </row>
    <row r="343" spans="1:19" x14ac:dyDescent="0.3">
      <c r="A343" t="s">
        <v>530</v>
      </c>
      <c r="B343" t="s">
        <v>28</v>
      </c>
      <c r="C343" t="s">
        <v>20</v>
      </c>
      <c r="D343">
        <v>40.80312</v>
      </c>
      <c r="E343">
        <v>-73.950109999999995</v>
      </c>
      <c r="F343" t="s">
        <v>21</v>
      </c>
      <c r="G343">
        <v>4</v>
      </c>
      <c r="H343">
        <v>2.5</v>
      </c>
      <c r="I343">
        <v>2</v>
      </c>
      <c r="J343">
        <v>2</v>
      </c>
      <c r="K343">
        <v>30</v>
      </c>
      <c r="L343">
        <v>304</v>
      </c>
      <c r="M343">
        <v>4</v>
      </c>
      <c r="N343">
        <v>7.0000000000000007E-2</v>
      </c>
      <c r="O343">
        <f>IF(F343="Private room",1,0)</f>
        <v>0</v>
      </c>
      <c r="P343">
        <f>IF(C343="Manhattan",4,IF(C343="Brooklyn",2,0))</f>
        <v>4</v>
      </c>
      <c r="Q343" s="2">
        <v>213</v>
      </c>
      <c r="R343" s="1">
        <v>45734</v>
      </c>
      <c r="S343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207.34000000000003</v>
      </c>
    </row>
    <row r="344" spans="1:19" x14ac:dyDescent="0.3">
      <c r="A344" t="s">
        <v>512</v>
      </c>
      <c r="B344" t="s">
        <v>43</v>
      </c>
      <c r="C344" t="s">
        <v>20</v>
      </c>
      <c r="D344">
        <v>40.71875</v>
      </c>
      <c r="E344">
        <v>-73.993989999999997</v>
      </c>
      <c r="F344" t="s">
        <v>21</v>
      </c>
      <c r="G344">
        <v>2</v>
      </c>
      <c r="H344">
        <v>1</v>
      </c>
      <c r="I344">
        <v>0</v>
      </c>
      <c r="J344">
        <v>1</v>
      </c>
      <c r="K344">
        <v>15</v>
      </c>
      <c r="L344">
        <v>66</v>
      </c>
      <c r="M344">
        <v>35</v>
      </c>
      <c r="N344">
        <v>0.8</v>
      </c>
      <c r="O344">
        <f>IF(F344="Private room",1,0)</f>
        <v>0</v>
      </c>
      <c r="P344">
        <f>IF(C344="Manhattan",4,IF(C344="Brooklyn",2,0))</f>
        <v>4</v>
      </c>
      <c r="Q344" s="2">
        <v>200</v>
      </c>
      <c r="R344" s="1">
        <v>45741</v>
      </c>
      <c r="S344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212.32000000000005</v>
      </c>
    </row>
    <row r="345" spans="1:19" x14ac:dyDescent="0.3">
      <c r="A345" t="s">
        <v>531</v>
      </c>
      <c r="B345" t="s">
        <v>23</v>
      </c>
      <c r="C345" t="s">
        <v>17</v>
      </c>
      <c r="D345">
        <v>40.715269999999997</v>
      </c>
      <c r="E345">
        <v>-73.954909999999998</v>
      </c>
      <c r="F345" t="s">
        <v>18</v>
      </c>
      <c r="G345">
        <v>1</v>
      </c>
      <c r="H345">
        <v>1</v>
      </c>
      <c r="I345">
        <v>1</v>
      </c>
      <c r="J345">
        <v>1</v>
      </c>
      <c r="K345">
        <v>30</v>
      </c>
      <c r="L345">
        <v>88</v>
      </c>
      <c r="M345">
        <v>9</v>
      </c>
      <c r="N345">
        <v>0.16</v>
      </c>
      <c r="O345">
        <f>IF(F345="Private room",1,0)</f>
        <v>1</v>
      </c>
      <c r="P345">
        <f>IF(C345="Manhattan",4,IF(C345="Brooklyn",2,0))</f>
        <v>2</v>
      </c>
      <c r="Q345" s="2">
        <v>175</v>
      </c>
      <c r="R345" s="1">
        <v>45726</v>
      </c>
      <c r="S345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68.450000000000017</v>
      </c>
    </row>
    <row r="346" spans="1:19" x14ac:dyDescent="0.3">
      <c r="A346" t="s">
        <v>306</v>
      </c>
      <c r="B346" t="s">
        <v>27</v>
      </c>
      <c r="C346" t="s">
        <v>17</v>
      </c>
      <c r="D346">
        <v>40.684869999999997</v>
      </c>
      <c r="E346">
        <v>-73.954449999999994</v>
      </c>
      <c r="F346" t="s">
        <v>21</v>
      </c>
      <c r="G346">
        <v>2</v>
      </c>
      <c r="H346">
        <v>1</v>
      </c>
      <c r="I346">
        <v>0</v>
      </c>
      <c r="J346">
        <v>1</v>
      </c>
      <c r="K346">
        <v>1</v>
      </c>
      <c r="L346">
        <v>226</v>
      </c>
      <c r="M346">
        <v>160</v>
      </c>
      <c r="N346">
        <v>2.82</v>
      </c>
      <c r="O346">
        <f>IF(F346="Private room",1,0)</f>
        <v>0</v>
      </c>
      <c r="P346">
        <f>IF(C346="Manhattan",4,IF(C346="Brooklyn",2,0))</f>
        <v>2</v>
      </c>
      <c r="Q346" s="2">
        <v>206</v>
      </c>
      <c r="R346" s="1">
        <v>45738</v>
      </c>
      <c r="S346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222.36000000000004</v>
      </c>
    </row>
    <row r="347" spans="1:19" x14ac:dyDescent="0.3">
      <c r="A347" t="s">
        <v>532</v>
      </c>
      <c r="B347" t="s">
        <v>36</v>
      </c>
      <c r="C347" t="s">
        <v>20</v>
      </c>
      <c r="D347">
        <v>40.771984100341797</v>
      </c>
      <c r="E347">
        <v>-73.954513549804602</v>
      </c>
      <c r="F347" t="s">
        <v>21</v>
      </c>
      <c r="G347">
        <v>2</v>
      </c>
      <c r="H347">
        <v>1</v>
      </c>
      <c r="I347">
        <v>1</v>
      </c>
      <c r="J347">
        <v>1</v>
      </c>
      <c r="K347">
        <v>30</v>
      </c>
      <c r="L347">
        <v>290</v>
      </c>
      <c r="M347">
        <v>14</v>
      </c>
      <c r="N347">
        <v>0.3</v>
      </c>
      <c r="O347">
        <f>IF(F347="Private room",1,0)</f>
        <v>0</v>
      </c>
      <c r="P347">
        <f>IF(C347="Manhattan",4,IF(C347="Brooklyn",2,0))</f>
        <v>4</v>
      </c>
      <c r="Q347" s="2">
        <v>159</v>
      </c>
      <c r="R347" s="1">
        <v>45747</v>
      </c>
      <c r="S347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153.11000000000001</v>
      </c>
    </row>
    <row r="348" spans="1:19" x14ac:dyDescent="0.3">
      <c r="A348" t="s">
        <v>533</v>
      </c>
      <c r="B348" t="s">
        <v>131</v>
      </c>
      <c r="C348" t="s">
        <v>20</v>
      </c>
      <c r="D348" s="3" t="s">
        <v>534</v>
      </c>
      <c r="E348">
        <v>-74.012662324322804</v>
      </c>
      <c r="F348" t="s">
        <v>21</v>
      </c>
      <c r="G348">
        <v>2</v>
      </c>
      <c r="H348">
        <v>1</v>
      </c>
      <c r="I348">
        <v>0</v>
      </c>
      <c r="J348">
        <v>1</v>
      </c>
      <c r="K348">
        <v>30</v>
      </c>
      <c r="L348">
        <v>331</v>
      </c>
      <c r="M348">
        <v>5</v>
      </c>
      <c r="N348">
        <v>0.52</v>
      </c>
      <c r="O348">
        <f>IF(F348="Private room",1,0)</f>
        <v>0</v>
      </c>
      <c r="P348">
        <f>IF(C348="Manhattan",4,IF(C348="Brooklyn",2,0))</f>
        <v>4</v>
      </c>
      <c r="Q348" s="2">
        <v>218</v>
      </c>
      <c r="R348" s="1">
        <v>45747</v>
      </c>
      <c r="S348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151.47000000000003</v>
      </c>
    </row>
    <row r="349" spans="1:19" x14ac:dyDescent="0.3">
      <c r="A349" t="s">
        <v>535</v>
      </c>
      <c r="B349" t="s">
        <v>28</v>
      </c>
      <c r="C349" t="s">
        <v>20</v>
      </c>
      <c r="D349">
        <v>40.807899999999997</v>
      </c>
      <c r="E349">
        <v>-73.950119999999998</v>
      </c>
      <c r="F349" t="s">
        <v>18</v>
      </c>
      <c r="G349">
        <v>2</v>
      </c>
      <c r="H349">
        <v>1</v>
      </c>
      <c r="I349">
        <v>1</v>
      </c>
      <c r="J349">
        <v>1</v>
      </c>
      <c r="K349">
        <v>4</v>
      </c>
      <c r="L349">
        <v>33</v>
      </c>
      <c r="M349">
        <v>36</v>
      </c>
      <c r="N349">
        <v>0.66</v>
      </c>
      <c r="O349">
        <f>IF(F349="Private room",1,0)</f>
        <v>1</v>
      </c>
      <c r="P349">
        <f>IF(C349="Manhattan",4,IF(C349="Brooklyn",2,0))</f>
        <v>4</v>
      </c>
      <c r="Q349" s="2">
        <v>120</v>
      </c>
      <c r="R349" s="1">
        <v>45747</v>
      </c>
      <c r="S349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207.19000000000005</v>
      </c>
    </row>
    <row r="350" spans="1:19" x14ac:dyDescent="0.3">
      <c r="A350" t="s">
        <v>529</v>
      </c>
      <c r="B350" t="s">
        <v>38</v>
      </c>
      <c r="C350" t="s">
        <v>20</v>
      </c>
      <c r="D350">
        <v>40.76661</v>
      </c>
      <c r="E350">
        <v>-73.990160000000003</v>
      </c>
      <c r="F350" t="s">
        <v>21</v>
      </c>
      <c r="G350">
        <v>2</v>
      </c>
      <c r="H350">
        <v>1</v>
      </c>
      <c r="I350">
        <v>0</v>
      </c>
      <c r="J350">
        <v>1</v>
      </c>
      <c r="K350">
        <v>30</v>
      </c>
      <c r="L350">
        <v>273</v>
      </c>
      <c r="M350">
        <v>11</v>
      </c>
      <c r="N350">
        <v>0.21</v>
      </c>
      <c r="O350">
        <f>IF(F350="Private room",1,0)</f>
        <v>0</v>
      </c>
      <c r="P350">
        <f>IF(C350="Manhattan",4,IF(C350="Brooklyn",2,0))</f>
        <v>4</v>
      </c>
      <c r="Q350" s="2">
        <v>125</v>
      </c>
      <c r="R350" s="1">
        <v>45732</v>
      </c>
      <c r="S350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153.79000000000002</v>
      </c>
    </row>
    <row r="351" spans="1:19" x14ac:dyDescent="0.3">
      <c r="A351" t="s">
        <v>536</v>
      </c>
      <c r="B351" t="s">
        <v>131</v>
      </c>
      <c r="C351" t="s">
        <v>20</v>
      </c>
      <c r="D351" s="3" t="s">
        <v>537</v>
      </c>
      <c r="E351">
        <v>-74.010269165039006</v>
      </c>
      <c r="F351" t="s">
        <v>18</v>
      </c>
      <c r="G351">
        <v>4</v>
      </c>
      <c r="H351">
        <v>1</v>
      </c>
      <c r="I351">
        <v>1</v>
      </c>
      <c r="J351">
        <v>2</v>
      </c>
      <c r="K351">
        <v>1</v>
      </c>
      <c r="L351">
        <v>313</v>
      </c>
      <c r="M351">
        <v>10</v>
      </c>
      <c r="N351">
        <v>0.49</v>
      </c>
      <c r="O351">
        <f>IF(F351="Private room",1,0)</f>
        <v>1</v>
      </c>
      <c r="P351">
        <f>IF(C351="Manhattan",4,IF(C351="Brooklyn",2,0))</f>
        <v>4</v>
      </c>
      <c r="Q351" s="2">
        <v>332</v>
      </c>
      <c r="R351" s="1">
        <v>45731</v>
      </c>
      <c r="S351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244.00000000000006</v>
      </c>
    </row>
    <row r="352" spans="1:19" x14ac:dyDescent="0.3">
      <c r="A352" t="s">
        <v>513</v>
      </c>
      <c r="B352" t="s">
        <v>43</v>
      </c>
      <c r="C352" t="s">
        <v>20</v>
      </c>
      <c r="D352">
        <v>40.719589999999997</v>
      </c>
      <c r="E352">
        <v>-73.993899999999996</v>
      </c>
      <c r="F352" t="s">
        <v>21</v>
      </c>
      <c r="G352">
        <v>2</v>
      </c>
      <c r="H352">
        <v>1</v>
      </c>
      <c r="I352">
        <v>0</v>
      </c>
      <c r="J352">
        <v>1</v>
      </c>
      <c r="K352">
        <v>15</v>
      </c>
      <c r="L352">
        <v>49</v>
      </c>
      <c r="M352">
        <v>49</v>
      </c>
      <c r="N352">
        <v>1.02</v>
      </c>
      <c r="O352">
        <f>IF(F352="Private room",1,0)</f>
        <v>0</v>
      </c>
      <c r="P352">
        <f>IF(C352="Manhattan",4,IF(C352="Brooklyn",2,0))</f>
        <v>4</v>
      </c>
      <c r="Q352" s="2">
        <v>205</v>
      </c>
      <c r="R352" s="1">
        <v>45746</v>
      </c>
      <c r="S352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213</v>
      </c>
    </row>
    <row r="353" spans="1:19" x14ac:dyDescent="0.3">
      <c r="A353" t="s">
        <v>517</v>
      </c>
      <c r="B353" t="s">
        <v>43</v>
      </c>
      <c r="C353" t="s">
        <v>20</v>
      </c>
      <c r="D353">
        <v>40.720179999999999</v>
      </c>
      <c r="E353">
        <v>-73.994029999999995</v>
      </c>
      <c r="F353" t="s">
        <v>21</v>
      </c>
      <c r="G353">
        <v>2</v>
      </c>
      <c r="H353">
        <v>1</v>
      </c>
      <c r="I353">
        <v>1</v>
      </c>
      <c r="J353">
        <v>1</v>
      </c>
      <c r="K353">
        <v>15</v>
      </c>
      <c r="L353">
        <v>71</v>
      </c>
      <c r="M353">
        <v>44</v>
      </c>
      <c r="N353">
        <v>0.81</v>
      </c>
      <c r="O353">
        <f>IF(F353="Private room",1,0)</f>
        <v>0</v>
      </c>
      <c r="P353">
        <f>IF(C353="Manhattan",4,IF(C353="Brooklyn",2,0))</f>
        <v>4</v>
      </c>
      <c r="Q353" s="2">
        <v>220</v>
      </c>
      <c r="R353" s="1">
        <v>45725</v>
      </c>
      <c r="S353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212.12</v>
      </c>
    </row>
    <row r="354" spans="1:19" x14ac:dyDescent="0.3">
      <c r="A354" t="s">
        <v>538</v>
      </c>
      <c r="B354" t="s">
        <v>236</v>
      </c>
      <c r="C354" t="s">
        <v>30</v>
      </c>
      <c r="D354">
        <v>40.737169999999999</v>
      </c>
      <c r="E354">
        <v>-73.864949999999993</v>
      </c>
      <c r="F354" t="s">
        <v>21</v>
      </c>
      <c r="G354">
        <v>6</v>
      </c>
      <c r="H354">
        <v>1</v>
      </c>
      <c r="I354">
        <v>2</v>
      </c>
      <c r="J354">
        <v>3</v>
      </c>
      <c r="K354">
        <v>30</v>
      </c>
      <c r="L354">
        <v>233</v>
      </c>
      <c r="M354">
        <v>186</v>
      </c>
      <c r="N354">
        <v>3.35</v>
      </c>
      <c r="O354">
        <f>IF(F354="Private room",1,0)</f>
        <v>0</v>
      </c>
      <c r="P354">
        <f>IF(C354="Manhattan",4,IF(C354="Brooklyn",2,0))</f>
        <v>0</v>
      </c>
      <c r="Q354" s="2">
        <v>132</v>
      </c>
      <c r="R354" s="1">
        <v>45723</v>
      </c>
      <c r="S354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170.39000000000004</v>
      </c>
    </row>
    <row r="355" spans="1:19" x14ac:dyDescent="0.3">
      <c r="A355" t="s">
        <v>514</v>
      </c>
      <c r="B355" t="s">
        <v>62</v>
      </c>
      <c r="C355" t="s">
        <v>20</v>
      </c>
      <c r="D355">
        <v>40.718040000000002</v>
      </c>
      <c r="E355">
        <v>-73.995289999999997</v>
      </c>
      <c r="F355" t="s">
        <v>21</v>
      </c>
      <c r="G355">
        <v>2</v>
      </c>
      <c r="H355">
        <v>1</v>
      </c>
      <c r="I355">
        <v>0</v>
      </c>
      <c r="J355">
        <v>1</v>
      </c>
      <c r="K355">
        <v>15</v>
      </c>
      <c r="L355">
        <v>47</v>
      </c>
      <c r="M355">
        <v>60</v>
      </c>
      <c r="N355">
        <v>1.08</v>
      </c>
      <c r="O355">
        <f>IF(F355="Private room",1,0)</f>
        <v>0</v>
      </c>
      <c r="P355">
        <f>IF(C355="Manhattan",4,IF(C355="Brooklyn",2,0))</f>
        <v>4</v>
      </c>
      <c r="Q355" s="2">
        <v>200</v>
      </c>
      <c r="R355" s="1">
        <v>45739</v>
      </c>
      <c r="S355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213.08000000000004</v>
      </c>
    </row>
    <row r="356" spans="1:19" x14ac:dyDescent="0.3">
      <c r="A356" t="s">
        <v>539</v>
      </c>
      <c r="B356" t="s">
        <v>49</v>
      </c>
      <c r="C356" t="s">
        <v>20</v>
      </c>
      <c r="D356" s="3" t="s">
        <v>478</v>
      </c>
      <c r="E356">
        <v>-73.9798583984375</v>
      </c>
      <c r="F356" t="s">
        <v>21</v>
      </c>
      <c r="G356">
        <v>2</v>
      </c>
      <c r="H356">
        <v>1</v>
      </c>
      <c r="I356">
        <v>0</v>
      </c>
      <c r="J356">
        <v>1</v>
      </c>
      <c r="K356">
        <v>30</v>
      </c>
      <c r="L356">
        <v>335</v>
      </c>
      <c r="M356">
        <v>18</v>
      </c>
      <c r="N356">
        <v>0.35</v>
      </c>
      <c r="O356">
        <f>IF(F356="Private room",1,0)</f>
        <v>0</v>
      </c>
      <c r="P356">
        <f>IF(C356="Manhattan",4,IF(C356="Brooklyn",2,0))</f>
        <v>4</v>
      </c>
      <c r="Q356" s="2">
        <v>120</v>
      </c>
      <c r="R356" s="1">
        <v>45747</v>
      </c>
      <c r="S356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151.31</v>
      </c>
    </row>
    <row r="357" spans="1:19" x14ac:dyDescent="0.3">
      <c r="A357" t="s">
        <v>540</v>
      </c>
      <c r="B357" t="s">
        <v>56</v>
      </c>
      <c r="C357" t="s">
        <v>17</v>
      </c>
      <c r="D357">
        <v>40.676319999999997</v>
      </c>
      <c r="E357">
        <v>-73.937709999999996</v>
      </c>
      <c r="F357" t="s">
        <v>21</v>
      </c>
      <c r="G357">
        <v>2</v>
      </c>
      <c r="H357">
        <v>1</v>
      </c>
      <c r="I357">
        <v>0</v>
      </c>
      <c r="J357">
        <v>1</v>
      </c>
      <c r="K357">
        <v>30</v>
      </c>
      <c r="L357">
        <v>135</v>
      </c>
      <c r="M357">
        <v>111</v>
      </c>
      <c r="N357">
        <v>2.36</v>
      </c>
      <c r="O357">
        <f>IF(F357="Private room",1,0)</f>
        <v>0</v>
      </c>
      <c r="P357">
        <f>IF(C357="Manhattan",4,IF(C357="Brooklyn",2,0))</f>
        <v>2</v>
      </c>
      <c r="Q357" s="2">
        <v>77</v>
      </c>
      <c r="R357" s="1">
        <v>45747</v>
      </c>
      <c r="S357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128.85000000000002</v>
      </c>
    </row>
    <row r="358" spans="1:19" x14ac:dyDescent="0.3">
      <c r="A358" t="s">
        <v>511</v>
      </c>
      <c r="B358" t="s">
        <v>43</v>
      </c>
      <c r="C358" t="s">
        <v>20</v>
      </c>
      <c r="D358">
        <v>40.718640000000001</v>
      </c>
      <c r="E358">
        <v>-73.993880000000004</v>
      </c>
      <c r="F358" t="s">
        <v>21</v>
      </c>
      <c r="G358">
        <v>2</v>
      </c>
      <c r="H358">
        <v>1</v>
      </c>
      <c r="I358">
        <v>0</v>
      </c>
      <c r="J358">
        <v>1</v>
      </c>
      <c r="K358">
        <v>15</v>
      </c>
      <c r="L358">
        <v>77</v>
      </c>
      <c r="M358">
        <v>55</v>
      </c>
      <c r="N358">
        <v>1.04</v>
      </c>
      <c r="O358">
        <f>IF(F358="Private room",1,0)</f>
        <v>0</v>
      </c>
      <c r="P358">
        <f>IF(C358="Manhattan",4,IF(C358="Brooklyn",2,0))</f>
        <v>4</v>
      </c>
      <c r="Q358" s="2">
        <v>200</v>
      </c>
      <c r="R358" s="1">
        <v>45746</v>
      </c>
      <c r="S358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211.88</v>
      </c>
    </row>
    <row r="359" spans="1:19" x14ac:dyDescent="0.3">
      <c r="A359" t="s">
        <v>541</v>
      </c>
      <c r="B359" t="s">
        <v>24</v>
      </c>
      <c r="C359" t="s">
        <v>20</v>
      </c>
      <c r="D359">
        <v>40.793559999999999</v>
      </c>
      <c r="E359">
        <v>-73.947019999999995</v>
      </c>
      <c r="F359" t="s">
        <v>21</v>
      </c>
      <c r="G359">
        <v>2</v>
      </c>
      <c r="H359">
        <v>1</v>
      </c>
      <c r="I359">
        <v>1</v>
      </c>
      <c r="J359">
        <v>2</v>
      </c>
      <c r="K359">
        <v>30</v>
      </c>
      <c r="L359">
        <v>221</v>
      </c>
      <c r="M359">
        <v>9</v>
      </c>
      <c r="N359">
        <v>0.2</v>
      </c>
      <c r="O359">
        <f>IF(F359="Private room",1,0)</f>
        <v>0</v>
      </c>
      <c r="P359">
        <f>IF(C359="Manhattan",4,IF(C359="Brooklyn",2,0))</f>
        <v>4</v>
      </c>
      <c r="Q359" s="2">
        <v>120</v>
      </c>
      <c r="R359" s="1">
        <v>45747</v>
      </c>
      <c r="S359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155.87</v>
      </c>
    </row>
    <row r="360" spans="1:19" x14ac:dyDescent="0.3">
      <c r="A360" t="s">
        <v>542</v>
      </c>
      <c r="B360" t="s">
        <v>50</v>
      </c>
      <c r="C360" t="s">
        <v>20</v>
      </c>
      <c r="D360">
        <v>40.732745999999999</v>
      </c>
      <c r="E360">
        <v>-74.005493000000001</v>
      </c>
      <c r="F360" t="s">
        <v>21</v>
      </c>
      <c r="G360">
        <v>2</v>
      </c>
      <c r="H360">
        <v>1</v>
      </c>
      <c r="I360">
        <v>1</v>
      </c>
      <c r="J360">
        <v>1</v>
      </c>
      <c r="K360">
        <v>30</v>
      </c>
      <c r="L360">
        <v>323</v>
      </c>
      <c r="M360">
        <v>9</v>
      </c>
      <c r="N360">
        <v>0.2</v>
      </c>
      <c r="O360">
        <f>IF(F360="Private room",1,0)</f>
        <v>0</v>
      </c>
      <c r="P360">
        <f>IF(C360="Manhattan",4,IF(C360="Brooklyn",2,0))</f>
        <v>4</v>
      </c>
      <c r="Q360" s="2">
        <v>212</v>
      </c>
      <c r="R360" s="1">
        <v>45738</v>
      </c>
      <c r="S360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151.79000000000002</v>
      </c>
    </row>
    <row r="361" spans="1:19" x14ac:dyDescent="0.3">
      <c r="A361" t="s">
        <v>543</v>
      </c>
      <c r="B361" t="s">
        <v>67</v>
      </c>
      <c r="C361" t="s">
        <v>17</v>
      </c>
      <c r="D361">
        <v>40.684849999999997</v>
      </c>
      <c r="E361">
        <v>-73.910390000000007</v>
      </c>
      <c r="F361" t="s">
        <v>21</v>
      </c>
      <c r="G361">
        <v>3</v>
      </c>
      <c r="H361">
        <v>1</v>
      </c>
      <c r="I361">
        <v>2</v>
      </c>
      <c r="J361">
        <v>3</v>
      </c>
      <c r="K361">
        <v>30</v>
      </c>
      <c r="L361">
        <v>87</v>
      </c>
      <c r="M361">
        <v>65</v>
      </c>
      <c r="N361">
        <v>1.21</v>
      </c>
      <c r="O361">
        <f>IF(F361="Private room",1,0)</f>
        <v>0</v>
      </c>
      <c r="P361">
        <f>IF(C361="Manhattan",4,IF(C361="Brooklyn",2,0))</f>
        <v>2</v>
      </c>
      <c r="Q361" s="2">
        <v>177</v>
      </c>
      <c r="R361" s="1">
        <v>45723</v>
      </c>
      <c r="S361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149.75</v>
      </c>
    </row>
    <row r="362" spans="1:19" x14ac:dyDescent="0.3">
      <c r="A362" t="s">
        <v>544</v>
      </c>
      <c r="B362" t="s">
        <v>28</v>
      </c>
      <c r="C362" t="s">
        <v>20</v>
      </c>
      <c r="D362">
        <v>40.809159999999999</v>
      </c>
      <c r="E362">
        <v>-73.951480000000004</v>
      </c>
      <c r="F362" t="s">
        <v>18</v>
      </c>
      <c r="G362">
        <v>2</v>
      </c>
      <c r="H362">
        <v>1</v>
      </c>
      <c r="I362">
        <v>1</v>
      </c>
      <c r="J362">
        <v>1</v>
      </c>
      <c r="K362">
        <v>3</v>
      </c>
      <c r="L362">
        <v>33</v>
      </c>
      <c r="M362">
        <v>65</v>
      </c>
      <c r="N362">
        <v>1.19</v>
      </c>
      <c r="O362">
        <f>IF(F362="Private room",1,0)</f>
        <v>1</v>
      </c>
      <c r="P362">
        <f>IF(C362="Manhattan",4,IF(C362="Brooklyn",2,0))</f>
        <v>4</v>
      </c>
      <c r="Q362" s="2">
        <v>122</v>
      </c>
      <c r="R362" s="1">
        <v>45746</v>
      </c>
      <c r="S362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210.54000000000002</v>
      </c>
    </row>
    <row r="363" spans="1:19" x14ac:dyDescent="0.3">
      <c r="A363" t="s">
        <v>545</v>
      </c>
      <c r="B363" t="s">
        <v>36</v>
      </c>
      <c r="C363" t="s">
        <v>20</v>
      </c>
      <c r="D363">
        <v>40.782130000000002</v>
      </c>
      <c r="E363">
        <v>-73.952690000000004</v>
      </c>
      <c r="F363" t="s">
        <v>21</v>
      </c>
      <c r="G363">
        <v>3</v>
      </c>
      <c r="H363">
        <v>1</v>
      </c>
      <c r="I363">
        <v>0</v>
      </c>
      <c r="J363">
        <v>1</v>
      </c>
      <c r="K363">
        <v>30</v>
      </c>
      <c r="L363">
        <v>271</v>
      </c>
      <c r="M363">
        <v>7</v>
      </c>
      <c r="N363">
        <v>0.15</v>
      </c>
      <c r="O363">
        <f>IF(F363="Private room",1,0)</f>
        <v>0</v>
      </c>
      <c r="P363">
        <f>IF(C363="Manhattan",4,IF(C363="Brooklyn",2,0))</f>
        <v>4</v>
      </c>
      <c r="Q363" s="2">
        <v>137</v>
      </c>
      <c r="R363" s="1">
        <v>45731</v>
      </c>
      <c r="S363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172.85000000000002</v>
      </c>
    </row>
    <row r="364" spans="1:19" x14ac:dyDescent="0.3">
      <c r="A364" t="s">
        <v>546</v>
      </c>
      <c r="B364" t="s">
        <v>94</v>
      </c>
      <c r="C364" t="s">
        <v>17</v>
      </c>
      <c r="D364">
        <v>40.659179999999999</v>
      </c>
      <c r="E364">
        <v>-73.892409999999998</v>
      </c>
      <c r="F364" t="s">
        <v>21</v>
      </c>
      <c r="G364">
        <v>8</v>
      </c>
      <c r="H364">
        <v>1</v>
      </c>
      <c r="I364">
        <v>1</v>
      </c>
      <c r="J364">
        <v>1</v>
      </c>
      <c r="K364">
        <v>30</v>
      </c>
      <c r="L364">
        <v>179</v>
      </c>
      <c r="M364">
        <v>28</v>
      </c>
      <c r="N364">
        <v>0.92</v>
      </c>
      <c r="O364">
        <f>IF(F364="Private room",1,0)</f>
        <v>0</v>
      </c>
      <c r="P364">
        <f>IF(C364="Manhattan",4,IF(C364="Brooklyn",2,0))</f>
        <v>2</v>
      </c>
      <c r="Q364" s="2">
        <v>90</v>
      </c>
      <c r="R364" s="1">
        <v>45717</v>
      </c>
      <c r="S364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240.97000000000008</v>
      </c>
    </row>
    <row r="365" spans="1:19" x14ac:dyDescent="0.3">
      <c r="A365" t="s">
        <v>547</v>
      </c>
      <c r="B365" t="s">
        <v>23</v>
      </c>
      <c r="C365" t="s">
        <v>17</v>
      </c>
      <c r="D365">
        <v>40.715539999999997</v>
      </c>
      <c r="E365">
        <v>-73.955029999999994</v>
      </c>
      <c r="F365" t="s">
        <v>18</v>
      </c>
      <c r="G365">
        <v>1</v>
      </c>
      <c r="H365">
        <v>1</v>
      </c>
      <c r="I365">
        <v>1</v>
      </c>
      <c r="J365">
        <v>1</v>
      </c>
      <c r="K365">
        <v>30</v>
      </c>
      <c r="L365">
        <v>73</v>
      </c>
      <c r="M365">
        <v>27</v>
      </c>
      <c r="N365">
        <v>0.5</v>
      </c>
      <c r="O365">
        <f>IF(F365="Private room",1,0)</f>
        <v>1</v>
      </c>
      <c r="P365">
        <f>IF(C365="Manhattan",4,IF(C365="Brooklyn",2,0))</f>
        <v>2</v>
      </c>
      <c r="Q365" s="2">
        <v>99</v>
      </c>
      <c r="R365" s="1">
        <v>45747</v>
      </c>
      <c r="S365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69.050000000000011</v>
      </c>
    </row>
    <row r="366" spans="1:19" x14ac:dyDescent="0.3">
      <c r="A366" t="s">
        <v>548</v>
      </c>
      <c r="B366" t="s">
        <v>24</v>
      </c>
      <c r="C366" t="s">
        <v>20</v>
      </c>
      <c r="D366">
        <v>40.787860000000002</v>
      </c>
      <c r="E366">
        <v>-73.949520000000007</v>
      </c>
      <c r="F366" t="s">
        <v>21</v>
      </c>
      <c r="G366">
        <v>4</v>
      </c>
      <c r="H366">
        <v>1</v>
      </c>
      <c r="I366">
        <v>1</v>
      </c>
      <c r="J366">
        <v>3</v>
      </c>
      <c r="K366">
        <v>30</v>
      </c>
      <c r="L366">
        <v>270</v>
      </c>
      <c r="M366">
        <v>15</v>
      </c>
      <c r="N366">
        <v>0.31</v>
      </c>
      <c r="O366">
        <f>IF(F366="Private room",1,0)</f>
        <v>0</v>
      </c>
      <c r="P366">
        <f>IF(C366="Manhattan",4,IF(C366="Brooklyn",2,0))</f>
        <v>4</v>
      </c>
      <c r="Q366" s="2">
        <v>107</v>
      </c>
      <c r="R366" s="1">
        <v>45746</v>
      </c>
      <c r="S366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191.87</v>
      </c>
    </row>
    <row r="367" spans="1:19" x14ac:dyDescent="0.3">
      <c r="A367" t="s">
        <v>549</v>
      </c>
      <c r="B367" t="s">
        <v>132</v>
      </c>
      <c r="C367" t="s">
        <v>17</v>
      </c>
      <c r="D367">
        <v>40.645650000000003</v>
      </c>
      <c r="E367">
        <v>-73.893020000000007</v>
      </c>
      <c r="F367" t="s">
        <v>21</v>
      </c>
      <c r="G367">
        <v>6</v>
      </c>
      <c r="H367">
        <v>1</v>
      </c>
      <c r="I367">
        <v>3</v>
      </c>
      <c r="J367">
        <v>3</v>
      </c>
      <c r="K367">
        <v>30</v>
      </c>
      <c r="L367">
        <v>108</v>
      </c>
      <c r="M367">
        <v>87</v>
      </c>
      <c r="N367">
        <v>1.65</v>
      </c>
      <c r="O367">
        <f>IF(F367="Private room",1,0)</f>
        <v>0</v>
      </c>
      <c r="P367">
        <f>IF(C367="Manhattan",4,IF(C367="Brooklyn",2,0))</f>
        <v>2</v>
      </c>
      <c r="Q367" s="2">
        <v>129</v>
      </c>
      <c r="R367" s="1">
        <v>45744</v>
      </c>
      <c r="S367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205.85000000000005</v>
      </c>
    </row>
    <row r="368" spans="1:19" x14ac:dyDescent="0.3">
      <c r="A368" t="s">
        <v>550</v>
      </c>
      <c r="B368" t="s">
        <v>62</v>
      </c>
      <c r="C368" t="s">
        <v>20</v>
      </c>
      <c r="D368">
        <v>40.718409999999999</v>
      </c>
      <c r="E368">
        <v>-73.995729999999995</v>
      </c>
      <c r="F368" t="s">
        <v>21</v>
      </c>
      <c r="G368">
        <v>2</v>
      </c>
      <c r="H368">
        <v>1</v>
      </c>
      <c r="I368">
        <v>0</v>
      </c>
      <c r="J368">
        <v>1</v>
      </c>
      <c r="K368">
        <v>15</v>
      </c>
      <c r="L368">
        <v>84</v>
      </c>
      <c r="M368">
        <v>15</v>
      </c>
      <c r="N368">
        <v>0.71</v>
      </c>
      <c r="O368">
        <f>IF(F368="Private room",1,0)</f>
        <v>0</v>
      </c>
      <c r="P368">
        <f>IF(C368="Manhattan",4,IF(C368="Brooklyn",2,0))</f>
        <v>4</v>
      </c>
      <c r="Q368" s="2">
        <v>209</v>
      </c>
      <c r="R368" s="1">
        <v>45732</v>
      </c>
      <c r="S368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211.60000000000002</v>
      </c>
    </row>
    <row r="369" spans="1:19" x14ac:dyDescent="0.3">
      <c r="A369" t="s">
        <v>551</v>
      </c>
      <c r="B369" t="s">
        <v>42</v>
      </c>
      <c r="C369" t="s">
        <v>17</v>
      </c>
      <c r="D369">
        <v>40.72833</v>
      </c>
      <c r="E369">
        <v>-73.94811</v>
      </c>
      <c r="F369" t="s">
        <v>21</v>
      </c>
      <c r="G369">
        <v>6</v>
      </c>
      <c r="H369">
        <v>1</v>
      </c>
      <c r="I369">
        <v>3</v>
      </c>
      <c r="J369">
        <v>5</v>
      </c>
      <c r="K369">
        <v>30</v>
      </c>
      <c r="L369">
        <v>349</v>
      </c>
      <c r="M369">
        <v>166</v>
      </c>
      <c r="N369">
        <v>3.22</v>
      </c>
      <c r="O369">
        <f>IF(F369="Private room",1,0)</f>
        <v>0</v>
      </c>
      <c r="P369">
        <f>IF(C369="Manhattan",4,IF(C369="Brooklyn",2,0))</f>
        <v>2</v>
      </c>
      <c r="Q369" s="2">
        <v>227</v>
      </c>
      <c r="R369" s="1">
        <v>45733</v>
      </c>
      <c r="S369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196.21000000000004</v>
      </c>
    </row>
    <row r="370" spans="1:19" x14ac:dyDescent="0.3">
      <c r="A370" t="s">
        <v>552</v>
      </c>
      <c r="B370" t="s">
        <v>93</v>
      </c>
      <c r="C370" t="s">
        <v>91</v>
      </c>
      <c r="D370" s="3" t="s">
        <v>553</v>
      </c>
      <c r="E370">
        <v>-74.068795391907997</v>
      </c>
      <c r="F370" t="s">
        <v>21</v>
      </c>
      <c r="G370">
        <v>1</v>
      </c>
      <c r="H370">
        <v>1</v>
      </c>
      <c r="I370">
        <v>0</v>
      </c>
      <c r="J370">
        <v>1</v>
      </c>
      <c r="K370">
        <v>30</v>
      </c>
      <c r="L370">
        <v>196</v>
      </c>
      <c r="M370">
        <v>13</v>
      </c>
      <c r="N370">
        <v>0.26</v>
      </c>
      <c r="O370">
        <f>IF(F370="Private room",1,0)</f>
        <v>0</v>
      </c>
      <c r="P370">
        <f>IF(C370="Manhattan",4,IF(C370="Brooklyn",2,0))</f>
        <v>0</v>
      </c>
      <c r="Q370" s="2">
        <v>100</v>
      </c>
      <c r="R370" s="1">
        <v>45739</v>
      </c>
      <c r="S370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76.97</v>
      </c>
    </row>
    <row r="371" spans="1:19" x14ac:dyDescent="0.3">
      <c r="A371" t="s">
        <v>554</v>
      </c>
      <c r="B371" t="s">
        <v>41</v>
      </c>
      <c r="C371" t="s">
        <v>20</v>
      </c>
      <c r="D371">
        <v>40.732120000000002</v>
      </c>
      <c r="E371">
        <v>-73.985320000000002</v>
      </c>
      <c r="F371" t="s">
        <v>21</v>
      </c>
      <c r="G371">
        <v>4</v>
      </c>
      <c r="H371">
        <v>1</v>
      </c>
      <c r="I371">
        <v>2</v>
      </c>
      <c r="J371">
        <v>2</v>
      </c>
      <c r="K371">
        <v>30</v>
      </c>
      <c r="L371">
        <v>314</v>
      </c>
      <c r="M371">
        <v>7</v>
      </c>
      <c r="N371">
        <v>0.15</v>
      </c>
      <c r="O371">
        <f>IF(F371="Private room",1,0)</f>
        <v>0</v>
      </c>
      <c r="P371">
        <f>IF(C371="Manhattan",4,IF(C371="Brooklyn",2,0))</f>
        <v>4</v>
      </c>
      <c r="Q371" s="2">
        <v>140</v>
      </c>
      <c r="R371" s="1">
        <v>45746</v>
      </c>
      <c r="S371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190.11</v>
      </c>
    </row>
    <row r="372" spans="1:19" x14ac:dyDescent="0.3">
      <c r="A372" t="s">
        <v>555</v>
      </c>
      <c r="B372" t="s">
        <v>67</v>
      </c>
      <c r="C372" t="s">
        <v>17</v>
      </c>
      <c r="D372">
        <v>40.699849999999998</v>
      </c>
      <c r="E372">
        <v>-73.933580000000006</v>
      </c>
      <c r="F372" t="s">
        <v>21</v>
      </c>
      <c r="G372">
        <v>2</v>
      </c>
      <c r="H372">
        <v>1</v>
      </c>
      <c r="I372">
        <v>1</v>
      </c>
      <c r="J372">
        <v>1</v>
      </c>
      <c r="K372">
        <v>30</v>
      </c>
      <c r="L372">
        <v>149</v>
      </c>
      <c r="M372">
        <v>13</v>
      </c>
      <c r="N372">
        <v>0.25</v>
      </c>
      <c r="O372">
        <f>IF(F372="Private room",1,0)</f>
        <v>0</v>
      </c>
      <c r="P372">
        <f>IF(C372="Manhattan",4,IF(C372="Brooklyn",2,0))</f>
        <v>2</v>
      </c>
      <c r="Q372" s="2">
        <v>169</v>
      </c>
      <c r="R372" s="1">
        <v>45729</v>
      </c>
      <c r="S372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128.29000000000002</v>
      </c>
    </row>
    <row r="373" spans="1:19" x14ac:dyDescent="0.3">
      <c r="A373" t="s">
        <v>556</v>
      </c>
      <c r="B373" t="s">
        <v>19</v>
      </c>
      <c r="C373" t="s">
        <v>20</v>
      </c>
      <c r="D373">
        <v>40.747950000000003</v>
      </c>
      <c r="E373">
        <v>-73.986930000000001</v>
      </c>
      <c r="F373" t="s">
        <v>21</v>
      </c>
      <c r="G373">
        <v>4</v>
      </c>
      <c r="H373">
        <v>1</v>
      </c>
      <c r="I373">
        <v>0</v>
      </c>
      <c r="J373">
        <v>2</v>
      </c>
      <c r="K373">
        <v>1</v>
      </c>
      <c r="L373">
        <v>239</v>
      </c>
      <c r="M373">
        <v>38</v>
      </c>
      <c r="N373">
        <v>0.73</v>
      </c>
      <c r="O373">
        <f>IF(F373="Private room",1,0)</f>
        <v>0</v>
      </c>
      <c r="P373">
        <f>IF(C373="Manhattan",4,IF(C373="Brooklyn",2,0))</f>
        <v>4</v>
      </c>
      <c r="Q373" s="2">
        <v>209</v>
      </c>
      <c r="R373" s="1">
        <v>45742</v>
      </c>
      <c r="S373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290.26000000000005</v>
      </c>
    </row>
    <row r="374" spans="1:19" x14ac:dyDescent="0.3">
      <c r="A374" t="s">
        <v>557</v>
      </c>
      <c r="B374" t="s">
        <v>72</v>
      </c>
      <c r="C374" t="s">
        <v>20</v>
      </c>
      <c r="D374">
        <v>40.737090000000002</v>
      </c>
      <c r="E374">
        <v>-73.980369999999994</v>
      </c>
      <c r="F374" t="s">
        <v>21</v>
      </c>
      <c r="G374">
        <v>4</v>
      </c>
      <c r="H374">
        <v>1</v>
      </c>
      <c r="I374">
        <v>1</v>
      </c>
      <c r="J374">
        <v>2</v>
      </c>
      <c r="K374">
        <v>30</v>
      </c>
      <c r="L374">
        <v>280</v>
      </c>
      <c r="M374">
        <v>14</v>
      </c>
      <c r="N374">
        <v>0.28000000000000003</v>
      </c>
      <c r="O374">
        <f>IF(F374="Private room",1,0)</f>
        <v>0</v>
      </c>
      <c r="P374">
        <f>IF(C374="Manhattan",4,IF(C374="Brooklyn",2,0))</f>
        <v>4</v>
      </c>
      <c r="Q374" s="2">
        <v>170</v>
      </c>
      <c r="R374" s="1">
        <v>45733</v>
      </c>
      <c r="S374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191.47000000000003</v>
      </c>
    </row>
    <row r="375" spans="1:19" x14ac:dyDescent="0.3">
      <c r="A375" t="s">
        <v>558</v>
      </c>
      <c r="B375" t="s">
        <v>19</v>
      </c>
      <c r="C375" t="s">
        <v>20</v>
      </c>
      <c r="D375">
        <v>40.748260000000002</v>
      </c>
      <c r="E375">
        <v>-73.987080000000006</v>
      </c>
      <c r="F375" t="s">
        <v>21</v>
      </c>
      <c r="G375">
        <v>6</v>
      </c>
      <c r="H375">
        <v>1</v>
      </c>
      <c r="I375">
        <v>1</v>
      </c>
      <c r="J375">
        <v>3</v>
      </c>
      <c r="K375">
        <v>1</v>
      </c>
      <c r="L375">
        <v>333</v>
      </c>
      <c r="M375">
        <v>79</v>
      </c>
      <c r="N375">
        <v>1.5</v>
      </c>
      <c r="O375">
        <f>IF(F375="Private room",1,0)</f>
        <v>0</v>
      </c>
      <c r="P375">
        <f>IF(C375="Manhattan",4,IF(C375="Brooklyn",2,0))</f>
        <v>4</v>
      </c>
      <c r="Q375" s="2">
        <v>267</v>
      </c>
      <c r="R375" s="1">
        <v>45730</v>
      </c>
      <c r="S375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324.46000000000004</v>
      </c>
    </row>
    <row r="376" spans="1:19" x14ac:dyDescent="0.3">
      <c r="A376" t="s">
        <v>559</v>
      </c>
      <c r="B376" t="s">
        <v>37</v>
      </c>
      <c r="C376" t="s">
        <v>30</v>
      </c>
      <c r="D376">
        <v>40.771810000000002</v>
      </c>
      <c r="E376">
        <v>-73.915440000000004</v>
      </c>
      <c r="F376" t="s">
        <v>18</v>
      </c>
      <c r="G376">
        <v>2</v>
      </c>
      <c r="H376">
        <v>2</v>
      </c>
      <c r="I376">
        <v>1</v>
      </c>
      <c r="J376">
        <v>2</v>
      </c>
      <c r="K376">
        <v>30</v>
      </c>
      <c r="L376">
        <v>117</v>
      </c>
      <c r="M376">
        <v>156</v>
      </c>
      <c r="N376">
        <v>2.96</v>
      </c>
      <c r="O376">
        <f>IF(F376="Private room",1,0)</f>
        <v>1</v>
      </c>
      <c r="P376">
        <f>IF(C376="Manhattan",4,IF(C376="Brooklyn",2,0))</f>
        <v>0</v>
      </c>
      <c r="Q376" s="2">
        <v>62</v>
      </c>
      <c r="R376" s="1">
        <v>45717</v>
      </c>
      <c r="S376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67.030000000000015</v>
      </c>
    </row>
    <row r="377" spans="1:19" x14ac:dyDescent="0.3">
      <c r="A377" t="s">
        <v>560</v>
      </c>
      <c r="B377" t="s">
        <v>36</v>
      </c>
      <c r="C377" t="s">
        <v>20</v>
      </c>
      <c r="D377">
        <v>40.75947</v>
      </c>
      <c r="E377">
        <v>-73.961320000000001</v>
      </c>
      <c r="F377" t="s">
        <v>21</v>
      </c>
      <c r="G377">
        <v>4</v>
      </c>
      <c r="H377">
        <v>1</v>
      </c>
      <c r="I377">
        <v>2</v>
      </c>
      <c r="J377">
        <v>2</v>
      </c>
      <c r="K377">
        <v>30</v>
      </c>
      <c r="L377">
        <v>365</v>
      </c>
      <c r="M377">
        <v>11</v>
      </c>
      <c r="N377">
        <v>0.24</v>
      </c>
      <c r="O377">
        <f>IF(F377="Private room",1,0)</f>
        <v>0</v>
      </c>
      <c r="P377">
        <f>IF(C377="Manhattan",4,IF(C377="Brooklyn",2,0))</f>
        <v>4</v>
      </c>
      <c r="Q377" s="2">
        <v>209</v>
      </c>
      <c r="R377" s="1">
        <v>45738</v>
      </c>
      <c r="S377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188.07000000000005</v>
      </c>
    </row>
    <row r="378" spans="1:19" x14ac:dyDescent="0.3">
      <c r="A378" t="s">
        <v>561</v>
      </c>
      <c r="B378" t="s">
        <v>36</v>
      </c>
      <c r="C378" t="s">
        <v>20</v>
      </c>
      <c r="D378">
        <v>40.779440000000001</v>
      </c>
      <c r="E378">
        <v>-73.954639999999998</v>
      </c>
      <c r="F378" t="s">
        <v>21</v>
      </c>
      <c r="G378">
        <v>4</v>
      </c>
      <c r="H378">
        <v>1</v>
      </c>
      <c r="I378">
        <v>1</v>
      </c>
      <c r="J378">
        <v>1</v>
      </c>
      <c r="K378">
        <v>30</v>
      </c>
      <c r="L378">
        <v>152</v>
      </c>
      <c r="M378">
        <v>14</v>
      </c>
      <c r="N378">
        <v>0.28000000000000003</v>
      </c>
      <c r="O378">
        <f>IF(F378="Private room",1,0)</f>
        <v>0</v>
      </c>
      <c r="P378">
        <f>IF(C378="Manhattan",4,IF(C378="Brooklyn",2,0))</f>
        <v>4</v>
      </c>
      <c r="Q378" s="2">
        <v>248</v>
      </c>
      <c r="R378" s="1">
        <v>45732</v>
      </c>
      <c r="S378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196.59000000000003</v>
      </c>
    </row>
    <row r="379" spans="1:19" x14ac:dyDescent="0.3">
      <c r="A379" t="s">
        <v>562</v>
      </c>
      <c r="B379" t="s">
        <v>102</v>
      </c>
      <c r="C379" t="s">
        <v>91</v>
      </c>
      <c r="D379" s="3" t="s">
        <v>563</v>
      </c>
      <c r="E379">
        <v>-74.092810523349698</v>
      </c>
      <c r="F379" t="s">
        <v>18</v>
      </c>
      <c r="G379">
        <v>1</v>
      </c>
      <c r="H379">
        <v>1</v>
      </c>
      <c r="I379">
        <v>1</v>
      </c>
      <c r="J379">
        <v>1</v>
      </c>
      <c r="K379">
        <v>2</v>
      </c>
      <c r="L379">
        <v>336</v>
      </c>
      <c r="M379">
        <v>27</v>
      </c>
      <c r="N379">
        <v>0.57999999999999996</v>
      </c>
      <c r="O379">
        <f>IF(F379="Private room",1,0)</f>
        <v>1</v>
      </c>
      <c r="P379">
        <f>IF(C379="Manhattan",4,IF(C379="Brooklyn",2,0))</f>
        <v>0</v>
      </c>
      <c r="Q379" s="2">
        <v>80</v>
      </c>
      <c r="R379" s="1">
        <v>45727</v>
      </c>
      <c r="S379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121.87000000000002</v>
      </c>
    </row>
    <row r="380" spans="1:19" x14ac:dyDescent="0.3">
      <c r="A380" t="s">
        <v>564</v>
      </c>
      <c r="B380" t="s">
        <v>42</v>
      </c>
      <c r="C380" t="s">
        <v>17</v>
      </c>
      <c r="D380">
        <v>40.735770000000002</v>
      </c>
      <c r="E380">
        <v>-73.955370000000002</v>
      </c>
      <c r="F380" t="s">
        <v>21</v>
      </c>
      <c r="G380">
        <v>2</v>
      </c>
      <c r="H380">
        <v>1</v>
      </c>
      <c r="I380">
        <v>1</v>
      </c>
      <c r="J380">
        <v>1</v>
      </c>
      <c r="K380">
        <v>30</v>
      </c>
      <c r="L380">
        <v>114</v>
      </c>
      <c r="M380">
        <v>54</v>
      </c>
      <c r="N380">
        <v>1.1100000000000001</v>
      </c>
      <c r="O380">
        <f>IF(F380="Private room",1,0)</f>
        <v>0</v>
      </c>
      <c r="P380">
        <f>IF(C380="Manhattan",4,IF(C380="Brooklyn",2,0))</f>
        <v>2</v>
      </c>
      <c r="Q380" s="2">
        <v>120</v>
      </c>
      <c r="R380" s="1">
        <v>45747</v>
      </c>
      <c r="S380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129.69000000000003</v>
      </c>
    </row>
    <row r="381" spans="1:19" x14ac:dyDescent="0.3">
      <c r="A381" t="s">
        <v>565</v>
      </c>
      <c r="B381" t="s">
        <v>38</v>
      </c>
      <c r="C381" t="s">
        <v>20</v>
      </c>
      <c r="D381">
        <v>40.763330000000003</v>
      </c>
      <c r="E381">
        <v>-73.987790000000004</v>
      </c>
      <c r="F381" t="s">
        <v>21</v>
      </c>
      <c r="G381">
        <v>2</v>
      </c>
      <c r="H381">
        <v>1</v>
      </c>
      <c r="I381">
        <v>0</v>
      </c>
      <c r="J381">
        <v>1</v>
      </c>
      <c r="K381">
        <v>30</v>
      </c>
      <c r="L381">
        <v>288</v>
      </c>
      <c r="M381">
        <v>12</v>
      </c>
      <c r="N381">
        <v>0.24</v>
      </c>
      <c r="O381">
        <f>IF(F381="Private room",1,0)</f>
        <v>0</v>
      </c>
      <c r="P381">
        <f>IF(C381="Manhattan",4,IF(C381="Brooklyn",2,0))</f>
        <v>4</v>
      </c>
      <c r="Q381" s="2">
        <v>120</v>
      </c>
      <c r="R381" s="1">
        <v>45741</v>
      </c>
      <c r="S381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153.19000000000003</v>
      </c>
    </row>
    <row r="382" spans="1:19" x14ac:dyDescent="0.3">
      <c r="A382" t="s">
        <v>566</v>
      </c>
      <c r="B382" t="s">
        <v>60</v>
      </c>
      <c r="C382" t="s">
        <v>17</v>
      </c>
      <c r="D382">
        <v>40.645020000000002</v>
      </c>
      <c r="E382">
        <v>-73.942949999999996</v>
      </c>
      <c r="F382" t="s">
        <v>21</v>
      </c>
      <c r="G382">
        <v>2</v>
      </c>
      <c r="H382">
        <v>1</v>
      </c>
      <c r="I382">
        <v>1</v>
      </c>
      <c r="J382">
        <v>1</v>
      </c>
      <c r="K382">
        <v>30</v>
      </c>
      <c r="L382">
        <v>89</v>
      </c>
      <c r="M382">
        <v>55</v>
      </c>
      <c r="N382">
        <v>1.1000000000000001</v>
      </c>
      <c r="O382">
        <f>IF(F382="Private room",1,0)</f>
        <v>0</v>
      </c>
      <c r="P382">
        <f>IF(C382="Manhattan",4,IF(C382="Brooklyn",2,0))</f>
        <v>2</v>
      </c>
      <c r="Q382" s="2">
        <v>96</v>
      </c>
      <c r="R382" s="1">
        <v>45732</v>
      </c>
      <c r="S382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130.69000000000003</v>
      </c>
    </row>
    <row r="383" spans="1:19" x14ac:dyDescent="0.3">
      <c r="A383" t="s">
        <v>567</v>
      </c>
      <c r="B383" t="s">
        <v>19</v>
      </c>
      <c r="C383" t="s">
        <v>20</v>
      </c>
      <c r="D383">
        <v>40.759619999999998</v>
      </c>
      <c r="E383">
        <v>-73.966790000000003</v>
      </c>
      <c r="F383" t="s">
        <v>21</v>
      </c>
      <c r="G383">
        <v>2</v>
      </c>
      <c r="H383">
        <v>1</v>
      </c>
      <c r="I383">
        <v>0</v>
      </c>
      <c r="J383">
        <v>1</v>
      </c>
      <c r="K383">
        <v>30</v>
      </c>
      <c r="L383">
        <v>337</v>
      </c>
      <c r="M383">
        <v>15</v>
      </c>
      <c r="N383">
        <v>0.3</v>
      </c>
      <c r="O383">
        <f>IF(F383="Private room",1,0)</f>
        <v>0</v>
      </c>
      <c r="P383">
        <f>IF(C383="Manhattan",4,IF(C383="Brooklyn",2,0))</f>
        <v>4</v>
      </c>
      <c r="Q383" s="2">
        <v>120</v>
      </c>
      <c r="R383" s="1">
        <v>45724</v>
      </c>
      <c r="S383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151.23000000000002</v>
      </c>
    </row>
    <row r="384" spans="1:19" x14ac:dyDescent="0.3">
      <c r="A384" t="s">
        <v>568</v>
      </c>
      <c r="B384" t="s">
        <v>37</v>
      </c>
      <c r="C384" t="s">
        <v>30</v>
      </c>
      <c r="D384">
        <v>40.77467</v>
      </c>
      <c r="E384">
        <v>-73.915809999999993</v>
      </c>
      <c r="F384" t="s">
        <v>21</v>
      </c>
      <c r="G384">
        <v>2</v>
      </c>
      <c r="H384">
        <v>1</v>
      </c>
      <c r="I384">
        <v>0</v>
      </c>
      <c r="J384">
        <v>1</v>
      </c>
      <c r="K384">
        <v>30</v>
      </c>
      <c r="L384">
        <v>189</v>
      </c>
      <c r="M384">
        <v>16</v>
      </c>
      <c r="N384">
        <v>0.33</v>
      </c>
      <c r="O384">
        <f>IF(F384="Private room",1,0)</f>
        <v>0</v>
      </c>
      <c r="P384">
        <f>IF(C384="Manhattan",4,IF(C384="Brooklyn",2,0))</f>
        <v>0</v>
      </c>
      <c r="Q384" s="2">
        <v>65</v>
      </c>
      <c r="R384" s="1">
        <v>45747</v>
      </c>
      <c r="S384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96.230000000000018</v>
      </c>
    </row>
    <row r="385" spans="1:19" x14ac:dyDescent="0.3">
      <c r="A385" t="s">
        <v>569</v>
      </c>
      <c r="B385" t="s">
        <v>19</v>
      </c>
      <c r="C385" t="s">
        <v>20</v>
      </c>
      <c r="D385">
        <v>40.744630000000001</v>
      </c>
      <c r="E385">
        <v>-73.99042</v>
      </c>
      <c r="F385" t="s">
        <v>18</v>
      </c>
      <c r="G385">
        <v>2</v>
      </c>
      <c r="H385">
        <v>1</v>
      </c>
      <c r="I385">
        <v>0</v>
      </c>
      <c r="J385">
        <v>1</v>
      </c>
      <c r="K385">
        <v>1</v>
      </c>
      <c r="L385">
        <v>299</v>
      </c>
      <c r="M385">
        <v>18</v>
      </c>
      <c r="N385">
        <v>0.38</v>
      </c>
      <c r="O385">
        <f>IF(F385="Private room",1,0)</f>
        <v>1</v>
      </c>
      <c r="P385">
        <f>IF(C385="Manhattan",4,IF(C385="Brooklyn",2,0))</f>
        <v>4</v>
      </c>
      <c r="Q385" s="2">
        <v>356</v>
      </c>
      <c r="R385" s="1">
        <v>45744</v>
      </c>
      <c r="S385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206.60000000000002</v>
      </c>
    </row>
    <row r="386" spans="1:19" x14ac:dyDescent="0.3">
      <c r="A386" t="s">
        <v>570</v>
      </c>
      <c r="B386" t="s">
        <v>179</v>
      </c>
      <c r="C386" t="s">
        <v>20</v>
      </c>
      <c r="D386">
        <v>40.742959999999997</v>
      </c>
      <c r="E386">
        <v>-73.990359999999995</v>
      </c>
      <c r="F386" t="s">
        <v>18</v>
      </c>
      <c r="G386">
        <v>2</v>
      </c>
      <c r="H386">
        <v>1</v>
      </c>
      <c r="I386">
        <v>0</v>
      </c>
      <c r="J386">
        <v>1</v>
      </c>
      <c r="K386">
        <v>1</v>
      </c>
      <c r="L386">
        <v>324</v>
      </c>
      <c r="M386">
        <v>101</v>
      </c>
      <c r="N386">
        <v>2.0299999999999998</v>
      </c>
      <c r="O386">
        <f>IF(F386="Private room",1,0)</f>
        <v>1</v>
      </c>
      <c r="P386">
        <f>IF(C386="Manhattan",4,IF(C386="Brooklyn",2,0))</f>
        <v>4</v>
      </c>
      <c r="Q386" s="2">
        <v>381</v>
      </c>
      <c r="R386" s="1">
        <v>45744</v>
      </c>
      <c r="S386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205.60000000000002</v>
      </c>
    </row>
    <row r="387" spans="1:19" x14ac:dyDescent="0.3">
      <c r="A387" t="s">
        <v>571</v>
      </c>
      <c r="B387" t="s">
        <v>28</v>
      </c>
      <c r="C387" t="s">
        <v>20</v>
      </c>
      <c r="D387">
        <v>40.824660000000002</v>
      </c>
      <c r="E387">
        <v>-73.946060000000003</v>
      </c>
      <c r="F387" t="s">
        <v>18</v>
      </c>
      <c r="G387">
        <v>1</v>
      </c>
      <c r="H387">
        <v>1</v>
      </c>
      <c r="I387">
        <v>1</v>
      </c>
      <c r="J387">
        <v>1</v>
      </c>
      <c r="K387">
        <v>30</v>
      </c>
      <c r="L387">
        <v>214</v>
      </c>
      <c r="M387">
        <v>13</v>
      </c>
      <c r="N387">
        <v>0.27</v>
      </c>
      <c r="O387">
        <f>IF(F387="Private room",1,0)</f>
        <v>1</v>
      </c>
      <c r="P387">
        <f>IF(C387="Manhattan",4,IF(C387="Brooklyn",2,0))</f>
        <v>4</v>
      </c>
      <c r="Q387" s="2">
        <v>56</v>
      </c>
      <c r="R387" s="1">
        <v>45747</v>
      </c>
      <c r="S387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93.87</v>
      </c>
    </row>
    <row r="388" spans="1:19" x14ac:dyDescent="0.3">
      <c r="A388" t="s">
        <v>572</v>
      </c>
      <c r="B388" t="s">
        <v>19</v>
      </c>
      <c r="C388" t="s">
        <v>20</v>
      </c>
      <c r="D388">
        <v>40.763480000000001</v>
      </c>
      <c r="E388">
        <v>-73.974360000000004</v>
      </c>
      <c r="F388" t="s">
        <v>18</v>
      </c>
      <c r="G388">
        <v>2</v>
      </c>
      <c r="H388">
        <v>1</v>
      </c>
      <c r="I388">
        <v>1</v>
      </c>
      <c r="J388">
        <v>1</v>
      </c>
      <c r="K388">
        <v>1</v>
      </c>
      <c r="L388">
        <v>283</v>
      </c>
      <c r="M388">
        <v>53</v>
      </c>
      <c r="N388">
        <v>1.25</v>
      </c>
      <c r="O388">
        <f>IF(F388="Private room",1,0)</f>
        <v>1</v>
      </c>
      <c r="P388">
        <f>IF(C388="Manhattan",4,IF(C388="Brooklyn",2,0))</f>
        <v>4</v>
      </c>
      <c r="Q388" s="2">
        <v>421</v>
      </c>
      <c r="R388" s="1">
        <v>45747</v>
      </c>
      <c r="S388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207.24000000000007</v>
      </c>
    </row>
    <row r="389" spans="1:19" x14ac:dyDescent="0.3">
      <c r="A389" t="s">
        <v>573</v>
      </c>
      <c r="B389" t="s">
        <v>33</v>
      </c>
      <c r="C389" t="s">
        <v>17</v>
      </c>
      <c r="D389">
        <v>40.67718</v>
      </c>
      <c r="E389">
        <v>-73.97533</v>
      </c>
      <c r="F389" t="s">
        <v>21</v>
      </c>
      <c r="G389">
        <v>4</v>
      </c>
      <c r="H389">
        <v>1</v>
      </c>
      <c r="I389">
        <v>1</v>
      </c>
      <c r="J389">
        <v>2</v>
      </c>
      <c r="K389">
        <v>30</v>
      </c>
      <c r="L389">
        <v>324</v>
      </c>
      <c r="M389">
        <v>72</v>
      </c>
      <c r="N389">
        <v>1.44</v>
      </c>
      <c r="O389">
        <f>IF(F389="Private room",1,0)</f>
        <v>0</v>
      </c>
      <c r="P389">
        <f>IF(C389="Manhattan",4,IF(C389="Brooklyn",2,0))</f>
        <v>2</v>
      </c>
      <c r="Q389" s="2">
        <v>230</v>
      </c>
      <c r="R389" s="1">
        <v>45747</v>
      </c>
      <c r="S389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159.25000000000003</v>
      </c>
    </row>
    <row r="390" spans="1:19" x14ac:dyDescent="0.3">
      <c r="A390" t="s">
        <v>574</v>
      </c>
      <c r="B390" t="s">
        <v>128</v>
      </c>
      <c r="C390" t="s">
        <v>30</v>
      </c>
      <c r="D390">
        <v>40.70438</v>
      </c>
      <c r="E390">
        <v>-73.873069999999998</v>
      </c>
      <c r="F390" t="s">
        <v>21</v>
      </c>
      <c r="G390">
        <v>3</v>
      </c>
      <c r="H390">
        <v>1</v>
      </c>
      <c r="I390">
        <v>1</v>
      </c>
      <c r="J390">
        <v>2</v>
      </c>
      <c r="K390">
        <v>30</v>
      </c>
      <c r="L390">
        <v>276</v>
      </c>
      <c r="M390">
        <v>73</v>
      </c>
      <c r="N390">
        <v>1.47</v>
      </c>
      <c r="O390">
        <f>IF(F390="Private room",1,0)</f>
        <v>0</v>
      </c>
      <c r="P390">
        <f>IF(C390="Manhattan",4,IF(C390="Brooklyn",2,0))</f>
        <v>0</v>
      </c>
      <c r="Q390" s="2">
        <v>236</v>
      </c>
      <c r="R390" s="1">
        <v>45717</v>
      </c>
      <c r="S390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111.73</v>
      </c>
    </row>
    <row r="391" spans="1:19" x14ac:dyDescent="0.3">
      <c r="A391" t="s">
        <v>575</v>
      </c>
      <c r="B391" t="s">
        <v>27</v>
      </c>
      <c r="C391" t="s">
        <v>17</v>
      </c>
      <c r="D391">
        <v>40.69229</v>
      </c>
      <c r="E391">
        <v>-73.956339999999997</v>
      </c>
      <c r="F391" t="s">
        <v>21</v>
      </c>
      <c r="G391">
        <v>2</v>
      </c>
      <c r="H391">
        <v>1</v>
      </c>
      <c r="I391">
        <v>1</v>
      </c>
      <c r="J391">
        <v>1</v>
      </c>
      <c r="K391">
        <v>30</v>
      </c>
      <c r="L391">
        <v>124</v>
      </c>
      <c r="M391">
        <v>84</v>
      </c>
      <c r="N391">
        <v>1.73</v>
      </c>
      <c r="O391">
        <f>IF(F391="Private room",1,0)</f>
        <v>0</v>
      </c>
      <c r="P391">
        <f>IF(C391="Manhattan",4,IF(C391="Brooklyn",2,0))</f>
        <v>2</v>
      </c>
      <c r="Q391" s="2">
        <v>140</v>
      </c>
      <c r="R391" s="1">
        <v>45717</v>
      </c>
      <c r="S391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129.29000000000002</v>
      </c>
    </row>
    <row r="392" spans="1:19" x14ac:dyDescent="0.3">
      <c r="A392" t="s">
        <v>576</v>
      </c>
      <c r="B392" t="s">
        <v>36</v>
      </c>
      <c r="C392" t="s">
        <v>20</v>
      </c>
      <c r="D392">
        <v>40.770451000000001</v>
      </c>
      <c r="E392">
        <v>-73.955894000000001</v>
      </c>
      <c r="F392" t="s">
        <v>21</v>
      </c>
      <c r="G392">
        <v>3</v>
      </c>
      <c r="H392">
        <v>1</v>
      </c>
      <c r="I392">
        <v>0</v>
      </c>
      <c r="J392">
        <v>1</v>
      </c>
      <c r="K392">
        <v>30</v>
      </c>
      <c r="L392">
        <v>362</v>
      </c>
      <c r="M392">
        <v>23</v>
      </c>
      <c r="N392">
        <v>0.51</v>
      </c>
      <c r="O392">
        <f>IF(F392="Private room",1,0)</f>
        <v>0</v>
      </c>
      <c r="P392">
        <f>IF(C392="Manhattan",4,IF(C392="Brooklyn",2,0))</f>
        <v>4</v>
      </c>
      <c r="Q392" s="2">
        <v>119</v>
      </c>
      <c r="R392" s="1">
        <v>45745</v>
      </c>
      <c r="S392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169.21</v>
      </c>
    </row>
    <row r="393" spans="1:19" x14ac:dyDescent="0.3">
      <c r="A393" t="s">
        <v>577</v>
      </c>
      <c r="B393" t="s">
        <v>27</v>
      </c>
      <c r="C393" t="s">
        <v>17</v>
      </c>
      <c r="D393">
        <v>40.678460000000001</v>
      </c>
      <c r="E393">
        <v>-73.912220000000005</v>
      </c>
      <c r="F393" t="s">
        <v>21</v>
      </c>
      <c r="G393">
        <v>6</v>
      </c>
      <c r="H393">
        <v>1</v>
      </c>
      <c r="I393">
        <v>2</v>
      </c>
      <c r="J393">
        <v>3</v>
      </c>
      <c r="K393">
        <v>30</v>
      </c>
      <c r="L393">
        <v>365</v>
      </c>
      <c r="M393">
        <v>22</v>
      </c>
      <c r="N393">
        <v>0.45</v>
      </c>
      <c r="O393">
        <f>IF(F393="Private room",1,0)</f>
        <v>0</v>
      </c>
      <c r="P393">
        <f>IF(C393="Manhattan",4,IF(C393="Brooklyn",2,0))</f>
        <v>2</v>
      </c>
      <c r="Q393" s="2">
        <v>210</v>
      </c>
      <c r="R393" s="1">
        <v>45726</v>
      </c>
      <c r="S393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195.57000000000005</v>
      </c>
    </row>
    <row r="394" spans="1:19" x14ac:dyDescent="0.3">
      <c r="A394" t="s">
        <v>578</v>
      </c>
      <c r="B394" t="s">
        <v>56</v>
      </c>
      <c r="C394" t="s">
        <v>17</v>
      </c>
      <c r="D394">
        <v>40.67689</v>
      </c>
      <c r="E394">
        <v>-73.945750000000004</v>
      </c>
      <c r="F394" t="s">
        <v>18</v>
      </c>
      <c r="G394">
        <v>1</v>
      </c>
      <c r="H394">
        <v>1</v>
      </c>
      <c r="I394">
        <v>1</v>
      </c>
      <c r="J394">
        <v>1</v>
      </c>
      <c r="K394">
        <v>30</v>
      </c>
      <c r="L394">
        <v>332</v>
      </c>
      <c r="M394">
        <v>6</v>
      </c>
      <c r="N394">
        <v>0.15</v>
      </c>
      <c r="O394">
        <f>IF(F394="Private room",1,0)</f>
        <v>1</v>
      </c>
      <c r="P394">
        <f>IF(C394="Manhattan",4,IF(C394="Brooklyn",2,0))</f>
        <v>2</v>
      </c>
      <c r="Q394" s="2">
        <v>78</v>
      </c>
      <c r="R394" s="1">
        <v>45717</v>
      </c>
      <c r="S394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58.690000000000005</v>
      </c>
    </row>
    <row r="395" spans="1:19" x14ac:dyDescent="0.3">
      <c r="A395" t="s">
        <v>579</v>
      </c>
      <c r="B395" t="s">
        <v>45</v>
      </c>
      <c r="C395" t="s">
        <v>20</v>
      </c>
      <c r="D395">
        <v>40.752789999999997</v>
      </c>
      <c r="E395">
        <v>-73.995080000000002</v>
      </c>
      <c r="F395" t="s">
        <v>18</v>
      </c>
      <c r="G395">
        <v>2</v>
      </c>
      <c r="H395">
        <v>1</v>
      </c>
      <c r="I395">
        <v>0</v>
      </c>
      <c r="J395">
        <v>1</v>
      </c>
      <c r="K395">
        <v>1</v>
      </c>
      <c r="L395">
        <v>39</v>
      </c>
      <c r="M395">
        <v>21</v>
      </c>
      <c r="N395">
        <v>0.48</v>
      </c>
      <c r="O395">
        <f>IF(F395="Private room",1,0)</f>
        <v>1</v>
      </c>
      <c r="P395">
        <f>IF(C395="Manhattan",4,IF(C395="Brooklyn",2,0))</f>
        <v>4</v>
      </c>
      <c r="Q395" s="2">
        <v>289</v>
      </c>
      <c r="R395" s="1">
        <v>45742</v>
      </c>
      <c r="S395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217.00000000000006</v>
      </c>
    </row>
    <row r="396" spans="1:19" x14ac:dyDescent="0.3">
      <c r="A396" t="s">
        <v>580</v>
      </c>
      <c r="B396" t="s">
        <v>45</v>
      </c>
      <c r="C396" t="s">
        <v>20</v>
      </c>
      <c r="D396">
        <v>40.750639999999997</v>
      </c>
      <c r="E396">
        <v>-73.996780000000001</v>
      </c>
      <c r="F396" t="s">
        <v>18</v>
      </c>
      <c r="G396">
        <v>1</v>
      </c>
      <c r="H396">
        <v>0</v>
      </c>
      <c r="I396">
        <v>1</v>
      </c>
      <c r="J396">
        <v>1</v>
      </c>
      <c r="K396">
        <v>1</v>
      </c>
      <c r="L396">
        <v>304</v>
      </c>
      <c r="M396">
        <v>2</v>
      </c>
      <c r="N396">
        <v>0.71</v>
      </c>
      <c r="O396">
        <f>IF(F396="Private room",1,0)</f>
        <v>1</v>
      </c>
      <c r="P396">
        <f>IF(C396="Manhattan",4,IF(C396="Brooklyn",2,0))</f>
        <v>4</v>
      </c>
      <c r="Q396" s="2">
        <v>207</v>
      </c>
      <c r="R396" s="1">
        <v>45745</v>
      </c>
      <c r="S396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176.20000000000002</v>
      </c>
    </row>
    <row r="397" spans="1:19" x14ac:dyDescent="0.3">
      <c r="A397" t="s">
        <v>581</v>
      </c>
      <c r="B397" t="s">
        <v>27</v>
      </c>
      <c r="C397" t="s">
        <v>17</v>
      </c>
      <c r="D397">
        <v>40.684130000000003</v>
      </c>
      <c r="E397">
        <v>-73.932239999999993</v>
      </c>
      <c r="F397" t="s">
        <v>21</v>
      </c>
      <c r="G397">
        <v>4</v>
      </c>
      <c r="H397">
        <v>1</v>
      </c>
      <c r="I397">
        <v>1</v>
      </c>
      <c r="J397">
        <v>2</v>
      </c>
      <c r="K397">
        <v>30</v>
      </c>
      <c r="L397">
        <v>264</v>
      </c>
      <c r="M397">
        <v>85</v>
      </c>
      <c r="N397">
        <v>1.79</v>
      </c>
      <c r="O397">
        <f>IF(F397="Private room",1,0)</f>
        <v>0</v>
      </c>
      <c r="P397">
        <f>IF(C397="Manhattan",4,IF(C397="Brooklyn",2,0))</f>
        <v>2</v>
      </c>
      <c r="Q397" s="2">
        <v>178</v>
      </c>
      <c r="R397" s="1">
        <v>45717</v>
      </c>
      <c r="S397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161.65000000000003</v>
      </c>
    </row>
    <row r="398" spans="1:19" x14ac:dyDescent="0.3">
      <c r="A398" t="s">
        <v>582</v>
      </c>
      <c r="B398" t="s">
        <v>37</v>
      </c>
      <c r="C398" t="s">
        <v>30</v>
      </c>
      <c r="D398">
        <v>40.77346</v>
      </c>
      <c r="E398">
        <v>-73.908770000000004</v>
      </c>
      <c r="F398" t="s">
        <v>21</v>
      </c>
      <c r="G398">
        <v>4</v>
      </c>
      <c r="H398">
        <v>1</v>
      </c>
      <c r="I398">
        <v>1</v>
      </c>
      <c r="J398">
        <v>2</v>
      </c>
      <c r="K398">
        <v>30</v>
      </c>
      <c r="L398">
        <v>290</v>
      </c>
      <c r="M398">
        <v>10</v>
      </c>
      <c r="N398">
        <v>0.22</v>
      </c>
      <c r="O398">
        <f>IF(F398="Private room",1,0)</f>
        <v>0</v>
      </c>
      <c r="P398">
        <f>IF(C398="Manhattan",4,IF(C398="Brooklyn",2,0))</f>
        <v>0</v>
      </c>
      <c r="Q398" s="2">
        <v>135</v>
      </c>
      <c r="R398" s="1">
        <v>45718</v>
      </c>
      <c r="S398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130.15000000000003</v>
      </c>
    </row>
    <row r="399" spans="1:19" x14ac:dyDescent="0.3">
      <c r="A399" t="s">
        <v>583</v>
      </c>
      <c r="B399" t="s">
        <v>72</v>
      </c>
      <c r="C399" t="s">
        <v>20</v>
      </c>
      <c r="D399">
        <v>40.735329999999998</v>
      </c>
      <c r="E399">
        <v>-73.986660000000001</v>
      </c>
      <c r="F399" t="s">
        <v>21</v>
      </c>
      <c r="G399">
        <v>2</v>
      </c>
      <c r="H399">
        <v>1.5</v>
      </c>
      <c r="I399">
        <v>1</v>
      </c>
      <c r="J399">
        <v>1</v>
      </c>
      <c r="K399">
        <v>30</v>
      </c>
      <c r="L399">
        <v>115</v>
      </c>
      <c r="M399">
        <v>86</v>
      </c>
      <c r="N399">
        <v>1.76</v>
      </c>
      <c r="O399">
        <f>IF(F399="Private room",1,0)</f>
        <v>0</v>
      </c>
      <c r="P399">
        <f>IF(C399="Manhattan",4,IF(C399="Brooklyn",2,0))</f>
        <v>4</v>
      </c>
      <c r="Q399" s="2">
        <v>365</v>
      </c>
      <c r="R399" s="1">
        <v>45717</v>
      </c>
      <c r="S399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165.72000000000003</v>
      </c>
    </row>
    <row r="400" spans="1:19" x14ac:dyDescent="0.3">
      <c r="A400" t="s">
        <v>406</v>
      </c>
      <c r="B400" t="s">
        <v>60</v>
      </c>
      <c r="C400" t="s">
        <v>17</v>
      </c>
      <c r="D400">
        <v>40.652509999999999</v>
      </c>
      <c r="E400">
        <v>-73.951139999999995</v>
      </c>
      <c r="F400" t="s">
        <v>21</v>
      </c>
      <c r="G400">
        <v>6</v>
      </c>
      <c r="H400">
        <v>1</v>
      </c>
      <c r="I400">
        <v>2</v>
      </c>
      <c r="J400">
        <v>3</v>
      </c>
      <c r="K400">
        <v>30</v>
      </c>
      <c r="L400">
        <v>86</v>
      </c>
      <c r="M400">
        <v>104</v>
      </c>
      <c r="N400">
        <v>2.21</v>
      </c>
      <c r="O400">
        <f>IF(F400="Private room",1,0)</f>
        <v>0</v>
      </c>
      <c r="P400">
        <f>IF(C400="Manhattan",4,IF(C400="Brooklyn",2,0))</f>
        <v>2</v>
      </c>
      <c r="Q400" s="2">
        <v>249</v>
      </c>
      <c r="R400" s="1">
        <v>45724</v>
      </c>
      <c r="S400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206.73000000000005</v>
      </c>
    </row>
    <row r="401" spans="1:19" x14ac:dyDescent="0.3">
      <c r="A401" t="s">
        <v>584</v>
      </c>
      <c r="B401" t="s">
        <v>102</v>
      </c>
      <c r="C401" t="s">
        <v>91</v>
      </c>
      <c r="D401">
        <v>40.62988</v>
      </c>
      <c r="E401">
        <v>-74.086389999999994</v>
      </c>
      <c r="F401" t="s">
        <v>21</v>
      </c>
      <c r="G401">
        <v>3</v>
      </c>
      <c r="H401">
        <v>1</v>
      </c>
      <c r="I401">
        <v>1</v>
      </c>
      <c r="J401">
        <v>1</v>
      </c>
      <c r="K401">
        <v>30</v>
      </c>
      <c r="L401">
        <v>149</v>
      </c>
      <c r="M401">
        <v>87</v>
      </c>
      <c r="N401">
        <v>1.8</v>
      </c>
      <c r="O401">
        <f>IF(F401="Private room",1,0)</f>
        <v>0</v>
      </c>
      <c r="P401">
        <f>IF(C401="Manhattan",4,IF(C401="Brooklyn",2,0))</f>
        <v>0</v>
      </c>
      <c r="Q401" s="2">
        <v>90</v>
      </c>
      <c r="R401" s="1">
        <v>45719</v>
      </c>
      <c r="S401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116.81000000000002</v>
      </c>
    </row>
    <row r="402" spans="1:19" x14ac:dyDescent="0.3">
      <c r="A402" t="s">
        <v>585</v>
      </c>
      <c r="B402" t="s">
        <v>19</v>
      </c>
      <c r="C402" t="s">
        <v>20</v>
      </c>
      <c r="D402">
        <v>40.763869999999997</v>
      </c>
      <c r="E402">
        <v>-73.983099999999993</v>
      </c>
      <c r="F402" t="s">
        <v>21</v>
      </c>
      <c r="G402">
        <v>3</v>
      </c>
      <c r="H402">
        <v>1</v>
      </c>
      <c r="I402">
        <v>1</v>
      </c>
      <c r="J402">
        <v>1</v>
      </c>
      <c r="K402">
        <v>30</v>
      </c>
      <c r="L402">
        <v>359</v>
      </c>
      <c r="M402">
        <v>3</v>
      </c>
      <c r="N402">
        <v>0.08</v>
      </c>
      <c r="O402">
        <f>IF(F402="Private room",1,0)</f>
        <v>0</v>
      </c>
      <c r="P402">
        <f>IF(C402="Manhattan",4,IF(C402="Brooklyn",2,0))</f>
        <v>4</v>
      </c>
      <c r="Q402" s="2">
        <v>194</v>
      </c>
      <c r="R402" s="1">
        <v>45744</v>
      </c>
      <c r="S402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169.33</v>
      </c>
    </row>
    <row r="403" spans="1:19" x14ac:dyDescent="0.3">
      <c r="A403" t="s">
        <v>586</v>
      </c>
      <c r="B403" t="s">
        <v>29</v>
      </c>
      <c r="C403" t="s">
        <v>30</v>
      </c>
      <c r="D403">
        <v>40.711150000000004</v>
      </c>
      <c r="E403">
        <v>-73.916960000000003</v>
      </c>
      <c r="F403" t="s">
        <v>21</v>
      </c>
      <c r="G403">
        <v>4</v>
      </c>
      <c r="H403">
        <v>1</v>
      </c>
      <c r="I403">
        <v>1</v>
      </c>
      <c r="J403">
        <v>2</v>
      </c>
      <c r="K403">
        <v>30</v>
      </c>
      <c r="L403">
        <v>303</v>
      </c>
      <c r="M403">
        <v>11</v>
      </c>
      <c r="N403">
        <v>0.25</v>
      </c>
      <c r="O403">
        <f>IF(F403="Private room",1,0)</f>
        <v>0</v>
      </c>
      <c r="P403">
        <f>IF(C403="Manhattan",4,IF(C403="Brooklyn",2,0))</f>
        <v>0</v>
      </c>
      <c r="Q403" s="2">
        <v>179</v>
      </c>
      <c r="R403" s="1">
        <v>45745</v>
      </c>
      <c r="S403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129.63000000000002</v>
      </c>
    </row>
    <row r="404" spans="1:19" x14ac:dyDescent="0.3">
      <c r="A404" t="s">
        <v>587</v>
      </c>
      <c r="B404" t="s">
        <v>26</v>
      </c>
      <c r="C404" t="s">
        <v>17</v>
      </c>
      <c r="D404">
        <v>40.687350100000003</v>
      </c>
      <c r="E404">
        <v>-73.975106799999907</v>
      </c>
      <c r="F404" t="s">
        <v>21</v>
      </c>
      <c r="G404">
        <v>2</v>
      </c>
      <c r="H404">
        <v>1</v>
      </c>
      <c r="I404">
        <v>0</v>
      </c>
      <c r="J404">
        <v>1</v>
      </c>
      <c r="K404">
        <v>30</v>
      </c>
      <c r="L404">
        <v>84</v>
      </c>
      <c r="M404">
        <v>94</v>
      </c>
      <c r="N404">
        <v>2.02</v>
      </c>
      <c r="O404">
        <f>IF(F404="Private room",1,0)</f>
        <v>0</v>
      </c>
      <c r="P404">
        <f>IF(C404="Manhattan",4,IF(C404="Brooklyn",2,0))</f>
        <v>2</v>
      </c>
      <c r="Q404" s="2">
        <v>105</v>
      </c>
      <c r="R404" s="1">
        <v>45722</v>
      </c>
      <c r="S404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130.89000000000001</v>
      </c>
    </row>
    <row r="405" spans="1:19" x14ac:dyDescent="0.3">
      <c r="A405" t="s">
        <v>588</v>
      </c>
      <c r="B405" t="s">
        <v>28</v>
      </c>
      <c r="C405" t="s">
        <v>20</v>
      </c>
      <c r="D405">
        <v>40.824069999999999</v>
      </c>
      <c r="E405">
        <v>-73.946719999999999</v>
      </c>
      <c r="F405" t="s">
        <v>18</v>
      </c>
      <c r="G405">
        <v>1</v>
      </c>
      <c r="H405">
        <v>1.5</v>
      </c>
      <c r="I405">
        <v>1</v>
      </c>
      <c r="J405">
        <v>1</v>
      </c>
      <c r="K405">
        <v>30</v>
      </c>
      <c r="L405">
        <v>305</v>
      </c>
      <c r="M405">
        <v>14</v>
      </c>
      <c r="N405">
        <v>0.3</v>
      </c>
      <c r="O405">
        <f>IF(F405="Private room",1,0)</f>
        <v>1</v>
      </c>
      <c r="P405">
        <f>IF(C405="Manhattan",4,IF(C405="Brooklyn",2,0))</f>
        <v>4</v>
      </c>
      <c r="Q405" s="2">
        <v>57</v>
      </c>
      <c r="R405" s="1">
        <v>45747</v>
      </c>
      <c r="S405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95.840000000000018</v>
      </c>
    </row>
    <row r="406" spans="1:19" x14ac:dyDescent="0.3">
      <c r="A406" t="s">
        <v>589</v>
      </c>
      <c r="B406" t="s">
        <v>68</v>
      </c>
      <c r="C406" t="s">
        <v>20</v>
      </c>
      <c r="D406">
        <v>40.83699</v>
      </c>
      <c r="E406">
        <v>-73.944100000000006</v>
      </c>
      <c r="F406" t="s">
        <v>18</v>
      </c>
      <c r="G406">
        <v>2</v>
      </c>
      <c r="H406">
        <v>1</v>
      </c>
      <c r="I406">
        <v>1</v>
      </c>
      <c r="J406">
        <v>1</v>
      </c>
      <c r="K406">
        <v>30</v>
      </c>
      <c r="L406">
        <v>159</v>
      </c>
      <c r="M406">
        <v>24</v>
      </c>
      <c r="N406">
        <v>0.84</v>
      </c>
      <c r="O406">
        <f>IF(F406="Private room",1,0)</f>
        <v>1</v>
      </c>
      <c r="P406">
        <f>IF(C406="Manhattan",4,IF(C406="Brooklyn",2,0))</f>
        <v>4</v>
      </c>
      <c r="Q406" s="2">
        <v>51</v>
      </c>
      <c r="R406" s="1">
        <v>45747</v>
      </c>
      <c r="S406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115.05000000000003</v>
      </c>
    </row>
    <row r="407" spans="1:19" x14ac:dyDescent="0.3">
      <c r="A407" t="s">
        <v>590</v>
      </c>
      <c r="B407" t="s">
        <v>32</v>
      </c>
      <c r="C407" t="s">
        <v>20</v>
      </c>
      <c r="D407">
        <v>40.814278000000002</v>
      </c>
      <c r="E407">
        <v>-73.960257999999996</v>
      </c>
      <c r="F407" t="s">
        <v>21</v>
      </c>
      <c r="G407">
        <v>8</v>
      </c>
      <c r="H407">
        <v>2</v>
      </c>
      <c r="I407">
        <v>4</v>
      </c>
      <c r="J407">
        <v>4</v>
      </c>
      <c r="K407">
        <v>30</v>
      </c>
      <c r="L407">
        <v>365</v>
      </c>
      <c r="M407">
        <v>4</v>
      </c>
      <c r="N407">
        <v>0.09</v>
      </c>
      <c r="O407">
        <f>IF(F407="Private room",1,0)</f>
        <v>0</v>
      </c>
      <c r="P407">
        <f>IF(C407="Manhattan",4,IF(C407="Brooklyn",2,0))</f>
        <v>4</v>
      </c>
      <c r="Q407" s="2">
        <v>245</v>
      </c>
      <c r="R407" s="1">
        <v>45718</v>
      </c>
      <c r="S407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275.21000000000004</v>
      </c>
    </row>
    <row r="408" spans="1:19" x14ac:dyDescent="0.3">
      <c r="A408" t="s">
        <v>591</v>
      </c>
      <c r="B408" t="s">
        <v>67</v>
      </c>
      <c r="C408" t="s">
        <v>17</v>
      </c>
      <c r="D408">
        <v>40.704120000000003</v>
      </c>
      <c r="E408">
        <v>-73.925309999999996</v>
      </c>
      <c r="F408" t="s">
        <v>18</v>
      </c>
      <c r="G408">
        <v>2</v>
      </c>
      <c r="H408">
        <v>1</v>
      </c>
      <c r="I408">
        <v>1</v>
      </c>
      <c r="J408">
        <v>1</v>
      </c>
      <c r="K408">
        <v>30</v>
      </c>
      <c r="L408">
        <v>156</v>
      </c>
      <c r="M408">
        <v>41</v>
      </c>
      <c r="N408">
        <v>0.92</v>
      </c>
      <c r="O408">
        <f>IF(F408="Private room",1,0)</f>
        <v>1</v>
      </c>
      <c r="P408">
        <f>IF(C408="Manhattan",4,IF(C408="Brooklyn",2,0))</f>
        <v>2</v>
      </c>
      <c r="Q408" s="2">
        <v>80</v>
      </c>
      <c r="R408" s="1">
        <v>45729</v>
      </c>
      <c r="S408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84.710000000000036</v>
      </c>
    </row>
    <row r="409" spans="1:19" x14ac:dyDescent="0.3">
      <c r="A409" t="s">
        <v>592</v>
      </c>
      <c r="B409" t="s">
        <v>95</v>
      </c>
      <c r="C409" t="s">
        <v>20</v>
      </c>
      <c r="D409" s="3" t="s">
        <v>593</v>
      </c>
      <c r="E409">
        <v>-73.974967956542898</v>
      </c>
      <c r="F409" t="s">
        <v>21</v>
      </c>
      <c r="G409">
        <v>2</v>
      </c>
      <c r="H409">
        <v>1</v>
      </c>
      <c r="I409">
        <v>0</v>
      </c>
      <c r="J409">
        <v>1</v>
      </c>
      <c r="K409">
        <v>30</v>
      </c>
      <c r="L409">
        <v>274</v>
      </c>
      <c r="M409">
        <v>7</v>
      </c>
      <c r="N409">
        <v>0.15</v>
      </c>
      <c r="O409">
        <f>IF(F409="Private room",1,0)</f>
        <v>0</v>
      </c>
      <c r="P409">
        <f>IF(C409="Manhattan",4,IF(C409="Brooklyn",2,0))</f>
        <v>4</v>
      </c>
      <c r="Q409" s="2">
        <v>132</v>
      </c>
      <c r="R409" s="1">
        <v>45747</v>
      </c>
      <c r="S409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153.75</v>
      </c>
    </row>
    <row r="410" spans="1:19" x14ac:dyDescent="0.3">
      <c r="A410" t="s">
        <v>595</v>
      </c>
      <c r="B410" t="s">
        <v>19</v>
      </c>
      <c r="C410" t="s">
        <v>20</v>
      </c>
      <c r="D410" s="3" t="s">
        <v>594</v>
      </c>
      <c r="E410">
        <v>-73.968910217285099</v>
      </c>
      <c r="F410" t="s">
        <v>21</v>
      </c>
      <c r="G410">
        <v>2</v>
      </c>
      <c r="H410">
        <v>1</v>
      </c>
      <c r="I410">
        <v>0</v>
      </c>
      <c r="J410">
        <v>1</v>
      </c>
      <c r="K410">
        <v>30</v>
      </c>
      <c r="L410">
        <v>327</v>
      </c>
      <c r="M410">
        <v>7</v>
      </c>
      <c r="N410">
        <v>0.25</v>
      </c>
      <c r="O410">
        <f>IF(F410="Private room",1,0)</f>
        <v>0</v>
      </c>
      <c r="P410">
        <f>IF(C410="Manhattan",4,IF(C410="Brooklyn",2,0))</f>
        <v>4</v>
      </c>
      <c r="Q410" s="2">
        <v>132</v>
      </c>
      <c r="R410" s="1">
        <v>45747</v>
      </c>
      <c r="S410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151.63000000000002</v>
      </c>
    </row>
    <row r="411" spans="1:19" x14ac:dyDescent="0.3">
      <c r="A411" t="s">
        <v>596</v>
      </c>
      <c r="B411" t="s">
        <v>80</v>
      </c>
      <c r="C411" t="s">
        <v>30</v>
      </c>
      <c r="D411">
        <v>40.734079999999999</v>
      </c>
      <c r="E411">
        <v>-73.857330000000005</v>
      </c>
      <c r="F411" t="s">
        <v>18</v>
      </c>
      <c r="G411">
        <v>1</v>
      </c>
      <c r="H411">
        <v>1</v>
      </c>
      <c r="I411">
        <v>1</v>
      </c>
      <c r="J411">
        <v>1</v>
      </c>
      <c r="K411">
        <v>30</v>
      </c>
      <c r="L411">
        <v>90</v>
      </c>
      <c r="M411">
        <v>24</v>
      </c>
      <c r="N411">
        <v>0.52</v>
      </c>
      <c r="O411">
        <f>IF(F411="Private room",1,0)</f>
        <v>1</v>
      </c>
      <c r="P411">
        <f>IF(C411="Manhattan",4,IF(C411="Brooklyn",2,0))</f>
        <v>0</v>
      </c>
      <c r="Q411" s="2">
        <v>79</v>
      </c>
      <c r="R411" s="1">
        <v>45737</v>
      </c>
      <c r="S411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37.910000000000011</v>
      </c>
    </row>
    <row r="412" spans="1:19" x14ac:dyDescent="0.3">
      <c r="A412" t="s">
        <v>597</v>
      </c>
      <c r="B412" t="s">
        <v>84</v>
      </c>
      <c r="C412" t="s">
        <v>17</v>
      </c>
      <c r="D412">
        <v>40.660040000000002</v>
      </c>
      <c r="E412">
        <v>-73.958340000000007</v>
      </c>
      <c r="F412" t="s">
        <v>18</v>
      </c>
      <c r="G412">
        <v>2</v>
      </c>
      <c r="H412">
        <v>1</v>
      </c>
      <c r="I412">
        <v>1</v>
      </c>
      <c r="J412">
        <v>2</v>
      </c>
      <c r="K412">
        <v>4</v>
      </c>
      <c r="L412">
        <v>190</v>
      </c>
      <c r="M412">
        <v>127</v>
      </c>
      <c r="N412">
        <v>2.7</v>
      </c>
      <c r="O412">
        <f>IF(F412="Private room",1,0)</f>
        <v>1</v>
      </c>
      <c r="P412">
        <f>IF(C412="Manhattan",4,IF(C412="Brooklyn",2,0))</f>
        <v>2</v>
      </c>
      <c r="Q412" s="2">
        <v>143</v>
      </c>
      <c r="R412" s="1">
        <v>45744</v>
      </c>
      <c r="S412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170.45000000000002</v>
      </c>
    </row>
    <row r="413" spans="1:19" x14ac:dyDescent="0.3">
      <c r="A413" t="s">
        <v>598</v>
      </c>
      <c r="B413" t="s">
        <v>23</v>
      </c>
      <c r="C413" t="s">
        <v>17</v>
      </c>
      <c r="D413">
        <v>40.718589999999999</v>
      </c>
      <c r="E413">
        <v>-73.950890000000001</v>
      </c>
      <c r="F413" t="s">
        <v>18</v>
      </c>
      <c r="G413">
        <v>1</v>
      </c>
      <c r="H413">
        <v>1</v>
      </c>
      <c r="I413">
        <v>1</v>
      </c>
      <c r="J413">
        <v>1</v>
      </c>
      <c r="K413">
        <v>30</v>
      </c>
      <c r="L413">
        <v>257</v>
      </c>
      <c r="M413">
        <v>5</v>
      </c>
      <c r="N413">
        <v>0.11</v>
      </c>
      <c r="O413">
        <f>IF(F413="Private room",1,0)</f>
        <v>1</v>
      </c>
      <c r="P413">
        <f>IF(C413="Manhattan",4,IF(C413="Brooklyn",2,0))</f>
        <v>2</v>
      </c>
      <c r="Q413" s="2">
        <v>76</v>
      </c>
      <c r="R413" s="1">
        <v>45746</v>
      </c>
      <c r="S413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61.690000000000005</v>
      </c>
    </row>
    <row r="414" spans="1:19" x14ac:dyDescent="0.3">
      <c r="A414" t="s">
        <v>599</v>
      </c>
      <c r="B414" t="s">
        <v>51</v>
      </c>
      <c r="C414" t="s">
        <v>17</v>
      </c>
      <c r="D414">
        <v>40.679139999999997</v>
      </c>
      <c r="E414">
        <v>-73.998890000000003</v>
      </c>
      <c r="F414" t="s">
        <v>21</v>
      </c>
      <c r="G414">
        <v>3</v>
      </c>
      <c r="H414">
        <v>1</v>
      </c>
      <c r="I414">
        <v>1</v>
      </c>
      <c r="J414">
        <v>1</v>
      </c>
      <c r="K414">
        <v>30</v>
      </c>
      <c r="L414">
        <v>58</v>
      </c>
      <c r="M414">
        <v>23</v>
      </c>
      <c r="N414">
        <v>0.51</v>
      </c>
      <c r="O414">
        <f>IF(F414="Private room",1,0)</f>
        <v>0</v>
      </c>
      <c r="P414">
        <f>IF(C414="Manhattan",4,IF(C414="Brooklyn",2,0))</f>
        <v>2</v>
      </c>
      <c r="Q414" s="2">
        <v>185</v>
      </c>
      <c r="R414" s="1">
        <v>45724</v>
      </c>
      <c r="S414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150.91000000000003</v>
      </c>
    </row>
    <row r="415" spans="1:19" x14ac:dyDescent="0.3">
      <c r="A415" t="s">
        <v>600</v>
      </c>
      <c r="B415" t="s">
        <v>38</v>
      </c>
      <c r="C415" t="s">
        <v>20</v>
      </c>
      <c r="D415">
        <v>40.754739999999998</v>
      </c>
      <c r="E415">
        <v>-73.99436</v>
      </c>
      <c r="F415" t="s">
        <v>18</v>
      </c>
      <c r="G415">
        <v>4</v>
      </c>
      <c r="H415">
        <v>1</v>
      </c>
      <c r="I415">
        <v>0</v>
      </c>
      <c r="J415">
        <v>2</v>
      </c>
      <c r="K415">
        <v>1</v>
      </c>
      <c r="L415">
        <v>39</v>
      </c>
      <c r="M415">
        <v>43</v>
      </c>
      <c r="N415">
        <v>0.91</v>
      </c>
      <c r="O415">
        <f>IF(F415="Private room",1,0)</f>
        <v>1</v>
      </c>
      <c r="P415">
        <f>IF(C415="Manhattan",4,IF(C415="Brooklyn",2,0))</f>
        <v>4</v>
      </c>
      <c r="Q415" s="2">
        <v>332</v>
      </c>
      <c r="R415" s="1">
        <v>45736</v>
      </c>
      <c r="S415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254.96000000000004</v>
      </c>
    </row>
    <row r="416" spans="1:19" x14ac:dyDescent="0.3">
      <c r="A416" t="s">
        <v>601</v>
      </c>
      <c r="B416" t="s">
        <v>36</v>
      </c>
      <c r="C416" t="s">
        <v>20</v>
      </c>
      <c r="D416" s="3" t="s">
        <v>602</v>
      </c>
      <c r="E416">
        <v>-73.949295043945298</v>
      </c>
      <c r="F416" t="s">
        <v>21</v>
      </c>
      <c r="G416">
        <v>2</v>
      </c>
      <c r="H416">
        <v>1</v>
      </c>
      <c r="I416">
        <v>1</v>
      </c>
      <c r="J416">
        <v>1</v>
      </c>
      <c r="K416">
        <v>30</v>
      </c>
      <c r="L416">
        <v>320</v>
      </c>
      <c r="M416">
        <v>11</v>
      </c>
      <c r="N416">
        <v>0.27</v>
      </c>
      <c r="O416">
        <f>IF(F416="Private room",1,0)</f>
        <v>0</v>
      </c>
      <c r="P416">
        <f>IF(C416="Manhattan",4,IF(C416="Brooklyn",2,0))</f>
        <v>4</v>
      </c>
      <c r="Q416" s="2">
        <v>106</v>
      </c>
      <c r="R416" s="1">
        <v>45730</v>
      </c>
      <c r="S416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151.91000000000003</v>
      </c>
    </row>
    <row r="417" spans="1:19" x14ac:dyDescent="0.3">
      <c r="A417" t="s">
        <v>603</v>
      </c>
      <c r="B417" t="s">
        <v>42</v>
      </c>
      <c r="C417" t="s">
        <v>17</v>
      </c>
      <c r="D417">
        <v>40.734090000000002</v>
      </c>
      <c r="E417">
        <v>-73.957909999999998</v>
      </c>
      <c r="F417" t="s">
        <v>21</v>
      </c>
      <c r="G417">
        <v>2</v>
      </c>
      <c r="H417">
        <v>1</v>
      </c>
      <c r="I417">
        <v>1</v>
      </c>
      <c r="J417">
        <v>1</v>
      </c>
      <c r="K417">
        <v>30</v>
      </c>
      <c r="L417">
        <v>166</v>
      </c>
      <c r="M417">
        <v>11</v>
      </c>
      <c r="N417">
        <v>0.24</v>
      </c>
      <c r="O417">
        <f>IF(F417="Private room",1,0)</f>
        <v>0</v>
      </c>
      <c r="P417">
        <f>IF(C417="Manhattan",4,IF(C417="Brooklyn",2,0))</f>
        <v>2</v>
      </c>
      <c r="Q417" s="2">
        <v>198</v>
      </c>
      <c r="R417" s="1">
        <v>45719</v>
      </c>
      <c r="S417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127.61000000000001</v>
      </c>
    </row>
    <row r="418" spans="1:19" x14ac:dyDescent="0.3">
      <c r="A418" t="s">
        <v>604</v>
      </c>
      <c r="B418" t="s">
        <v>84</v>
      </c>
      <c r="C418" t="s">
        <v>17</v>
      </c>
      <c r="D418">
        <v>40.656869999999998</v>
      </c>
      <c r="E418">
        <v>-73.95626</v>
      </c>
      <c r="F418" t="s">
        <v>18</v>
      </c>
      <c r="G418">
        <v>1</v>
      </c>
      <c r="H418">
        <v>1</v>
      </c>
      <c r="I418">
        <v>1</v>
      </c>
      <c r="J418">
        <v>1</v>
      </c>
      <c r="K418">
        <v>30</v>
      </c>
      <c r="L418">
        <v>58</v>
      </c>
      <c r="M418">
        <v>56</v>
      </c>
      <c r="N418">
        <v>1.23</v>
      </c>
      <c r="O418">
        <f>IF(F418="Private room",1,0)</f>
        <v>1</v>
      </c>
      <c r="P418">
        <f>IF(C418="Manhattan",4,IF(C418="Brooklyn",2,0))</f>
        <v>2</v>
      </c>
      <c r="Q418" s="2">
        <v>81</v>
      </c>
      <c r="R418" s="1">
        <v>45725</v>
      </c>
      <c r="S418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69.650000000000006</v>
      </c>
    </row>
    <row r="419" spans="1:19" x14ac:dyDescent="0.3">
      <c r="A419" t="s">
        <v>605</v>
      </c>
      <c r="B419" t="s">
        <v>27</v>
      </c>
      <c r="C419" t="s">
        <v>17</v>
      </c>
      <c r="D419">
        <v>40.687559999999998</v>
      </c>
      <c r="E419">
        <v>-73.923379999999995</v>
      </c>
      <c r="F419" t="s">
        <v>18</v>
      </c>
      <c r="G419">
        <v>2</v>
      </c>
      <c r="H419">
        <v>1</v>
      </c>
      <c r="I419">
        <v>1</v>
      </c>
      <c r="J419">
        <v>1</v>
      </c>
      <c r="K419">
        <v>2</v>
      </c>
      <c r="L419">
        <v>158</v>
      </c>
      <c r="M419">
        <v>118</v>
      </c>
      <c r="N419">
        <v>2.5299999999999998</v>
      </c>
      <c r="O419">
        <f>IF(F419="Private room",1,0)</f>
        <v>1</v>
      </c>
      <c r="P419">
        <f>IF(C419="Manhattan",4,IF(C419="Brooklyn",2,0))</f>
        <v>2</v>
      </c>
      <c r="Q419" s="2">
        <v>87</v>
      </c>
      <c r="R419" s="1">
        <v>45730</v>
      </c>
      <c r="S419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178.43000000000004</v>
      </c>
    </row>
    <row r="420" spans="1:19" x14ac:dyDescent="0.3">
      <c r="A420" t="s">
        <v>606</v>
      </c>
      <c r="B420" t="s">
        <v>60</v>
      </c>
      <c r="C420" t="s">
        <v>17</v>
      </c>
      <c r="D420">
        <v>40.65222</v>
      </c>
      <c r="E420">
        <v>-73.946420000000003</v>
      </c>
      <c r="F420" t="s">
        <v>18</v>
      </c>
      <c r="G420">
        <v>2</v>
      </c>
      <c r="H420">
        <v>1</v>
      </c>
      <c r="I420">
        <v>2</v>
      </c>
      <c r="J420">
        <v>3</v>
      </c>
      <c r="K420">
        <v>3</v>
      </c>
      <c r="L420">
        <v>318</v>
      </c>
      <c r="M420">
        <v>116</v>
      </c>
      <c r="N420">
        <v>2.66</v>
      </c>
      <c r="O420">
        <f>IF(F420="Private room",1,0)</f>
        <v>1</v>
      </c>
      <c r="P420">
        <f>IF(C420="Manhattan",4,IF(C420="Brooklyn",2,0))</f>
        <v>2</v>
      </c>
      <c r="Q420" s="2">
        <v>146</v>
      </c>
      <c r="R420" s="1">
        <v>45739</v>
      </c>
      <c r="S420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168.68000000000004</v>
      </c>
    </row>
    <row r="421" spans="1:19" x14ac:dyDescent="0.3">
      <c r="A421" t="s">
        <v>607</v>
      </c>
      <c r="B421" t="s">
        <v>57</v>
      </c>
      <c r="C421" t="s">
        <v>20</v>
      </c>
      <c r="D421">
        <v>40.722999999999999</v>
      </c>
      <c r="E421">
        <v>-73.993579999999994</v>
      </c>
      <c r="F421" t="s">
        <v>21</v>
      </c>
      <c r="G421">
        <v>2</v>
      </c>
      <c r="H421">
        <v>1</v>
      </c>
      <c r="I421">
        <v>1</v>
      </c>
      <c r="J421">
        <v>1</v>
      </c>
      <c r="K421">
        <v>1</v>
      </c>
      <c r="L421">
        <v>262</v>
      </c>
      <c r="M421">
        <v>135</v>
      </c>
      <c r="N421">
        <v>2.94</v>
      </c>
      <c r="O421">
        <f>IF(F421="Private room",1,0)</f>
        <v>0</v>
      </c>
      <c r="P421">
        <f>IF(C421="Manhattan",4,IF(C421="Brooklyn",2,0))</f>
        <v>4</v>
      </c>
      <c r="Q421" s="2">
        <v>417</v>
      </c>
      <c r="R421" s="1">
        <v>45739</v>
      </c>
      <c r="S421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251.38000000000005</v>
      </c>
    </row>
    <row r="422" spans="1:19" x14ac:dyDescent="0.3">
      <c r="A422" t="s">
        <v>608</v>
      </c>
      <c r="B422" t="s">
        <v>28</v>
      </c>
      <c r="C422" t="s">
        <v>20</v>
      </c>
      <c r="D422">
        <v>40.824170000000002</v>
      </c>
      <c r="E422">
        <v>-73.947860000000006</v>
      </c>
      <c r="F422" t="s">
        <v>18</v>
      </c>
      <c r="G422">
        <v>2</v>
      </c>
      <c r="H422">
        <v>1</v>
      </c>
      <c r="I422">
        <v>1</v>
      </c>
      <c r="J422">
        <v>1</v>
      </c>
      <c r="K422">
        <v>30</v>
      </c>
      <c r="L422">
        <v>107</v>
      </c>
      <c r="M422">
        <v>46</v>
      </c>
      <c r="N422">
        <v>1.01</v>
      </c>
      <c r="O422">
        <f>IF(F422="Private room",1,0)</f>
        <v>1</v>
      </c>
      <c r="P422">
        <f>IF(C422="Manhattan",4,IF(C422="Brooklyn",2,0))</f>
        <v>4</v>
      </c>
      <c r="Q422" s="2">
        <v>97</v>
      </c>
      <c r="R422" s="1">
        <v>45719</v>
      </c>
      <c r="S422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117.13000000000002</v>
      </c>
    </row>
    <row r="423" spans="1:19" x14ac:dyDescent="0.3">
      <c r="A423" t="s">
        <v>609</v>
      </c>
      <c r="B423" t="s">
        <v>43</v>
      </c>
      <c r="C423" t="s">
        <v>20</v>
      </c>
      <c r="D423">
        <v>40.720930000000003</v>
      </c>
      <c r="E423">
        <v>-73.990939999999995</v>
      </c>
      <c r="F423" t="s">
        <v>21</v>
      </c>
      <c r="G423">
        <v>2</v>
      </c>
      <c r="H423">
        <v>1</v>
      </c>
      <c r="I423">
        <v>1</v>
      </c>
      <c r="J423">
        <v>1</v>
      </c>
      <c r="K423">
        <v>30</v>
      </c>
      <c r="L423">
        <v>250</v>
      </c>
      <c r="M423">
        <v>15</v>
      </c>
      <c r="N423">
        <v>0.33</v>
      </c>
      <c r="O423">
        <f>IF(F423="Private room",1,0)</f>
        <v>0</v>
      </c>
      <c r="P423">
        <f>IF(C423="Manhattan",4,IF(C423="Brooklyn",2,0))</f>
        <v>4</v>
      </c>
      <c r="Q423" s="2">
        <v>133</v>
      </c>
      <c r="R423" s="1">
        <v>45731</v>
      </c>
      <c r="S423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154.71000000000004</v>
      </c>
    </row>
    <row r="424" spans="1:19" x14ac:dyDescent="0.3">
      <c r="A424" t="s">
        <v>610</v>
      </c>
      <c r="B424" t="s">
        <v>45</v>
      </c>
      <c r="C424" t="s">
        <v>20</v>
      </c>
      <c r="D424">
        <v>40.749870000000001</v>
      </c>
      <c r="E424">
        <v>-73.997159999999994</v>
      </c>
      <c r="F424" t="s">
        <v>21</v>
      </c>
      <c r="G424">
        <v>2</v>
      </c>
      <c r="H424">
        <v>1</v>
      </c>
      <c r="I424">
        <v>1</v>
      </c>
      <c r="J424">
        <v>2</v>
      </c>
      <c r="K424">
        <v>1</v>
      </c>
      <c r="L424">
        <v>64</v>
      </c>
      <c r="M424">
        <v>158</v>
      </c>
      <c r="N424">
        <v>3.44</v>
      </c>
      <c r="O424">
        <f>IF(F424="Private room",1,0)</f>
        <v>0</v>
      </c>
      <c r="P424">
        <f>IF(C424="Manhattan",4,IF(C424="Brooklyn",2,0))</f>
        <v>4</v>
      </c>
      <c r="Q424" s="2">
        <v>125</v>
      </c>
      <c r="R424" s="1">
        <v>45744</v>
      </c>
      <c r="S424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259.3</v>
      </c>
    </row>
    <row r="425" spans="1:19" x14ac:dyDescent="0.3">
      <c r="A425" t="s">
        <v>611</v>
      </c>
      <c r="B425" t="s">
        <v>28</v>
      </c>
      <c r="C425" t="s">
        <v>20</v>
      </c>
      <c r="D425">
        <v>40.807879999999997</v>
      </c>
      <c r="E425">
        <v>-73.951480000000004</v>
      </c>
      <c r="F425" t="s">
        <v>21</v>
      </c>
      <c r="G425">
        <v>2</v>
      </c>
      <c r="H425">
        <v>1</v>
      </c>
      <c r="I425">
        <v>1</v>
      </c>
      <c r="J425">
        <v>1</v>
      </c>
      <c r="K425">
        <v>4</v>
      </c>
      <c r="L425">
        <v>33</v>
      </c>
      <c r="M425">
        <v>24</v>
      </c>
      <c r="N425">
        <v>0.69</v>
      </c>
      <c r="O425">
        <f>IF(F425="Private room",1,0)</f>
        <v>0</v>
      </c>
      <c r="P425">
        <f>IF(C425="Manhattan",4,IF(C425="Brooklyn",2,0))</f>
        <v>4</v>
      </c>
      <c r="Q425" s="2">
        <v>179</v>
      </c>
      <c r="R425" s="1">
        <v>45744</v>
      </c>
      <c r="S425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250.49</v>
      </c>
    </row>
    <row r="426" spans="1:19" x14ac:dyDescent="0.3">
      <c r="A426" t="s">
        <v>612</v>
      </c>
      <c r="B426" t="s">
        <v>28</v>
      </c>
      <c r="C426" t="s">
        <v>20</v>
      </c>
      <c r="D426">
        <v>40.807540000000003</v>
      </c>
      <c r="E426">
        <v>-73.951099999999997</v>
      </c>
      <c r="F426" t="s">
        <v>18</v>
      </c>
      <c r="G426">
        <v>2</v>
      </c>
      <c r="H426">
        <v>1</v>
      </c>
      <c r="I426">
        <v>1</v>
      </c>
      <c r="J426">
        <v>1</v>
      </c>
      <c r="K426">
        <v>3</v>
      </c>
      <c r="L426">
        <v>33</v>
      </c>
      <c r="M426">
        <v>23</v>
      </c>
      <c r="N426">
        <v>0.5</v>
      </c>
      <c r="O426">
        <f>IF(F426="Private room",1,0)</f>
        <v>1</v>
      </c>
      <c r="P426">
        <f>IF(C426="Manhattan",4,IF(C426="Brooklyn",2,0))</f>
        <v>4</v>
      </c>
      <c r="Q426" s="2">
        <v>118</v>
      </c>
      <c r="R426" s="1">
        <v>45718</v>
      </c>
      <c r="S426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210.54000000000002</v>
      </c>
    </row>
    <row r="427" spans="1:19" x14ac:dyDescent="0.3">
      <c r="A427" t="s">
        <v>613</v>
      </c>
      <c r="B427" t="s">
        <v>71</v>
      </c>
      <c r="C427" t="s">
        <v>31</v>
      </c>
      <c r="D427">
        <v>40.882040000000003</v>
      </c>
      <c r="E427">
        <v>-73.904790000000006</v>
      </c>
      <c r="F427" t="s">
        <v>21</v>
      </c>
      <c r="G427">
        <v>4</v>
      </c>
      <c r="H427">
        <v>1</v>
      </c>
      <c r="I427">
        <v>1</v>
      </c>
      <c r="J427">
        <v>5</v>
      </c>
      <c r="K427">
        <v>30</v>
      </c>
      <c r="L427">
        <v>164</v>
      </c>
      <c r="M427">
        <v>50</v>
      </c>
      <c r="N427">
        <v>1.1200000000000001</v>
      </c>
      <c r="O427">
        <f>IF(F427="Private room",1,0)</f>
        <v>0</v>
      </c>
      <c r="P427">
        <f>IF(C427="Manhattan",4,IF(C427="Brooklyn",2,0))</f>
        <v>0</v>
      </c>
      <c r="Q427" s="2">
        <v>81</v>
      </c>
      <c r="R427" s="1">
        <v>45730</v>
      </c>
      <c r="S427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135.19000000000003</v>
      </c>
    </row>
    <row r="428" spans="1:19" x14ac:dyDescent="0.3">
      <c r="A428" t="s">
        <v>614</v>
      </c>
      <c r="B428" t="s">
        <v>62</v>
      </c>
      <c r="C428" t="s">
        <v>20</v>
      </c>
      <c r="D428">
        <v>40.71575</v>
      </c>
      <c r="E428">
        <v>-73.990650000000002</v>
      </c>
      <c r="F428" t="s">
        <v>21</v>
      </c>
      <c r="G428">
        <v>4</v>
      </c>
      <c r="H428">
        <v>1</v>
      </c>
      <c r="I428">
        <v>1</v>
      </c>
      <c r="J428">
        <v>1</v>
      </c>
      <c r="K428">
        <v>30</v>
      </c>
      <c r="L428">
        <v>218</v>
      </c>
      <c r="M428">
        <v>157</v>
      </c>
      <c r="N428">
        <v>3.45</v>
      </c>
      <c r="O428">
        <f>IF(F428="Private room",1,0)</f>
        <v>0</v>
      </c>
      <c r="P428">
        <f>IF(C428="Manhattan",4,IF(C428="Brooklyn",2,0))</f>
        <v>4</v>
      </c>
      <c r="Q428" s="2">
        <v>161</v>
      </c>
      <c r="R428" s="1">
        <v>45744</v>
      </c>
      <c r="S428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193.95000000000005</v>
      </c>
    </row>
    <row r="429" spans="1:19" x14ac:dyDescent="0.3">
      <c r="A429" t="s">
        <v>615</v>
      </c>
      <c r="B429" t="s">
        <v>36</v>
      </c>
      <c r="C429" t="s">
        <v>20</v>
      </c>
      <c r="D429">
        <v>40.771984100341797</v>
      </c>
      <c r="E429">
        <v>-73.954513549804602</v>
      </c>
      <c r="F429" t="s">
        <v>21</v>
      </c>
      <c r="G429">
        <v>2</v>
      </c>
      <c r="H429">
        <v>1</v>
      </c>
      <c r="I429">
        <v>1</v>
      </c>
      <c r="J429">
        <v>1</v>
      </c>
      <c r="K429">
        <v>30</v>
      </c>
      <c r="L429">
        <v>336</v>
      </c>
      <c r="M429">
        <v>10</v>
      </c>
      <c r="N429">
        <v>0.22</v>
      </c>
      <c r="O429">
        <f>IF(F429="Private room",1,0)</f>
        <v>0</v>
      </c>
      <c r="P429">
        <f>IF(C429="Manhattan",4,IF(C429="Brooklyn",2,0))</f>
        <v>4</v>
      </c>
      <c r="Q429" s="2">
        <v>118</v>
      </c>
      <c r="R429" s="1">
        <v>45747</v>
      </c>
      <c r="S429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151.27000000000004</v>
      </c>
    </row>
    <row r="430" spans="1:19" x14ac:dyDescent="0.3">
      <c r="A430" t="s">
        <v>616</v>
      </c>
      <c r="B430" t="s">
        <v>57</v>
      </c>
      <c r="C430" t="s">
        <v>20</v>
      </c>
      <c r="D430">
        <v>40.720109999999998</v>
      </c>
      <c r="E430">
        <v>-73.994399999999999</v>
      </c>
      <c r="F430" t="s">
        <v>21</v>
      </c>
      <c r="G430">
        <v>2</v>
      </c>
      <c r="H430">
        <v>1</v>
      </c>
      <c r="I430">
        <v>0</v>
      </c>
      <c r="J430">
        <v>1</v>
      </c>
      <c r="K430">
        <v>30</v>
      </c>
      <c r="L430">
        <v>303</v>
      </c>
      <c r="M430">
        <v>7</v>
      </c>
      <c r="N430">
        <v>0.17</v>
      </c>
      <c r="O430">
        <f>IF(F430="Private room",1,0)</f>
        <v>0</v>
      </c>
      <c r="P430">
        <f>IF(C430="Manhattan",4,IF(C430="Brooklyn",2,0))</f>
        <v>4</v>
      </c>
      <c r="Q430" s="2">
        <v>183</v>
      </c>
      <c r="R430" s="1">
        <v>45724</v>
      </c>
      <c r="S430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152.59000000000003</v>
      </c>
    </row>
    <row r="431" spans="1:19" x14ac:dyDescent="0.3">
      <c r="A431" t="s">
        <v>617</v>
      </c>
      <c r="B431" t="s">
        <v>122</v>
      </c>
      <c r="C431" t="s">
        <v>17</v>
      </c>
      <c r="D431">
        <v>40.636769999999999</v>
      </c>
      <c r="E431">
        <v>-74.023790000000005</v>
      </c>
      <c r="F431" t="s">
        <v>18</v>
      </c>
      <c r="G431">
        <v>2</v>
      </c>
      <c r="H431">
        <v>1</v>
      </c>
      <c r="I431">
        <v>1</v>
      </c>
      <c r="J431">
        <v>1</v>
      </c>
      <c r="K431">
        <v>30</v>
      </c>
      <c r="L431">
        <v>365</v>
      </c>
      <c r="M431">
        <v>11</v>
      </c>
      <c r="N431">
        <v>0.25</v>
      </c>
      <c r="O431">
        <f>IF(F431="Private room",1,0)</f>
        <v>1</v>
      </c>
      <c r="P431">
        <f>IF(C431="Manhattan",4,IF(C431="Brooklyn",2,0))</f>
        <v>2</v>
      </c>
      <c r="Q431" s="2">
        <v>65</v>
      </c>
      <c r="R431" s="1">
        <v>45733</v>
      </c>
      <c r="S431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76.350000000000023</v>
      </c>
    </row>
    <row r="432" spans="1:19" x14ac:dyDescent="0.3">
      <c r="A432" t="s">
        <v>618</v>
      </c>
      <c r="B432" t="s">
        <v>38</v>
      </c>
      <c r="C432" t="s">
        <v>20</v>
      </c>
      <c r="D432">
        <v>40.765300000000003</v>
      </c>
      <c r="E432">
        <v>-73.988529999999997</v>
      </c>
      <c r="F432" t="s">
        <v>21</v>
      </c>
      <c r="G432">
        <v>4</v>
      </c>
      <c r="H432">
        <v>1</v>
      </c>
      <c r="I432">
        <v>2</v>
      </c>
      <c r="J432">
        <v>2</v>
      </c>
      <c r="K432">
        <v>30</v>
      </c>
      <c r="L432">
        <v>265</v>
      </c>
      <c r="M432">
        <v>6</v>
      </c>
      <c r="N432">
        <v>0.22</v>
      </c>
      <c r="O432">
        <f>IF(F432="Private room",1,0)</f>
        <v>0</v>
      </c>
      <c r="P432">
        <f>IF(C432="Manhattan",4,IF(C432="Brooklyn",2,0))</f>
        <v>4</v>
      </c>
      <c r="Q432" s="2">
        <v>200</v>
      </c>
      <c r="R432" s="1">
        <v>45732</v>
      </c>
      <c r="S432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192.07000000000005</v>
      </c>
    </row>
    <row r="433" spans="1:19" x14ac:dyDescent="0.3">
      <c r="A433" t="s">
        <v>619</v>
      </c>
      <c r="B433" t="s">
        <v>56</v>
      </c>
      <c r="C433" t="s">
        <v>17</v>
      </c>
      <c r="D433">
        <v>40.671619999999997</v>
      </c>
      <c r="E433">
        <v>-73.945279999999997</v>
      </c>
      <c r="F433" t="s">
        <v>21</v>
      </c>
      <c r="G433">
        <v>2</v>
      </c>
      <c r="H433">
        <v>1</v>
      </c>
      <c r="I433">
        <v>2</v>
      </c>
      <c r="J433">
        <v>1</v>
      </c>
      <c r="K433">
        <v>30</v>
      </c>
      <c r="L433">
        <v>293</v>
      </c>
      <c r="M433">
        <v>84</v>
      </c>
      <c r="N433">
        <v>1.86</v>
      </c>
      <c r="O433">
        <f>IF(F433="Private room",1,0)</f>
        <v>0</v>
      </c>
      <c r="P433">
        <f>IF(C433="Manhattan",4,IF(C433="Brooklyn",2,0))</f>
        <v>2</v>
      </c>
      <c r="Q433" s="2">
        <v>90</v>
      </c>
      <c r="R433" s="1">
        <v>45739</v>
      </c>
      <c r="S433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122.53000000000003</v>
      </c>
    </row>
    <row r="434" spans="1:19" x14ac:dyDescent="0.3">
      <c r="A434" t="s">
        <v>620</v>
      </c>
      <c r="B434" t="s">
        <v>67</v>
      </c>
      <c r="C434" t="s">
        <v>17</v>
      </c>
      <c r="D434">
        <v>40.699089999999998</v>
      </c>
      <c r="E434">
        <v>-73.93535</v>
      </c>
      <c r="F434" t="s">
        <v>21</v>
      </c>
      <c r="G434">
        <v>3</v>
      </c>
      <c r="H434">
        <v>1</v>
      </c>
      <c r="I434">
        <v>0</v>
      </c>
      <c r="J434">
        <v>2</v>
      </c>
      <c r="K434">
        <v>30</v>
      </c>
      <c r="L434">
        <v>250</v>
      </c>
      <c r="M434">
        <v>15</v>
      </c>
      <c r="N434">
        <v>0.34</v>
      </c>
      <c r="O434">
        <f>IF(F434="Private room",1,0)</f>
        <v>0</v>
      </c>
      <c r="P434">
        <f>IF(C434="Manhattan",4,IF(C434="Brooklyn",2,0))</f>
        <v>2</v>
      </c>
      <c r="Q434" s="2">
        <v>120</v>
      </c>
      <c r="R434" s="1">
        <v>45732</v>
      </c>
      <c r="S434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143.23000000000002</v>
      </c>
    </row>
    <row r="435" spans="1:19" x14ac:dyDescent="0.3">
      <c r="A435" t="s">
        <v>621</v>
      </c>
      <c r="B435" t="s">
        <v>28</v>
      </c>
      <c r="C435" t="s">
        <v>20</v>
      </c>
      <c r="D435">
        <v>40.814570000000003</v>
      </c>
      <c r="E435">
        <v>-73.940920000000006</v>
      </c>
      <c r="F435" t="s">
        <v>21</v>
      </c>
      <c r="G435">
        <v>3</v>
      </c>
      <c r="H435">
        <v>1</v>
      </c>
      <c r="I435">
        <v>0</v>
      </c>
      <c r="J435">
        <v>2</v>
      </c>
      <c r="K435">
        <v>4</v>
      </c>
      <c r="L435">
        <v>283</v>
      </c>
      <c r="M435">
        <v>48</v>
      </c>
      <c r="N435">
        <v>1.38</v>
      </c>
      <c r="O435">
        <f>IF(F435="Private room",1,0)</f>
        <v>0</v>
      </c>
      <c r="P435">
        <f>IF(C435="Manhattan",4,IF(C435="Brooklyn",2,0))</f>
        <v>4</v>
      </c>
      <c r="Q435" s="2">
        <v>149</v>
      </c>
      <c r="R435" s="1">
        <v>45732</v>
      </c>
      <c r="S435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259.47000000000003</v>
      </c>
    </row>
    <row r="436" spans="1:19" x14ac:dyDescent="0.3">
      <c r="A436" t="s">
        <v>622</v>
      </c>
      <c r="B436" t="s">
        <v>24</v>
      </c>
      <c r="C436" t="s">
        <v>20</v>
      </c>
      <c r="D436">
        <v>40.797550000000001</v>
      </c>
      <c r="E436">
        <v>-73.933530000000005</v>
      </c>
      <c r="F436" t="s">
        <v>21</v>
      </c>
      <c r="G436">
        <v>3</v>
      </c>
      <c r="H436">
        <v>1</v>
      </c>
      <c r="I436">
        <v>1</v>
      </c>
      <c r="J436">
        <v>1</v>
      </c>
      <c r="K436">
        <v>30</v>
      </c>
      <c r="L436">
        <v>279</v>
      </c>
      <c r="M436">
        <v>10</v>
      </c>
      <c r="N436">
        <v>0.23</v>
      </c>
      <c r="O436">
        <f>IF(F436="Private room",1,0)</f>
        <v>0</v>
      </c>
      <c r="P436">
        <f>IF(C436="Manhattan",4,IF(C436="Brooklyn",2,0))</f>
        <v>4</v>
      </c>
      <c r="Q436" s="2">
        <v>108</v>
      </c>
      <c r="R436" s="1">
        <v>45734</v>
      </c>
      <c r="S436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172.53000000000003</v>
      </c>
    </row>
    <row r="437" spans="1:19" x14ac:dyDescent="0.3">
      <c r="A437" t="s">
        <v>623</v>
      </c>
      <c r="B437" t="s">
        <v>379</v>
      </c>
      <c r="C437" t="s">
        <v>17</v>
      </c>
      <c r="D437">
        <v>40.609969999999997</v>
      </c>
      <c r="E437">
        <v>-73.922479999999993</v>
      </c>
      <c r="F437" t="s">
        <v>21</v>
      </c>
      <c r="G437">
        <v>4</v>
      </c>
      <c r="H437">
        <v>1</v>
      </c>
      <c r="I437">
        <v>2</v>
      </c>
      <c r="J437">
        <v>3</v>
      </c>
      <c r="K437">
        <v>30</v>
      </c>
      <c r="L437">
        <v>347</v>
      </c>
      <c r="M437">
        <v>41</v>
      </c>
      <c r="N437">
        <v>0.93</v>
      </c>
      <c r="O437">
        <f>IF(F437="Private room",1,0)</f>
        <v>0</v>
      </c>
      <c r="P437">
        <f>IF(C437="Manhattan",4,IF(C437="Brooklyn",2,0))</f>
        <v>2</v>
      </c>
      <c r="Q437" s="2">
        <v>118</v>
      </c>
      <c r="R437" s="1">
        <v>45724</v>
      </c>
      <c r="S437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158.33000000000004</v>
      </c>
    </row>
    <row r="438" spans="1:19" x14ac:dyDescent="0.3">
      <c r="A438" t="s">
        <v>624</v>
      </c>
      <c r="B438" t="s">
        <v>113</v>
      </c>
      <c r="C438" t="s">
        <v>30</v>
      </c>
      <c r="D438">
        <v>40.76155</v>
      </c>
      <c r="E438">
        <v>-73.819649999999996</v>
      </c>
      <c r="F438" t="s">
        <v>21</v>
      </c>
      <c r="G438">
        <v>4</v>
      </c>
      <c r="H438">
        <v>2</v>
      </c>
      <c r="I438">
        <v>2</v>
      </c>
      <c r="J438">
        <v>3</v>
      </c>
      <c r="K438">
        <v>30</v>
      </c>
      <c r="L438">
        <v>124</v>
      </c>
      <c r="M438">
        <v>63</v>
      </c>
      <c r="N438">
        <v>1.42</v>
      </c>
      <c r="O438">
        <f>IF(F438="Private room",1,0)</f>
        <v>0</v>
      </c>
      <c r="P438">
        <f>IF(C438="Manhattan",4,IF(C438="Brooklyn",2,0))</f>
        <v>0</v>
      </c>
      <c r="Q438" s="2">
        <v>124</v>
      </c>
      <c r="R438" s="1">
        <v>45723</v>
      </c>
      <c r="S438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148.01000000000002</v>
      </c>
    </row>
    <row r="439" spans="1:19" x14ac:dyDescent="0.3">
      <c r="A439" t="s">
        <v>625</v>
      </c>
      <c r="B439" t="s">
        <v>43</v>
      </c>
      <c r="C439" t="s">
        <v>20</v>
      </c>
      <c r="D439">
        <v>40.720759999999999</v>
      </c>
      <c r="E439">
        <v>-73.991320000000002</v>
      </c>
      <c r="F439" t="s">
        <v>21</v>
      </c>
      <c r="G439">
        <v>2</v>
      </c>
      <c r="H439">
        <v>1</v>
      </c>
      <c r="I439">
        <v>1</v>
      </c>
      <c r="J439">
        <v>1</v>
      </c>
      <c r="K439">
        <v>1</v>
      </c>
      <c r="L439">
        <v>336</v>
      </c>
      <c r="M439">
        <v>121</v>
      </c>
      <c r="N439">
        <v>2.79</v>
      </c>
      <c r="O439">
        <f>IF(F439="Private room",1,0)</f>
        <v>0</v>
      </c>
      <c r="P439">
        <f>IF(C439="Manhattan",4,IF(C439="Brooklyn",2,0))</f>
        <v>4</v>
      </c>
      <c r="Q439" s="2">
        <v>310</v>
      </c>
      <c r="R439" s="1">
        <v>45740</v>
      </c>
      <c r="S439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248.42000000000002</v>
      </c>
    </row>
    <row r="440" spans="1:19" x14ac:dyDescent="0.3">
      <c r="A440" t="s">
        <v>626</v>
      </c>
      <c r="B440" t="s">
        <v>19</v>
      </c>
      <c r="C440" t="s">
        <v>20</v>
      </c>
      <c r="D440">
        <v>40.74832</v>
      </c>
      <c r="E440">
        <v>-73.987170000000006</v>
      </c>
      <c r="F440" t="s">
        <v>18</v>
      </c>
      <c r="G440">
        <v>5</v>
      </c>
      <c r="H440">
        <v>1</v>
      </c>
      <c r="I440">
        <v>1</v>
      </c>
      <c r="J440">
        <v>3</v>
      </c>
      <c r="K440">
        <v>1</v>
      </c>
      <c r="L440">
        <v>284</v>
      </c>
      <c r="M440">
        <v>70</v>
      </c>
      <c r="N440">
        <v>1.61</v>
      </c>
      <c r="O440">
        <f>IF(F440="Private room",1,0)</f>
        <v>1</v>
      </c>
      <c r="P440">
        <f>IF(C440="Manhattan",4,IF(C440="Brooklyn",2,0))</f>
        <v>4</v>
      </c>
      <c r="Q440" s="2">
        <v>231</v>
      </c>
      <c r="R440" s="1">
        <v>45734</v>
      </c>
      <c r="S440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264.14</v>
      </c>
    </row>
    <row r="441" spans="1:19" x14ac:dyDescent="0.3">
      <c r="A441" t="s">
        <v>627</v>
      </c>
      <c r="B441" t="s">
        <v>74</v>
      </c>
      <c r="C441" t="s">
        <v>20</v>
      </c>
      <c r="D441">
        <v>40.716700000000003</v>
      </c>
      <c r="E441">
        <v>-74.006979999999999</v>
      </c>
      <c r="F441" t="s">
        <v>18</v>
      </c>
      <c r="G441">
        <v>4</v>
      </c>
      <c r="H441">
        <v>1</v>
      </c>
      <c r="I441">
        <v>0</v>
      </c>
      <c r="J441">
        <v>2</v>
      </c>
      <c r="K441">
        <v>1</v>
      </c>
      <c r="L441">
        <v>306</v>
      </c>
      <c r="M441">
        <v>60</v>
      </c>
      <c r="N441">
        <v>1.43</v>
      </c>
      <c r="O441">
        <f>IF(F441="Private room",1,0)</f>
        <v>1</v>
      </c>
      <c r="P441">
        <f>IF(C441="Manhattan",4,IF(C441="Brooklyn",2,0))</f>
        <v>4</v>
      </c>
      <c r="Q441" s="2">
        <v>405</v>
      </c>
      <c r="R441" s="1">
        <v>45745</v>
      </c>
      <c r="S441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244.28000000000003</v>
      </c>
    </row>
    <row r="442" spans="1:19" x14ac:dyDescent="0.3">
      <c r="A442" t="s">
        <v>628</v>
      </c>
      <c r="B442" t="s">
        <v>74</v>
      </c>
      <c r="C442" t="s">
        <v>20</v>
      </c>
      <c r="D442">
        <v>40.715110000000003</v>
      </c>
      <c r="E442">
        <v>-74.006510000000006</v>
      </c>
      <c r="F442" t="s">
        <v>18</v>
      </c>
      <c r="G442">
        <v>4</v>
      </c>
      <c r="H442">
        <v>1</v>
      </c>
      <c r="I442">
        <v>1</v>
      </c>
      <c r="J442">
        <v>2</v>
      </c>
      <c r="K442">
        <v>1</v>
      </c>
      <c r="L442">
        <v>139</v>
      </c>
      <c r="M442">
        <v>28</v>
      </c>
      <c r="N442">
        <v>0.7</v>
      </c>
      <c r="O442">
        <f>IF(F442="Private room",1,0)</f>
        <v>1</v>
      </c>
      <c r="P442">
        <f>IF(C442="Manhattan",4,IF(C442="Brooklyn",2,0))</f>
        <v>4</v>
      </c>
      <c r="Q442" s="2">
        <v>334</v>
      </c>
      <c r="R442" s="1">
        <v>45746</v>
      </c>
      <c r="S442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250.96000000000004</v>
      </c>
    </row>
    <row r="443" spans="1:19" x14ac:dyDescent="0.3">
      <c r="A443" t="s">
        <v>629</v>
      </c>
      <c r="B443" t="s">
        <v>45</v>
      </c>
      <c r="C443" t="s">
        <v>20</v>
      </c>
      <c r="D443">
        <v>40.741379999999999</v>
      </c>
      <c r="E443">
        <v>-73.999409999999997</v>
      </c>
      <c r="F443" t="s">
        <v>21</v>
      </c>
      <c r="G443">
        <v>2</v>
      </c>
      <c r="H443">
        <v>1</v>
      </c>
      <c r="I443">
        <v>0</v>
      </c>
      <c r="J443">
        <v>1</v>
      </c>
      <c r="K443">
        <v>30</v>
      </c>
      <c r="L443">
        <v>364</v>
      </c>
      <c r="M443">
        <v>12</v>
      </c>
      <c r="N443">
        <v>0.3</v>
      </c>
      <c r="O443">
        <f>IF(F443="Private room",1,0)</f>
        <v>0</v>
      </c>
      <c r="P443">
        <f>IF(C443="Manhattan",4,IF(C443="Brooklyn",2,0))</f>
        <v>4</v>
      </c>
      <c r="Q443" s="2">
        <v>170</v>
      </c>
      <c r="R443" s="1">
        <v>45734</v>
      </c>
      <c r="S443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150.15000000000003</v>
      </c>
    </row>
    <row r="444" spans="1:19" x14ac:dyDescent="0.3">
      <c r="A444" t="s">
        <v>630</v>
      </c>
      <c r="B444" t="s">
        <v>27</v>
      </c>
      <c r="C444" t="s">
        <v>17</v>
      </c>
      <c r="D444">
        <v>40.68271</v>
      </c>
      <c r="E444">
        <v>-73.953779999999995</v>
      </c>
      <c r="F444" t="s">
        <v>21</v>
      </c>
      <c r="G444">
        <v>2</v>
      </c>
      <c r="H444">
        <v>2</v>
      </c>
      <c r="I444">
        <v>1</v>
      </c>
      <c r="J444">
        <v>1</v>
      </c>
      <c r="K444">
        <v>30</v>
      </c>
      <c r="L444">
        <v>69</v>
      </c>
      <c r="M444">
        <v>14</v>
      </c>
      <c r="N444">
        <v>0.34</v>
      </c>
      <c r="O444">
        <f>IF(F444="Private room",1,0)</f>
        <v>0</v>
      </c>
      <c r="P444">
        <f>IF(C444="Manhattan",4,IF(C444="Brooklyn",2,0))</f>
        <v>2</v>
      </c>
      <c r="Q444" s="2">
        <v>350</v>
      </c>
      <c r="R444" s="1">
        <v>45719</v>
      </c>
      <c r="S444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142.71</v>
      </c>
    </row>
    <row r="445" spans="1:19" x14ac:dyDescent="0.3">
      <c r="A445" t="s">
        <v>631</v>
      </c>
      <c r="B445" t="s">
        <v>22</v>
      </c>
      <c r="C445" t="s">
        <v>17</v>
      </c>
      <c r="D445">
        <v>40.663339999999998</v>
      </c>
      <c r="E445">
        <v>-73.990970000000004</v>
      </c>
      <c r="F445" t="s">
        <v>21</v>
      </c>
      <c r="G445">
        <v>4</v>
      </c>
      <c r="H445">
        <v>1</v>
      </c>
      <c r="I445">
        <v>1</v>
      </c>
      <c r="J445">
        <v>2</v>
      </c>
      <c r="K445">
        <v>30</v>
      </c>
      <c r="L445">
        <v>128</v>
      </c>
      <c r="M445">
        <v>48</v>
      </c>
      <c r="N445">
        <v>1.28</v>
      </c>
      <c r="O445">
        <f>IF(F445="Private room",1,0)</f>
        <v>0</v>
      </c>
      <c r="P445">
        <f>IF(C445="Manhattan",4,IF(C445="Brooklyn",2,0))</f>
        <v>2</v>
      </c>
      <c r="Q445" s="2">
        <v>149</v>
      </c>
      <c r="R445" s="1">
        <v>45727</v>
      </c>
      <c r="S445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167.09000000000003</v>
      </c>
    </row>
    <row r="446" spans="1:19" x14ac:dyDescent="0.3">
      <c r="A446" t="s">
        <v>632</v>
      </c>
      <c r="B446" t="s">
        <v>57</v>
      </c>
      <c r="C446" t="s">
        <v>20</v>
      </c>
      <c r="D446">
        <v>40.722389999999997</v>
      </c>
      <c r="E446">
        <v>-73.993610000000004</v>
      </c>
      <c r="F446" t="s">
        <v>21</v>
      </c>
      <c r="G446">
        <v>2</v>
      </c>
      <c r="H446">
        <v>1</v>
      </c>
      <c r="I446">
        <v>1</v>
      </c>
      <c r="J446">
        <v>1</v>
      </c>
      <c r="K446">
        <v>1</v>
      </c>
      <c r="L446">
        <v>355</v>
      </c>
      <c r="M446">
        <v>169</v>
      </c>
      <c r="N446">
        <v>3.87</v>
      </c>
      <c r="O446">
        <f>IF(F446="Private room",1,0)</f>
        <v>0</v>
      </c>
      <c r="P446">
        <f>IF(C446="Manhattan",4,IF(C446="Brooklyn",2,0))</f>
        <v>4</v>
      </c>
      <c r="Q446" s="2">
        <v>261</v>
      </c>
      <c r="R446" s="1">
        <v>45725</v>
      </c>
      <c r="S446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247.66000000000003</v>
      </c>
    </row>
    <row r="447" spans="1:19" x14ac:dyDescent="0.3">
      <c r="A447" t="s">
        <v>633</v>
      </c>
      <c r="B447" t="s">
        <v>164</v>
      </c>
      <c r="C447" t="s">
        <v>91</v>
      </c>
      <c r="D447">
        <v>40.644579999999998</v>
      </c>
      <c r="E447">
        <v>-74.08005</v>
      </c>
      <c r="F447" t="s">
        <v>21</v>
      </c>
      <c r="G447">
        <v>4</v>
      </c>
      <c r="H447">
        <v>1</v>
      </c>
      <c r="I447">
        <v>1</v>
      </c>
      <c r="J447">
        <v>2</v>
      </c>
      <c r="K447">
        <v>30</v>
      </c>
      <c r="L447">
        <v>276</v>
      </c>
      <c r="M447">
        <v>88</v>
      </c>
      <c r="N447">
        <v>2.0299999999999998</v>
      </c>
      <c r="O447">
        <f>IF(F447="Private room",1,0)</f>
        <v>0</v>
      </c>
      <c r="P447">
        <f>IF(C447="Manhattan",4,IF(C447="Brooklyn",2,0))</f>
        <v>0</v>
      </c>
      <c r="Q447" s="2">
        <v>145</v>
      </c>
      <c r="R447" s="1">
        <v>45726</v>
      </c>
      <c r="S447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130.71000000000004</v>
      </c>
    </row>
    <row r="448" spans="1:19" x14ac:dyDescent="0.3">
      <c r="A448" t="s">
        <v>634</v>
      </c>
      <c r="B448" t="s">
        <v>75</v>
      </c>
      <c r="C448" t="s">
        <v>17</v>
      </c>
      <c r="D448">
        <v>40.655549999999998</v>
      </c>
      <c r="E448">
        <v>-73.977630000000005</v>
      </c>
      <c r="F448" t="s">
        <v>21</v>
      </c>
      <c r="G448">
        <v>4</v>
      </c>
      <c r="H448">
        <v>1</v>
      </c>
      <c r="I448">
        <v>1</v>
      </c>
      <c r="J448">
        <v>1</v>
      </c>
      <c r="K448">
        <v>30</v>
      </c>
      <c r="L448">
        <v>278</v>
      </c>
      <c r="M448">
        <v>96</v>
      </c>
      <c r="N448">
        <v>2.2000000000000002</v>
      </c>
      <c r="O448">
        <f>IF(F448="Private room",1,0)</f>
        <v>0</v>
      </c>
      <c r="P448">
        <f>IF(C448="Manhattan",4,IF(C448="Brooklyn",2,0))</f>
        <v>2</v>
      </c>
      <c r="Q448" s="2">
        <v>179</v>
      </c>
      <c r="R448" s="1">
        <v>45737</v>
      </c>
      <c r="S448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161.09000000000003</v>
      </c>
    </row>
    <row r="449" spans="1:19" x14ac:dyDescent="0.3">
      <c r="A449" t="s">
        <v>635</v>
      </c>
      <c r="B449" t="s">
        <v>36</v>
      </c>
      <c r="C449" t="s">
        <v>20</v>
      </c>
      <c r="D449" s="3" t="s">
        <v>636</v>
      </c>
      <c r="E449">
        <v>-73.966262817382798</v>
      </c>
      <c r="F449" t="s">
        <v>21</v>
      </c>
      <c r="G449">
        <v>3</v>
      </c>
      <c r="H449">
        <v>1</v>
      </c>
      <c r="I449">
        <v>0</v>
      </c>
      <c r="J449">
        <v>1</v>
      </c>
      <c r="K449">
        <v>30</v>
      </c>
      <c r="L449">
        <v>286</v>
      </c>
      <c r="M449">
        <v>13</v>
      </c>
      <c r="N449">
        <v>0.31</v>
      </c>
      <c r="O449">
        <f>IF(F449="Private room",1,0)</f>
        <v>0</v>
      </c>
      <c r="P449">
        <f>IF(C449="Manhattan",4,IF(C449="Brooklyn",2,0))</f>
        <v>4</v>
      </c>
      <c r="Q449" s="2">
        <v>224</v>
      </c>
      <c r="R449" s="1">
        <v>45742</v>
      </c>
      <c r="S449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172.25</v>
      </c>
    </row>
    <row r="450" spans="1:19" x14ac:dyDescent="0.3">
      <c r="A450" t="s">
        <v>637</v>
      </c>
      <c r="B450" t="s">
        <v>94</v>
      </c>
      <c r="C450" t="s">
        <v>17</v>
      </c>
      <c r="D450" s="3" t="s">
        <v>638</v>
      </c>
      <c r="E450">
        <v>-73.884446848988304</v>
      </c>
      <c r="F450" t="s">
        <v>18</v>
      </c>
      <c r="G450">
        <v>1</v>
      </c>
      <c r="H450">
        <v>1</v>
      </c>
      <c r="I450">
        <v>1</v>
      </c>
      <c r="J450">
        <v>1</v>
      </c>
      <c r="K450">
        <v>2</v>
      </c>
      <c r="L450">
        <v>273</v>
      </c>
      <c r="M450">
        <v>54</v>
      </c>
      <c r="N450">
        <v>1.23</v>
      </c>
      <c r="O450">
        <f>IF(F450="Private room",1,0)</f>
        <v>1</v>
      </c>
      <c r="P450">
        <f>IF(C450="Manhattan",4,IF(C450="Brooklyn",2,0))</f>
        <v>2</v>
      </c>
      <c r="Q450" s="2">
        <v>70</v>
      </c>
      <c r="R450" s="1">
        <v>45739</v>
      </c>
      <c r="S450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154.85000000000002</v>
      </c>
    </row>
    <row r="451" spans="1:19" x14ac:dyDescent="0.3">
      <c r="A451" t="s">
        <v>639</v>
      </c>
      <c r="B451" t="s">
        <v>43</v>
      </c>
      <c r="C451" t="s">
        <v>20</v>
      </c>
      <c r="D451">
        <v>40.721249999999998</v>
      </c>
      <c r="E451">
        <v>-73.993189999999998</v>
      </c>
      <c r="F451" t="s">
        <v>21</v>
      </c>
      <c r="G451">
        <v>4</v>
      </c>
      <c r="H451">
        <v>1</v>
      </c>
      <c r="I451">
        <v>1</v>
      </c>
      <c r="J451">
        <v>2</v>
      </c>
      <c r="K451">
        <v>30</v>
      </c>
      <c r="L451">
        <v>258</v>
      </c>
      <c r="M451">
        <v>14</v>
      </c>
      <c r="N451">
        <v>0.44</v>
      </c>
      <c r="O451">
        <f>IF(F451="Private room",1,0)</f>
        <v>0</v>
      </c>
      <c r="P451">
        <f>IF(C451="Manhattan",4,IF(C451="Brooklyn",2,0))</f>
        <v>4</v>
      </c>
      <c r="Q451" s="2">
        <v>137</v>
      </c>
      <c r="R451" s="1">
        <v>45725</v>
      </c>
      <c r="S451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192.35000000000002</v>
      </c>
    </row>
    <row r="452" spans="1:19" x14ac:dyDescent="0.3">
      <c r="A452" t="s">
        <v>640</v>
      </c>
      <c r="B452" t="s">
        <v>43</v>
      </c>
      <c r="C452" t="s">
        <v>20</v>
      </c>
      <c r="D452">
        <v>40.722729999999999</v>
      </c>
      <c r="E452">
        <v>-73.991079999999997</v>
      </c>
      <c r="F452" t="s">
        <v>21</v>
      </c>
      <c r="G452">
        <v>2</v>
      </c>
      <c r="H452">
        <v>1</v>
      </c>
      <c r="I452">
        <v>1</v>
      </c>
      <c r="J452">
        <v>1</v>
      </c>
      <c r="K452">
        <v>30</v>
      </c>
      <c r="L452">
        <v>268</v>
      </c>
      <c r="M452">
        <v>5</v>
      </c>
      <c r="N452">
        <v>0.16</v>
      </c>
      <c r="O452">
        <f>IF(F452="Private room",1,0)</f>
        <v>0</v>
      </c>
      <c r="P452">
        <f>IF(C452="Manhattan",4,IF(C452="Brooklyn",2,0))</f>
        <v>4</v>
      </c>
      <c r="Q452" s="2">
        <v>151</v>
      </c>
      <c r="R452" s="1">
        <v>45747</v>
      </c>
      <c r="S452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153.99</v>
      </c>
    </row>
    <row r="453" spans="1:19" x14ac:dyDescent="0.3">
      <c r="A453" t="s">
        <v>641</v>
      </c>
      <c r="B453" t="s">
        <v>129</v>
      </c>
      <c r="C453" t="s">
        <v>31</v>
      </c>
      <c r="D453">
        <v>40.814630000000001</v>
      </c>
      <c r="E453">
        <v>-73.902289999999994</v>
      </c>
      <c r="F453" t="s">
        <v>18</v>
      </c>
      <c r="G453">
        <v>1</v>
      </c>
      <c r="H453">
        <v>1</v>
      </c>
      <c r="I453">
        <v>1</v>
      </c>
      <c r="J453">
        <v>1</v>
      </c>
      <c r="K453">
        <v>30</v>
      </c>
      <c r="L453">
        <v>137</v>
      </c>
      <c r="M453">
        <v>30</v>
      </c>
      <c r="N453">
        <v>0.7</v>
      </c>
      <c r="O453">
        <f>IF(F453="Private room",1,0)</f>
        <v>1</v>
      </c>
      <c r="P453">
        <f>IF(C453="Manhattan",4,IF(C453="Brooklyn",2,0))</f>
        <v>0</v>
      </c>
      <c r="Q453" s="2">
        <v>57</v>
      </c>
      <c r="R453" s="1">
        <v>45734</v>
      </c>
      <c r="S453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36.03</v>
      </c>
    </row>
    <row r="454" spans="1:19" x14ac:dyDescent="0.3">
      <c r="A454" t="s">
        <v>642</v>
      </c>
      <c r="B454" t="s">
        <v>101</v>
      </c>
      <c r="C454" t="s">
        <v>30</v>
      </c>
      <c r="D454">
        <v>40.769109999999998</v>
      </c>
      <c r="E454">
        <v>-73.870530000000002</v>
      </c>
      <c r="F454" t="s">
        <v>21</v>
      </c>
      <c r="G454">
        <v>4</v>
      </c>
      <c r="H454">
        <v>1</v>
      </c>
      <c r="I454">
        <v>1</v>
      </c>
      <c r="J454">
        <v>2</v>
      </c>
      <c r="K454">
        <v>30</v>
      </c>
      <c r="L454">
        <v>184</v>
      </c>
      <c r="M454">
        <v>200</v>
      </c>
      <c r="N454">
        <v>4.74</v>
      </c>
      <c r="O454">
        <f>IF(F454="Private room",1,0)</f>
        <v>0</v>
      </c>
      <c r="P454">
        <f>IF(C454="Manhattan",4,IF(C454="Brooklyn",2,0))</f>
        <v>0</v>
      </c>
      <c r="Q454" s="2">
        <v>106</v>
      </c>
      <c r="R454" s="1">
        <v>45717</v>
      </c>
      <c r="S454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134.39000000000001</v>
      </c>
    </row>
    <row r="455" spans="1:19" x14ac:dyDescent="0.3">
      <c r="A455" t="s">
        <v>643</v>
      </c>
      <c r="B455" t="s">
        <v>33</v>
      </c>
      <c r="C455" t="s">
        <v>17</v>
      </c>
      <c r="D455">
        <v>40.670177000000002</v>
      </c>
      <c r="E455">
        <v>-73.977271999999999</v>
      </c>
      <c r="F455" t="s">
        <v>21</v>
      </c>
      <c r="G455">
        <v>5</v>
      </c>
      <c r="H455">
        <v>1</v>
      </c>
      <c r="I455">
        <v>1</v>
      </c>
      <c r="J455">
        <v>2</v>
      </c>
      <c r="K455">
        <v>30</v>
      </c>
      <c r="L455">
        <v>185</v>
      </c>
      <c r="M455">
        <v>179</v>
      </c>
      <c r="N455">
        <v>4.2</v>
      </c>
      <c r="O455">
        <f>IF(F455="Private room",1,0)</f>
        <v>0</v>
      </c>
      <c r="P455">
        <f>IF(C455="Manhattan",4,IF(C455="Brooklyn",2,0))</f>
        <v>2</v>
      </c>
      <c r="Q455" s="2">
        <v>193</v>
      </c>
      <c r="R455" s="1">
        <v>45731</v>
      </c>
      <c r="S455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183.79000000000002</v>
      </c>
    </row>
    <row r="456" spans="1:19" x14ac:dyDescent="0.3">
      <c r="A456" t="s">
        <v>644</v>
      </c>
      <c r="B456" t="s">
        <v>24</v>
      </c>
      <c r="C456" t="s">
        <v>20</v>
      </c>
      <c r="D456" s="3" t="s">
        <v>645</v>
      </c>
      <c r="E456">
        <v>-73.938697711639406</v>
      </c>
      <c r="F456" t="s">
        <v>21</v>
      </c>
      <c r="G456">
        <v>4</v>
      </c>
      <c r="H456">
        <v>1</v>
      </c>
      <c r="I456">
        <v>1</v>
      </c>
      <c r="J456">
        <v>1</v>
      </c>
      <c r="K456">
        <v>30</v>
      </c>
      <c r="L456">
        <v>238</v>
      </c>
      <c r="M456">
        <v>5</v>
      </c>
      <c r="N456">
        <v>0.26</v>
      </c>
      <c r="O456">
        <f>IF(F456="Private room",1,0)</f>
        <v>0</v>
      </c>
      <c r="P456">
        <f>IF(C456="Manhattan",4,IF(C456="Brooklyn",2,0))</f>
        <v>4</v>
      </c>
      <c r="Q456" s="2">
        <v>120</v>
      </c>
      <c r="R456" s="1">
        <v>45717</v>
      </c>
      <c r="S456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193.15000000000003</v>
      </c>
    </row>
    <row r="457" spans="1:19" x14ac:dyDescent="0.3">
      <c r="A457" t="s">
        <v>646</v>
      </c>
      <c r="B457" t="s">
        <v>61</v>
      </c>
      <c r="C457" t="s">
        <v>30</v>
      </c>
      <c r="D457">
        <v>40.757959999999997</v>
      </c>
      <c r="E457">
        <v>-73.916290000000004</v>
      </c>
      <c r="F457" t="s">
        <v>21</v>
      </c>
      <c r="G457">
        <v>3</v>
      </c>
      <c r="H457">
        <v>1</v>
      </c>
      <c r="I457">
        <v>1</v>
      </c>
      <c r="J457">
        <v>2</v>
      </c>
      <c r="K457">
        <v>30</v>
      </c>
      <c r="L457">
        <v>278</v>
      </c>
      <c r="M457">
        <v>145</v>
      </c>
      <c r="N457">
        <v>3.43</v>
      </c>
      <c r="O457">
        <f>IF(F457="Private room",1,0)</f>
        <v>0</v>
      </c>
      <c r="P457">
        <f>IF(C457="Manhattan",4,IF(C457="Brooklyn",2,0))</f>
        <v>0</v>
      </c>
      <c r="Q457" s="2">
        <v>101</v>
      </c>
      <c r="R457" s="1">
        <v>45738</v>
      </c>
      <c r="S457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111.65</v>
      </c>
    </row>
    <row r="458" spans="1:19" x14ac:dyDescent="0.3">
      <c r="A458" t="s">
        <v>647</v>
      </c>
      <c r="B458" t="s">
        <v>140</v>
      </c>
      <c r="C458" t="s">
        <v>17</v>
      </c>
      <c r="D458">
        <v>40.578879999999998</v>
      </c>
      <c r="E458">
        <v>-74.010499999999993</v>
      </c>
      <c r="F458" t="s">
        <v>21</v>
      </c>
      <c r="G458">
        <v>4</v>
      </c>
      <c r="H458">
        <v>1</v>
      </c>
      <c r="I458">
        <v>2</v>
      </c>
      <c r="J458">
        <v>1</v>
      </c>
      <c r="K458">
        <v>30</v>
      </c>
      <c r="L458">
        <v>148</v>
      </c>
      <c r="M458">
        <v>12</v>
      </c>
      <c r="N458">
        <v>0.28999999999999998</v>
      </c>
      <c r="O458">
        <f>IF(F458="Private room",1,0)</f>
        <v>0</v>
      </c>
      <c r="P458">
        <f>IF(C458="Manhattan",4,IF(C458="Brooklyn",2,0))</f>
        <v>2</v>
      </c>
      <c r="Q458" s="2">
        <v>116</v>
      </c>
      <c r="R458" s="1">
        <v>45719</v>
      </c>
      <c r="S458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166.29000000000005</v>
      </c>
    </row>
    <row r="459" spans="1:19" x14ac:dyDescent="0.3">
      <c r="A459" t="s">
        <v>648</v>
      </c>
      <c r="B459" t="s">
        <v>43</v>
      </c>
      <c r="C459" t="s">
        <v>20</v>
      </c>
      <c r="D459">
        <v>40.722729999999999</v>
      </c>
      <c r="E459">
        <v>-73.991709999999998</v>
      </c>
      <c r="F459" t="s">
        <v>21</v>
      </c>
      <c r="G459">
        <v>4</v>
      </c>
      <c r="H459">
        <v>1</v>
      </c>
      <c r="I459">
        <v>2</v>
      </c>
      <c r="J459">
        <v>2</v>
      </c>
      <c r="K459">
        <v>30</v>
      </c>
      <c r="L459">
        <v>273</v>
      </c>
      <c r="M459">
        <v>5</v>
      </c>
      <c r="N459">
        <v>0.17</v>
      </c>
      <c r="O459">
        <f>IF(F459="Private room",1,0)</f>
        <v>0</v>
      </c>
      <c r="P459">
        <f>IF(C459="Manhattan",4,IF(C459="Brooklyn",2,0))</f>
        <v>4</v>
      </c>
      <c r="Q459" s="2">
        <v>208</v>
      </c>
      <c r="R459" s="1">
        <v>45718</v>
      </c>
      <c r="S459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191.75000000000006</v>
      </c>
    </row>
    <row r="460" spans="1:19" x14ac:dyDescent="0.3">
      <c r="A460" t="s">
        <v>649</v>
      </c>
      <c r="B460" t="s">
        <v>23</v>
      </c>
      <c r="C460" t="s">
        <v>17</v>
      </c>
      <c r="D460" s="3" t="s">
        <v>650</v>
      </c>
      <c r="E460">
        <v>-73.965797424316406</v>
      </c>
      <c r="F460" t="s">
        <v>21</v>
      </c>
      <c r="G460">
        <v>2</v>
      </c>
      <c r="H460">
        <v>1</v>
      </c>
      <c r="I460">
        <v>1</v>
      </c>
      <c r="J460">
        <v>1</v>
      </c>
      <c r="K460">
        <v>30</v>
      </c>
      <c r="L460">
        <v>238</v>
      </c>
      <c r="M460">
        <v>48</v>
      </c>
      <c r="N460">
        <v>1.1399999999999999</v>
      </c>
      <c r="O460">
        <f>IF(F460="Private room",1,0)</f>
        <v>0</v>
      </c>
      <c r="P460">
        <f>IF(C460="Manhattan",4,IF(C460="Brooklyn",2,0))</f>
        <v>2</v>
      </c>
      <c r="Q460" s="2">
        <v>115</v>
      </c>
      <c r="R460" s="1">
        <v>45747</v>
      </c>
      <c r="S460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124.73000000000002</v>
      </c>
    </row>
    <row r="461" spans="1:19" x14ac:dyDescent="0.3">
      <c r="A461" t="s">
        <v>651</v>
      </c>
      <c r="B461" t="s">
        <v>131</v>
      </c>
      <c r="C461" t="s">
        <v>20</v>
      </c>
      <c r="D461">
        <v>40.704903000000002</v>
      </c>
      <c r="E461">
        <v>-74.006416000000002</v>
      </c>
      <c r="F461" t="s">
        <v>21</v>
      </c>
      <c r="G461">
        <v>2</v>
      </c>
      <c r="H461">
        <v>1</v>
      </c>
      <c r="I461">
        <v>1</v>
      </c>
      <c r="J461">
        <v>1</v>
      </c>
      <c r="K461">
        <v>1</v>
      </c>
      <c r="L461">
        <v>362</v>
      </c>
      <c r="M461">
        <v>86</v>
      </c>
      <c r="N461">
        <v>2.0299999999999998</v>
      </c>
      <c r="O461">
        <f>IF(F461="Private room",1,0)</f>
        <v>0</v>
      </c>
      <c r="P461">
        <f>IF(C461="Manhattan",4,IF(C461="Brooklyn",2,0))</f>
        <v>4</v>
      </c>
      <c r="Q461" s="2">
        <v>331</v>
      </c>
      <c r="R461" s="1">
        <v>45746</v>
      </c>
      <c r="S461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247.38000000000005</v>
      </c>
    </row>
    <row r="462" spans="1:19" x14ac:dyDescent="0.3">
      <c r="A462" t="s">
        <v>652</v>
      </c>
      <c r="B462" t="s">
        <v>53</v>
      </c>
      <c r="C462" t="s">
        <v>20</v>
      </c>
      <c r="D462">
        <v>40.799779999999998</v>
      </c>
      <c r="E462">
        <v>-73.962940000000003</v>
      </c>
      <c r="F462" t="s">
        <v>18</v>
      </c>
      <c r="G462">
        <v>2</v>
      </c>
      <c r="H462">
        <v>2</v>
      </c>
      <c r="I462">
        <v>1</v>
      </c>
      <c r="J462">
        <v>1</v>
      </c>
      <c r="K462">
        <v>30</v>
      </c>
      <c r="L462">
        <v>351</v>
      </c>
      <c r="M462">
        <v>105</v>
      </c>
      <c r="N462">
        <v>2.4700000000000002</v>
      </c>
      <c r="O462">
        <f>IF(F462="Private room",1,0)</f>
        <v>1</v>
      </c>
      <c r="P462">
        <f>IF(C462="Manhattan",4,IF(C462="Brooklyn",2,0))</f>
        <v>4</v>
      </c>
      <c r="Q462" s="2">
        <v>82</v>
      </c>
      <c r="R462" s="1">
        <v>45717</v>
      </c>
      <c r="S462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118.59000000000002</v>
      </c>
    </row>
    <row r="463" spans="1:19" x14ac:dyDescent="0.3">
      <c r="A463" t="s">
        <v>653</v>
      </c>
      <c r="B463" t="s">
        <v>60</v>
      </c>
      <c r="C463" t="s">
        <v>17</v>
      </c>
      <c r="D463">
        <v>40.64873</v>
      </c>
      <c r="E463">
        <v>-73.937650000000005</v>
      </c>
      <c r="F463" t="s">
        <v>21</v>
      </c>
      <c r="G463">
        <v>2</v>
      </c>
      <c r="H463">
        <v>1</v>
      </c>
      <c r="I463">
        <v>1</v>
      </c>
      <c r="J463">
        <v>1</v>
      </c>
      <c r="K463">
        <v>30</v>
      </c>
      <c r="L463">
        <v>169</v>
      </c>
      <c r="M463">
        <v>108</v>
      </c>
      <c r="N463">
        <v>2.5299999999999998</v>
      </c>
      <c r="O463">
        <f>IF(F463="Private room",1,0)</f>
        <v>0</v>
      </c>
      <c r="P463">
        <f>IF(C463="Manhattan",4,IF(C463="Brooklyn",2,0))</f>
        <v>2</v>
      </c>
      <c r="Q463" s="2">
        <v>85</v>
      </c>
      <c r="R463" s="1">
        <v>45747</v>
      </c>
      <c r="S463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127.49000000000001</v>
      </c>
    </row>
    <row r="464" spans="1:19" x14ac:dyDescent="0.3">
      <c r="A464" t="s">
        <v>654</v>
      </c>
      <c r="B464" t="s">
        <v>193</v>
      </c>
      <c r="C464" t="s">
        <v>30</v>
      </c>
      <c r="D464">
        <v>40.71405</v>
      </c>
      <c r="E464">
        <v>-73.786739999999995</v>
      </c>
      <c r="F464" t="s">
        <v>21</v>
      </c>
      <c r="G464">
        <v>12</v>
      </c>
      <c r="H464">
        <v>2</v>
      </c>
      <c r="I464">
        <v>3</v>
      </c>
      <c r="J464">
        <v>6</v>
      </c>
      <c r="K464">
        <v>30</v>
      </c>
      <c r="L464">
        <v>142</v>
      </c>
      <c r="M464">
        <v>14</v>
      </c>
      <c r="N464">
        <v>0.34</v>
      </c>
      <c r="O464">
        <f>IF(F464="Private room",1,0)</f>
        <v>0</v>
      </c>
      <c r="P464">
        <f>IF(C464="Manhattan",4,IF(C464="Brooklyn",2,0))</f>
        <v>0</v>
      </c>
      <c r="Q464" s="2">
        <v>137</v>
      </c>
      <c r="R464" s="1">
        <v>45726</v>
      </c>
      <c r="S464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299.13</v>
      </c>
    </row>
    <row r="465" spans="1:19" x14ac:dyDescent="0.3">
      <c r="A465" t="s">
        <v>655</v>
      </c>
      <c r="B465" t="s">
        <v>60</v>
      </c>
      <c r="C465" t="s">
        <v>17</v>
      </c>
      <c r="D465" s="3" t="s">
        <v>656</v>
      </c>
      <c r="E465">
        <v>-73.935841886600798</v>
      </c>
      <c r="F465" t="s">
        <v>21</v>
      </c>
      <c r="G465">
        <v>2</v>
      </c>
      <c r="H465">
        <v>1</v>
      </c>
      <c r="I465">
        <v>1</v>
      </c>
      <c r="J465">
        <v>2</v>
      </c>
      <c r="K465">
        <v>2</v>
      </c>
      <c r="L465">
        <v>200</v>
      </c>
      <c r="M465">
        <v>139</v>
      </c>
      <c r="N465">
        <v>3.31</v>
      </c>
      <c r="O465">
        <f>IF(F465="Private room",1,0)</f>
        <v>0</v>
      </c>
      <c r="P465">
        <f>IF(C465="Manhattan",4,IF(C465="Brooklyn",2,0))</f>
        <v>2</v>
      </c>
      <c r="Q465" s="2">
        <v>185</v>
      </c>
      <c r="R465" s="1">
        <v>45742</v>
      </c>
      <c r="S465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220.05000000000004</v>
      </c>
    </row>
    <row r="466" spans="1:19" x14ac:dyDescent="0.3">
      <c r="A466" t="s">
        <v>657</v>
      </c>
      <c r="B466" t="s">
        <v>36</v>
      </c>
      <c r="C466" t="s">
        <v>20</v>
      </c>
      <c r="D466">
        <v>40.766379999999998</v>
      </c>
      <c r="E466">
        <v>-73.965639999999993</v>
      </c>
      <c r="F466" t="s">
        <v>21</v>
      </c>
      <c r="G466">
        <v>4</v>
      </c>
      <c r="H466">
        <v>1</v>
      </c>
      <c r="I466">
        <v>2</v>
      </c>
      <c r="J466">
        <v>2</v>
      </c>
      <c r="K466">
        <v>30</v>
      </c>
      <c r="L466">
        <v>111</v>
      </c>
      <c r="M466">
        <v>72</v>
      </c>
      <c r="N466">
        <v>1.74</v>
      </c>
      <c r="O466">
        <f>IF(F466="Private room",1,0)</f>
        <v>0</v>
      </c>
      <c r="P466">
        <f>IF(C466="Manhattan",4,IF(C466="Brooklyn",2,0))</f>
        <v>4</v>
      </c>
      <c r="Q466" s="2">
        <v>330</v>
      </c>
      <c r="R466" s="1">
        <v>45721</v>
      </c>
      <c r="S466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198.23000000000002</v>
      </c>
    </row>
    <row r="467" spans="1:19" x14ac:dyDescent="0.3">
      <c r="A467" t="s">
        <v>658</v>
      </c>
      <c r="B467" t="s">
        <v>113</v>
      </c>
      <c r="C467" t="s">
        <v>30</v>
      </c>
      <c r="D467" s="3" t="s">
        <v>659</v>
      </c>
      <c r="E467">
        <v>-73.833724264032597</v>
      </c>
      <c r="F467" t="s">
        <v>21</v>
      </c>
      <c r="G467">
        <v>4</v>
      </c>
      <c r="H467">
        <v>1</v>
      </c>
      <c r="I467">
        <v>1</v>
      </c>
      <c r="J467">
        <v>1</v>
      </c>
      <c r="K467">
        <v>30</v>
      </c>
      <c r="L467">
        <v>148</v>
      </c>
      <c r="M467">
        <v>76</v>
      </c>
      <c r="N467">
        <v>1.84</v>
      </c>
      <c r="O467">
        <f>IF(F467="Private room",1,0)</f>
        <v>0</v>
      </c>
      <c r="P467">
        <f>IF(C467="Manhattan",4,IF(C467="Brooklyn",2,0))</f>
        <v>0</v>
      </c>
      <c r="Q467" s="2">
        <v>175</v>
      </c>
      <c r="R467" s="1">
        <v>45718</v>
      </c>
      <c r="S467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135.83000000000004</v>
      </c>
    </row>
    <row r="468" spans="1:19" x14ac:dyDescent="0.3">
      <c r="A468" t="s">
        <v>660</v>
      </c>
      <c r="B468" t="s">
        <v>185</v>
      </c>
      <c r="C468" t="s">
        <v>31</v>
      </c>
      <c r="D468">
        <v>40.85286</v>
      </c>
      <c r="E468">
        <v>-73.847200000000001</v>
      </c>
      <c r="F468" t="s">
        <v>18</v>
      </c>
      <c r="G468">
        <v>2</v>
      </c>
      <c r="H468">
        <v>1</v>
      </c>
      <c r="I468">
        <v>1</v>
      </c>
      <c r="J468">
        <v>1</v>
      </c>
      <c r="K468">
        <v>2</v>
      </c>
      <c r="L468">
        <v>347</v>
      </c>
      <c r="M468">
        <v>93</v>
      </c>
      <c r="N468">
        <v>2.4500000000000002</v>
      </c>
      <c r="O468">
        <f>IF(F468="Private room",1,0)</f>
        <v>1</v>
      </c>
      <c r="P468">
        <f>IF(C468="Manhattan",4,IF(C468="Brooklyn",2,0))</f>
        <v>0</v>
      </c>
      <c r="Q468" s="2">
        <v>165</v>
      </c>
      <c r="R468" s="1">
        <v>45739</v>
      </c>
      <c r="S468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140.41000000000003</v>
      </c>
    </row>
    <row r="469" spans="1:19" x14ac:dyDescent="0.3">
      <c r="A469" t="s">
        <v>661</v>
      </c>
      <c r="B469" t="s">
        <v>169</v>
      </c>
      <c r="C469" t="s">
        <v>31</v>
      </c>
      <c r="D469">
        <v>40.833210000000001</v>
      </c>
      <c r="E469">
        <v>-73.854560000000006</v>
      </c>
      <c r="F469" t="s">
        <v>21</v>
      </c>
      <c r="G469">
        <v>2</v>
      </c>
      <c r="H469">
        <v>1</v>
      </c>
      <c r="I469">
        <v>1</v>
      </c>
      <c r="J469">
        <v>1</v>
      </c>
      <c r="K469">
        <v>30</v>
      </c>
      <c r="L469">
        <v>239</v>
      </c>
      <c r="M469">
        <v>46</v>
      </c>
      <c r="N469">
        <v>1.29</v>
      </c>
      <c r="O469">
        <f>IF(F469="Private room",1,0)</f>
        <v>0</v>
      </c>
      <c r="P469">
        <f>IF(C469="Manhattan",4,IF(C469="Brooklyn",2,0))</f>
        <v>0</v>
      </c>
      <c r="Q469" s="2">
        <v>86</v>
      </c>
      <c r="R469" s="1">
        <v>45742</v>
      </c>
      <c r="S469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94.230000000000018</v>
      </c>
    </row>
    <row r="470" spans="1:19" x14ac:dyDescent="0.3">
      <c r="A470" t="s">
        <v>662</v>
      </c>
      <c r="B470" t="s">
        <v>19</v>
      </c>
      <c r="C470" t="s">
        <v>20</v>
      </c>
      <c r="D470">
        <v>40.754759999999997</v>
      </c>
      <c r="E470">
        <v>-73.96611</v>
      </c>
      <c r="F470" t="s">
        <v>21</v>
      </c>
      <c r="G470">
        <v>2</v>
      </c>
      <c r="H470">
        <v>1</v>
      </c>
      <c r="I470">
        <v>1</v>
      </c>
      <c r="J470">
        <v>1</v>
      </c>
      <c r="K470">
        <v>30</v>
      </c>
      <c r="L470">
        <v>277</v>
      </c>
      <c r="M470">
        <v>54</v>
      </c>
      <c r="N470">
        <v>1.46</v>
      </c>
      <c r="O470">
        <f>IF(F470="Private room",1,0)</f>
        <v>0</v>
      </c>
      <c r="P470">
        <f>IF(C470="Manhattan",4,IF(C470="Brooklyn",2,0))</f>
        <v>4</v>
      </c>
      <c r="Q470" s="2">
        <v>214</v>
      </c>
      <c r="R470" s="1">
        <v>45725</v>
      </c>
      <c r="S470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153.63000000000002</v>
      </c>
    </row>
    <row r="471" spans="1:19" x14ac:dyDescent="0.3">
      <c r="A471" t="s">
        <v>663</v>
      </c>
      <c r="B471" t="s">
        <v>236</v>
      </c>
      <c r="C471" t="s">
        <v>30</v>
      </c>
      <c r="D471">
        <v>40.75009</v>
      </c>
      <c r="E471">
        <v>-73.852339999999998</v>
      </c>
      <c r="F471" t="s">
        <v>21</v>
      </c>
      <c r="G471">
        <v>4</v>
      </c>
      <c r="H471">
        <v>1</v>
      </c>
      <c r="I471">
        <v>2</v>
      </c>
      <c r="J471">
        <v>3</v>
      </c>
      <c r="K471">
        <v>30</v>
      </c>
      <c r="L471">
        <v>173</v>
      </c>
      <c r="M471">
        <v>38</v>
      </c>
      <c r="N471">
        <v>1.04</v>
      </c>
      <c r="O471">
        <f>IF(F471="Private room",1,0)</f>
        <v>0</v>
      </c>
      <c r="P471">
        <f>IF(C471="Manhattan",4,IF(C471="Brooklyn",2,0))</f>
        <v>0</v>
      </c>
      <c r="Q471" s="2">
        <v>90</v>
      </c>
      <c r="R471" s="1">
        <v>45742</v>
      </c>
      <c r="S471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134.83000000000004</v>
      </c>
    </row>
    <row r="472" spans="1:19" x14ac:dyDescent="0.3">
      <c r="A472" t="s">
        <v>664</v>
      </c>
      <c r="B472" t="s">
        <v>19</v>
      </c>
      <c r="C472" t="s">
        <v>20</v>
      </c>
      <c r="D472">
        <v>40.746740000000003</v>
      </c>
      <c r="E472">
        <v>-73.988630000000001</v>
      </c>
      <c r="F472" t="s">
        <v>18</v>
      </c>
      <c r="G472">
        <v>4</v>
      </c>
      <c r="H472">
        <v>0</v>
      </c>
      <c r="I472">
        <v>1</v>
      </c>
      <c r="J472">
        <v>2</v>
      </c>
      <c r="K472">
        <v>1</v>
      </c>
      <c r="L472">
        <v>286</v>
      </c>
      <c r="M472">
        <v>42</v>
      </c>
      <c r="N472">
        <v>1.08</v>
      </c>
      <c r="O472">
        <f>IF(F472="Private room",1,0)</f>
        <v>1</v>
      </c>
      <c r="P472">
        <f>IF(C472="Manhattan",4,IF(C472="Brooklyn",2,0))</f>
        <v>4</v>
      </c>
      <c r="Q472" s="2">
        <v>134</v>
      </c>
      <c r="R472" s="1">
        <v>45718</v>
      </c>
      <c r="S472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233.86000000000007</v>
      </c>
    </row>
    <row r="473" spans="1:19" x14ac:dyDescent="0.3">
      <c r="A473" t="s">
        <v>665</v>
      </c>
      <c r="B473" t="s">
        <v>19</v>
      </c>
      <c r="C473" t="s">
        <v>20</v>
      </c>
      <c r="D473">
        <v>40.746099999999998</v>
      </c>
      <c r="E473">
        <v>-73.988500000000002</v>
      </c>
      <c r="F473" t="s">
        <v>18</v>
      </c>
      <c r="G473">
        <v>4</v>
      </c>
      <c r="H473">
        <v>0</v>
      </c>
      <c r="I473">
        <v>1</v>
      </c>
      <c r="J473">
        <v>2</v>
      </c>
      <c r="K473">
        <v>1</v>
      </c>
      <c r="L473">
        <v>295</v>
      </c>
      <c r="M473">
        <v>52</v>
      </c>
      <c r="N473">
        <v>1.32</v>
      </c>
      <c r="O473">
        <f>IF(F473="Private room",1,0)</f>
        <v>1</v>
      </c>
      <c r="P473">
        <f>IF(C473="Manhattan",4,IF(C473="Brooklyn",2,0))</f>
        <v>4</v>
      </c>
      <c r="Q473" s="2">
        <v>134</v>
      </c>
      <c r="R473" s="1">
        <v>45733</v>
      </c>
      <c r="S473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233.50000000000006</v>
      </c>
    </row>
    <row r="474" spans="1:19" x14ac:dyDescent="0.3">
      <c r="A474" t="s">
        <v>666</v>
      </c>
      <c r="B474" t="s">
        <v>23</v>
      </c>
      <c r="C474" t="s">
        <v>17</v>
      </c>
      <c r="D474">
        <v>40.718069999999997</v>
      </c>
      <c r="E474">
        <v>-73.95908</v>
      </c>
      <c r="F474" t="s">
        <v>21</v>
      </c>
      <c r="G474">
        <v>2</v>
      </c>
      <c r="H474">
        <v>1</v>
      </c>
      <c r="I474">
        <v>1</v>
      </c>
      <c r="J474">
        <v>1</v>
      </c>
      <c r="K474">
        <v>30</v>
      </c>
      <c r="L474">
        <v>265</v>
      </c>
      <c r="M474">
        <v>58</v>
      </c>
      <c r="N474">
        <v>1.4</v>
      </c>
      <c r="O474">
        <f>IF(F474="Private room",1,0)</f>
        <v>0</v>
      </c>
      <c r="P474">
        <f>IF(C474="Manhattan",4,IF(C474="Brooklyn",2,0))</f>
        <v>2</v>
      </c>
      <c r="Q474" s="2">
        <v>145</v>
      </c>
      <c r="R474" s="1">
        <v>45747</v>
      </c>
      <c r="S474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123.65000000000003</v>
      </c>
    </row>
    <row r="475" spans="1:19" x14ac:dyDescent="0.3">
      <c r="A475" t="s">
        <v>667</v>
      </c>
      <c r="B475" t="s">
        <v>45</v>
      </c>
      <c r="C475" t="s">
        <v>20</v>
      </c>
      <c r="D475">
        <v>40.742603000000003</v>
      </c>
      <c r="E475">
        <v>-73.997589000000005</v>
      </c>
      <c r="F475" t="s">
        <v>21</v>
      </c>
      <c r="G475">
        <v>3</v>
      </c>
      <c r="H475">
        <v>1</v>
      </c>
      <c r="I475">
        <v>1</v>
      </c>
      <c r="J475">
        <v>1</v>
      </c>
      <c r="K475">
        <v>30</v>
      </c>
      <c r="L475">
        <v>263</v>
      </c>
      <c r="M475">
        <v>12</v>
      </c>
      <c r="N475">
        <v>0.28999999999999998</v>
      </c>
      <c r="O475">
        <f>IF(F475="Private room",1,0)</f>
        <v>0</v>
      </c>
      <c r="P475">
        <f>IF(C475="Manhattan",4,IF(C475="Brooklyn",2,0))</f>
        <v>4</v>
      </c>
      <c r="Q475" s="2">
        <v>205</v>
      </c>
      <c r="R475" s="1">
        <v>45747</v>
      </c>
      <c r="S475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173.17000000000002</v>
      </c>
    </row>
    <row r="476" spans="1:19" x14ac:dyDescent="0.3">
      <c r="A476" t="s">
        <v>668</v>
      </c>
      <c r="B476" t="s">
        <v>23</v>
      </c>
      <c r="C476" t="s">
        <v>17</v>
      </c>
      <c r="D476">
        <v>40.709940000000003</v>
      </c>
      <c r="E476">
        <v>-73.958789999999993</v>
      </c>
      <c r="F476" t="s">
        <v>21</v>
      </c>
      <c r="G476">
        <v>2</v>
      </c>
      <c r="H476">
        <v>1</v>
      </c>
      <c r="I476">
        <v>1</v>
      </c>
      <c r="J476">
        <v>1</v>
      </c>
      <c r="K476">
        <v>30</v>
      </c>
      <c r="L476">
        <v>75</v>
      </c>
      <c r="M476">
        <v>36</v>
      </c>
      <c r="N476">
        <v>0.89</v>
      </c>
      <c r="O476">
        <f>IF(F476="Private room",1,0)</f>
        <v>0</v>
      </c>
      <c r="P476">
        <f>IF(C476="Manhattan",4,IF(C476="Brooklyn",2,0))</f>
        <v>2</v>
      </c>
      <c r="Q476" s="2">
        <v>220</v>
      </c>
      <c r="R476" s="1">
        <v>45719</v>
      </c>
      <c r="S476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131.25000000000003</v>
      </c>
    </row>
    <row r="477" spans="1:19" x14ac:dyDescent="0.3">
      <c r="A477" t="s">
        <v>669</v>
      </c>
      <c r="B477" t="s">
        <v>36</v>
      </c>
      <c r="C477" t="s">
        <v>20</v>
      </c>
      <c r="D477">
        <v>40.768239999999999</v>
      </c>
      <c r="E477">
        <v>-73.967389999999995</v>
      </c>
      <c r="F477" t="s">
        <v>21</v>
      </c>
      <c r="G477">
        <v>1</v>
      </c>
      <c r="H477">
        <v>1</v>
      </c>
      <c r="I477">
        <v>0</v>
      </c>
      <c r="J477">
        <v>1</v>
      </c>
      <c r="K477">
        <v>30</v>
      </c>
      <c r="L477">
        <v>50</v>
      </c>
      <c r="M477">
        <v>28</v>
      </c>
      <c r="N477">
        <v>0.68</v>
      </c>
      <c r="O477">
        <f>IF(F477="Private room",1,0)</f>
        <v>0</v>
      </c>
      <c r="P477">
        <f>IF(C477="Manhattan",4,IF(C477="Brooklyn",2,0))</f>
        <v>4</v>
      </c>
      <c r="Q477" s="2">
        <v>203</v>
      </c>
      <c r="R477" s="1">
        <v>45719</v>
      </c>
      <c r="S477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143.73000000000002</v>
      </c>
    </row>
    <row r="478" spans="1:19" x14ac:dyDescent="0.3">
      <c r="A478" t="s">
        <v>670</v>
      </c>
      <c r="B478" t="s">
        <v>197</v>
      </c>
      <c r="C478" t="s">
        <v>91</v>
      </c>
      <c r="D478">
        <v>40.634619999999998</v>
      </c>
      <c r="E478">
        <v>-74.113590000000002</v>
      </c>
      <c r="F478" t="s">
        <v>21</v>
      </c>
      <c r="G478">
        <v>1</v>
      </c>
      <c r="H478">
        <v>1</v>
      </c>
      <c r="I478">
        <v>1</v>
      </c>
      <c r="J478">
        <v>1</v>
      </c>
      <c r="K478">
        <v>30</v>
      </c>
      <c r="L478">
        <v>179</v>
      </c>
      <c r="M478">
        <v>8</v>
      </c>
      <c r="N478">
        <v>0.24</v>
      </c>
      <c r="O478">
        <f>IF(F478="Private room",1,0)</f>
        <v>0</v>
      </c>
      <c r="P478">
        <f>IF(C478="Manhattan",4,IF(C478="Brooklyn",2,0))</f>
        <v>0</v>
      </c>
      <c r="Q478" s="2">
        <v>65</v>
      </c>
      <c r="R478" s="1">
        <v>45727</v>
      </c>
      <c r="S478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77.650000000000006</v>
      </c>
    </row>
    <row r="479" spans="1:19" x14ac:dyDescent="0.3">
      <c r="A479" t="s">
        <v>671</v>
      </c>
      <c r="B479" t="s">
        <v>45</v>
      </c>
      <c r="C479" t="s">
        <v>20</v>
      </c>
      <c r="D479">
        <v>40.740180000000002</v>
      </c>
      <c r="E479">
        <v>-73.99991</v>
      </c>
      <c r="F479" t="s">
        <v>21</v>
      </c>
      <c r="G479">
        <v>2</v>
      </c>
      <c r="H479">
        <v>1</v>
      </c>
      <c r="I479">
        <v>0</v>
      </c>
      <c r="J479">
        <v>1</v>
      </c>
      <c r="K479">
        <v>30</v>
      </c>
      <c r="L479">
        <v>243</v>
      </c>
      <c r="M479">
        <v>8</v>
      </c>
      <c r="N479">
        <v>0.34</v>
      </c>
      <c r="O479">
        <f>IF(F479="Private room",1,0)</f>
        <v>0</v>
      </c>
      <c r="P479">
        <f>IF(C479="Manhattan",4,IF(C479="Brooklyn",2,0))</f>
        <v>4</v>
      </c>
      <c r="Q479" s="2">
        <v>170</v>
      </c>
      <c r="R479" s="1">
        <v>45745</v>
      </c>
      <c r="S479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154.99</v>
      </c>
    </row>
    <row r="480" spans="1:19" x14ac:dyDescent="0.3">
      <c r="A480" t="s">
        <v>672</v>
      </c>
      <c r="B480" t="s">
        <v>60</v>
      </c>
      <c r="C480" t="s">
        <v>17</v>
      </c>
      <c r="D480">
        <v>40.650860000000002</v>
      </c>
      <c r="E480">
        <v>-73.930909999999997</v>
      </c>
      <c r="F480" t="s">
        <v>21</v>
      </c>
      <c r="G480">
        <v>4</v>
      </c>
      <c r="H480">
        <v>1</v>
      </c>
      <c r="I480">
        <v>0</v>
      </c>
      <c r="J480">
        <v>1</v>
      </c>
      <c r="K480">
        <v>30</v>
      </c>
      <c r="L480">
        <v>180</v>
      </c>
      <c r="M480">
        <v>41</v>
      </c>
      <c r="N480">
        <v>1.05</v>
      </c>
      <c r="O480">
        <f>IF(F480="Private room",1,0)</f>
        <v>0</v>
      </c>
      <c r="P480">
        <f>IF(C480="Manhattan",4,IF(C480="Brooklyn",2,0))</f>
        <v>2</v>
      </c>
      <c r="Q480" s="2">
        <v>120</v>
      </c>
      <c r="R480" s="1">
        <v>45741</v>
      </c>
      <c r="S480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165.01000000000005</v>
      </c>
    </row>
    <row r="481" spans="1:19" x14ac:dyDescent="0.3">
      <c r="A481" t="s">
        <v>673</v>
      </c>
      <c r="B481" t="s">
        <v>24</v>
      </c>
      <c r="C481" t="s">
        <v>20</v>
      </c>
      <c r="D481">
        <v>40.788870827036597</v>
      </c>
      <c r="E481">
        <v>-73.941472617429199</v>
      </c>
      <c r="F481" t="s">
        <v>18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228</v>
      </c>
      <c r="M481">
        <v>66</v>
      </c>
      <c r="N481">
        <v>1.61</v>
      </c>
      <c r="O481">
        <f>IF(F481="Private room",1,0)</f>
        <v>1</v>
      </c>
      <c r="P481">
        <f>IF(C481="Manhattan",4,IF(C481="Brooklyn",2,0))</f>
        <v>4</v>
      </c>
      <c r="Q481" s="2">
        <v>185</v>
      </c>
      <c r="R481" s="1">
        <v>45740</v>
      </c>
      <c r="S481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190.46000000000004</v>
      </c>
    </row>
    <row r="482" spans="1:19" x14ac:dyDescent="0.3">
      <c r="A482" t="s">
        <v>674</v>
      </c>
      <c r="B482" t="s">
        <v>23</v>
      </c>
      <c r="C482" t="s">
        <v>17</v>
      </c>
      <c r="D482">
        <v>40.710120000000003</v>
      </c>
      <c r="E482">
        <v>-73.942279999999997</v>
      </c>
      <c r="F482" t="s">
        <v>21</v>
      </c>
      <c r="G482">
        <v>2</v>
      </c>
      <c r="H482">
        <v>1</v>
      </c>
      <c r="I482">
        <v>1</v>
      </c>
      <c r="J482">
        <v>1</v>
      </c>
      <c r="K482">
        <v>30</v>
      </c>
      <c r="L482">
        <v>63</v>
      </c>
      <c r="M482">
        <v>7</v>
      </c>
      <c r="N482">
        <v>0.2</v>
      </c>
      <c r="O482">
        <f>IF(F482="Private room",1,0)</f>
        <v>0</v>
      </c>
      <c r="P482">
        <f>IF(C482="Manhattan",4,IF(C482="Brooklyn",2,0))</f>
        <v>2</v>
      </c>
      <c r="Q482" s="2">
        <v>179</v>
      </c>
      <c r="R482" s="1">
        <v>45729</v>
      </c>
      <c r="S482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131.73000000000002</v>
      </c>
    </row>
    <row r="483" spans="1:19" x14ac:dyDescent="0.3">
      <c r="A483" t="s">
        <v>675</v>
      </c>
      <c r="B483" t="s">
        <v>43</v>
      </c>
      <c r="C483" t="s">
        <v>20</v>
      </c>
      <c r="D483">
        <v>40.721220000000002</v>
      </c>
      <c r="E483">
        <v>-73.993200000000002</v>
      </c>
      <c r="F483" t="s">
        <v>21</v>
      </c>
      <c r="G483">
        <v>2</v>
      </c>
      <c r="H483">
        <v>1</v>
      </c>
      <c r="I483">
        <v>0</v>
      </c>
      <c r="J483">
        <v>1</v>
      </c>
      <c r="K483">
        <v>30</v>
      </c>
      <c r="L483">
        <v>185</v>
      </c>
      <c r="M483">
        <v>12</v>
      </c>
      <c r="N483">
        <v>0.45</v>
      </c>
      <c r="O483">
        <f>IF(F483="Private room",1,0)</f>
        <v>0</v>
      </c>
      <c r="P483">
        <f>IF(C483="Manhattan",4,IF(C483="Brooklyn",2,0))</f>
        <v>4</v>
      </c>
      <c r="Q483" s="2">
        <v>126</v>
      </c>
      <c r="R483" s="1">
        <v>45746</v>
      </c>
      <c r="S483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157.31</v>
      </c>
    </row>
    <row r="484" spans="1:19" x14ac:dyDescent="0.3">
      <c r="A484" t="s">
        <v>676</v>
      </c>
      <c r="B484" t="s">
        <v>56</v>
      </c>
      <c r="C484" t="s">
        <v>17</v>
      </c>
      <c r="D484">
        <v>40.673549999999999</v>
      </c>
      <c r="E484">
        <v>-73.928309999999996</v>
      </c>
      <c r="F484" t="s">
        <v>18</v>
      </c>
      <c r="G484">
        <v>1</v>
      </c>
      <c r="H484">
        <v>1</v>
      </c>
      <c r="I484">
        <v>1</v>
      </c>
      <c r="J484">
        <v>1</v>
      </c>
      <c r="K484">
        <v>3</v>
      </c>
      <c r="L484">
        <v>211</v>
      </c>
      <c r="M484">
        <v>45</v>
      </c>
      <c r="N484">
        <v>1.1599999999999999</v>
      </c>
      <c r="O484">
        <f>IF(F484="Private room",1,0)</f>
        <v>1</v>
      </c>
      <c r="P484">
        <f>IF(C484="Manhattan",4,IF(C484="Brooklyn",2,0))</f>
        <v>2</v>
      </c>
      <c r="Q484" s="2">
        <v>120</v>
      </c>
      <c r="R484" s="1">
        <v>45726</v>
      </c>
      <c r="S484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153.97999999999999</v>
      </c>
    </row>
    <row r="485" spans="1:19" x14ac:dyDescent="0.3">
      <c r="A485" t="s">
        <v>678</v>
      </c>
      <c r="B485" t="s">
        <v>42</v>
      </c>
      <c r="C485" t="s">
        <v>17</v>
      </c>
      <c r="D485">
        <v>40.73028</v>
      </c>
      <c r="E485">
        <v>-73.955780000000004</v>
      </c>
      <c r="F485" t="s">
        <v>18</v>
      </c>
      <c r="G485">
        <v>2</v>
      </c>
      <c r="H485">
        <v>1</v>
      </c>
      <c r="I485">
        <v>1</v>
      </c>
      <c r="J485">
        <v>1</v>
      </c>
      <c r="K485">
        <v>30</v>
      </c>
      <c r="L485">
        <v>278</v>
      </c>
      <c r="M485">
        <v>1</v>
      </c>
      <c r="N485">
        <v>0.48</v>
      </c>
      <c r="O485">
        <f>IF(F485="Private room",1,0)</f>
        <v>1</v>
      </c>
      <c r="P485">
        <f>IF(C485="Manhattan",4,IF(C485="Brooklyn",2,0))</f>
        <v>2</v>
      </c>
      <c r="Q485" s="2">
        <v>75</v>
      </c>
      <c r="R485" s="1">
        <v>45717</v>
      </c>
      <c r="S485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79.830000000000013</v>
      </c>
    </row>
    <row r="486" spans="1:19" x14ac:dyDescent="0.3">
      <c r="A486" t="s">
        <v>679</v>
      </c>
      <c r="B486" t="s">
        <v>42</v>
      </c>
      <c r="C486" t="s">
        <v>17</v>
      </c>
      <c r="D486" s="3" t="s">
        <v>677</v>
      </c>
      <c r="E486">
        <v>-73.955780029296804</v>
      </c>
      <c r="F486" t="s">
        <v>18</v>
      </c>
      <c r="G486">
        <v>2</v>
      </c>
      <c r="H486">
        <v>1</v>
      </c>
      <c r="I486">
        <v>1</v>
      </c>
      <c r="J486">
        <v>1</v>
      </c>
      <c r="K486">
        <v>30</v>
      </c>
      <c r="L486">
        <v>322</v>
      </c>
      <c r="M486">
        <v>4</v>
      </c>
      <c r="N486">
        <v>0.11</v>
      </c>
      <c r="O486">
        <f>IF(F486="Private room",1,0)</f>
        <v>1</v>
      </c>
      <c r="P486">
        <f>IF(C486="Manhattan",4,IF(C486="Brooklyn",2,0))</f>
        <v>2</v>
      </c>
      <c r="Q486" s="2">
        <v>77</v>
      </c>
      <c r="R486" s="1">
        <v>45723</v>
      </c>
      <c r="S486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78.070000000000022</v>
      </c>
    </row>
    <row r="487" spans="1:19" x14ac:dyDescent="0.3">
      <c r="A487" t="s">
        <v>680</v>
      </c>
      <c r="B487" t="s">
        <v>36</v>
      </c>
      <c r="C487" t="s">
        <v>20</v>
      </c>
      <c r="D487" s="3" t="s">
        <v>636</v>
      </c>
      <c r="E487">
        <v>-73.966262817382798</v>
      </c>
      <c r="F487" t="s">
        <v>21</v>
      </c>
      <c r="G487">
        <v>3</v>
      </c>
      <c r="H487">
        <v>1</v>
      </c>
      <c r="I487">
        <v>0</v>
      </c>
      <c r="J487">
        <v>1</v>
      </c>
      <c r="K487">
        <v>30</v>
      </c>
      <c r="L487">
        <v>278</v>
      </c>
      <c r="M487">
        <v>6</v>
      </c>
      <c r="N487">
        <v>0.16</v>
      </c>
      <c r="O487">
        <f>IF(F487="Private room",1,0)</f>
        <v>0</v>
      </c>
      <c r="P487">
        <f>IF(C487="Manhattan",4,IF(C487="Brooklyn",2,0))</f>
        <v>4</v>
      </c>
      <c r="Q487" s="2">
        <v>242</v>
      </c>
      <c r="R487" s="1">
        <v>45717</v>
      </c>
      <c r="S487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172.57</v>
      </c>
    </row>
    <row r="488" spans="1:19" x14ac:dyDescent="0.3">
      <c r="A488" t="s">
        <v>681</v>
      </c>
      <c r="B488" t="s">
        <v>36</v>
      </c>
      <c r="C488" t="s">
        <v>20</v>
      </c>
      <c r="D488">
        <v>40.762419999999999</v>
      </c>
      <c r="E488">
        <v>-73.961420000000004</v>
      </c>
      <c r="F488" t="s">
        <v>21</v>
      </c>
      <c r="G488">
        <v>2</v>
      </c>
      <c r="H488">
        <v>1</v>
      </c>
      <c r="I488">
        <v>1</v>
      </c>
      <c r="J488">
        <v>1</v>
      </c>
      <c r="K488">
        <v>30</v>
      </c>
      <c r="L488">
        <v>230</v>
      </c>
      <c r="M488">
        <v>10</v>
      </c>
      <c r="N488">
        <v>0.28000000000000003</v>
      </c>
      <c r="O488">
        <f>IF(F488="Private room",1,0)</f>
        <v>0</v>
      </c>
      <c r="P488">
        <f>IF(C488="Manhattan",4,IF(C488="Brooklyn",2,0))</f>
        <v>4</v>
      </c>
      <c r="Q488" s="2">
        <v>115</v>
      </c>
      <c r="R488" s="1">
        <v>45725</v>
      </c>
      <c r="S488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155.51000000000002</v>
      </c>
    </row>
    <row r="489" spans="1:19" x14ac:dyDescent="0.3">
      <c r="A489" t="s">
        <v>682</v>
      </c>
      <c r="B489" t="s">
        <v>23</v>
      </c>
      <c r="C489" t="s">
        <v>17</v>
      </c>
      <c r="D489">
        <v>40.718890000000002</v>
      </c>
      <c r="E489">
        <v>-73.940550000000002</v>
      </c>
      <c r="F489" t="s">
        <v>21</v>
      </c>
      <c r="G489">
        <v>3</v>
      </c>
      <c r="H489">
        <v>1</v>
      </c>
      <c r="I489">
        <v>1</v>
      </c>
      <c r="J489">
        <v>1</v>
      </c>
      <c r="K489">
        <v>30</v>
      </c>
      <c r="L489">
        <v>275</v>
      </c>
      <c r="M489">
        <v>12</v>
      </c>
      <c r="N489">
        <v>0.32</v>
      </c>
      <c r="O489">
        <f>IF(F489="Private room",1,0)</f>
        <v>0</v>
      </c>
      <c r="P489">
        <f>IF(C489="Manhattan",4,IF(C489="Brooklyn",2,0))</f>
        <v>2</v>
      </c>
      <c r="Q489" s="2">
        <v>100</v>
      </c>
      <c r="R489" s="1">
        <v>45747</v>
      </c>
      <c r="S489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142.23000000000002</v>
      </c>
    </row>
    <row r="490" spans="1:19" x14ac:dyDescent="0.3">
      <c r="A490" t="s">
        <v>683</v>
      </c>
      <c r="B490" t="s">
        <v>53</v>
      </c>
      <c r="C490" t="s">
        <v>20</v>
      </c>
      <c r="D490">
        <v>40.782879999999999</v>
      </c>
      <c r="E490">
        <v>-73.983540000000005</v>
      </c>
      <c r="F490" t="s">
        <v>21</v>
      </c>
      <c r="G490">
        <v>4</v>
      </c>
      <c r="H490">
        <v>2</v>
      </c>
      <c r="I490">
        <v>2</v>
      </c>
      <c r="J490">
        <v>2</v>
      </c>
      <c r="K490">
        <v>30</v>
      </c>
      <c r="L490">
        <v>176</v>
      </c>
      <c r="M490">
        <v>8</v>
      </c>
      <c r="N490">
        <v>0.22</v>
      </c>
      <c r="O490">
        <f>IF(F490="Private room",1,0)</f>
        <v>0</v>
      </c>
      <c r="P490">
        <f>IF(C490="Manhattan",4,IF(C490="Brooklyn",2,0))</f>
        <v>4</v>
      </c>
      <c r="Q490" s="2">
        <v>150</v>
      </c>
      <c r="R490" s="1">
        <v>45747</v>
      </c>
      <c r="S490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206.85000000000002</v>
      </c>
    </row>
    <row r="491" spans="1:19" x14ac:dyDescent="0.3">
      <c r="A491" t="s">
        <v>684</v>
      </c>
      <c r="B491" t="s">
        <v>60</v>
      </c>
      <c r="C491" t="s">
        <v>17</v>
      </c>
      <c r="D491">
        <v>40.644869999999997</v>
      </c>
      <c r="E491">
        <v>-73.950159999999997</v>
      </c>
      <c r="F491" t="s">
        <v>21</v>
      </c>
      <c r="G491">
        <v>2</v>
      </c>
      <c r="H491">
        <v>1</v>
      </c>
      <c r="I491">
        <v>1</v>
      </c>
      <c r="J491">
        <v>2</v>
      </c>
      <c r="K491">
        <v>30</v>
      </c>
      <c r="L491">
        <v>55</v>
      </c>
      <c r="M491">
        <v>12</v>
      </c>
      <c r="N491">
        <v>0.39</v>
      </c>
      <c r="O491">
        <f>IF(F491="Private room",1,0)</f>
        <v>0</v>
      </c>
      <c r="P491">
        <f>IF(C491="Manhattan",4,IF(C491="Brooklyn",2,0))</f>
        <v>2</v>
      </c>
      <c r="Q491" s="2">
        <v>98</v>
      </c>
      <c r="R491" s="1">
        <v>45747</v>
      </c>
      <c r="S491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132.05000000000001</v>
      </c>
    </row>
    <row r="492" spans="1:19" x14ac:dyDescent="0.3">
      <c r="A492" t="s">
        <v>685</v>
      </c>
      <c r="B492" t="s">
        <v>53</v>
      </c>
      <c r="C492" t="s">
        <v>20</v>
      </c>
      <c r="D492">
        <v>40.783079999999998</v>
      </c>
      <c r="E492">
        <v>-73.984200000000001</v>
      </c>
      <c r="F492" t="s">
        <v>21</v>
      </c>
      <c r="G492">
        <v>2</v>
      </c>
      <c r="H492">
        <v>1</v>
      </c>
      <c r="I492">
        <v>1</v>
      </c>
      <c r="J492">
        <v>1</v>
      </c>
      <c r="K492">
        <v>30</v>
      </c>
      <c r="L492">
        <v>305</v>
      </c>
      <c r="M492">
        <v>19</v>
      </c>
      <c r="N492">
        <v>0.5</v>
      </c>
      <c r="O492">
        <f>IF(F492="Private room",1,0)</f>
        <v>0</v>
      </c>
      <c r="P492">
        <f>IF(C492="Manhattan",4,IF(C492="Brooklyn",2,0))</f>
        <v>4</v>
      </c>
      <c r="Q492" s="2">
        <v>155</v>
      </c>
      <c r="R492" s="1">
        <v>45747</v>
      </c>
      <c r="S492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152.51000000000002</v>
      </c>
    </row>
    <row r="493" spans="1:19" x14ac:dyDescent="0.3">
      <c r="A493" t="s">
        <v>686</v>
      </c>
      <c r="B493" t="s">
        <v>53</v>
      </c>
      <c r="C493" t="s">
        <v>20</v>
      </c>
      <c r="D493">
        <v>40.782519999999998</v>
      </c>
      <c r="E493">
        <v>-73.983680000000007</v>
      </c>
      <c r="F493" t="s">
        <v>21</v>
      </c>
      <c r="G493">
        <v>2</v>
      </c>
      <c r="H493">
        <v>1</v>
      </c>
      <c r="I493">
        <v>1</v>
      </c>
      <c r="J493">
        <v>1</v>
      </c>
      <c r="K493">
        <v>30</v>
      </c>
      <c r="L493">
        <v>112</v>
      </c>
      <c r="M493">
        <v>12</v>
      </c>
      <c r="N493">
        <v>0.33</v>
      </c>
      <c r="O493">
        <f>IF(F493="Private room",1,0)</f>
        <v>0</v>
      </c>
      <c r="P493">
        <f>IF(C493="Manhattan",4,IF(C493="Brooklyn",2,0))</f>
        <v>4</v>
      </c>
      <c r="Q493" s="2">
        <v>135</v>
      </c>
      <c r="R493" s="1">
        <v>45742</v>
      </c>
      <c r="S493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160.23000000000002</v>
      </c>
    </row>
    <row r="494" spans="1:19" x14ac:dyDescent="0.3">
      <c r="A494" t="s">
        <v>687</v>
      </c>
      <c r="B494" t="s">
        <v>56</v>
      </c>
      <c r="C494" t="s">
        <v>17</v>
      </c>
      <c r="D494">
        <v>40.670819999999999</v>
      </c>
      <c r="E494">
        <v>-73.957840000000004</v>
      </c>
      <c r="F494" t="s">
        <v>18</v>
      </c>
      <c r="G494">
        <v>1</v>
      </c>
      <c r="H494">
        <v>2</v>
      </c>
      <c r="I494">
        <v>1</v>
      </c>
      <c r="J494">
        <v>1</v>
      </c>
      <c r="K494">
        <v>30</v>
      </c>
      <c r="L494">
        <v>357</v>
      </c>
      <c r="M494">
        <v>12</v>
      </c>
      <c r="N494">
        <v>0.36</v>
      </c>
      <c r="O494">
        <f>IF(F494="Private room",1,0)</f>
        <v>1</v>
      </c>
      <c r="P494">
        <f>IF(C494="Manhattan",4,IF(C494="Brooklyn",2,0))</f>
        <v>2</v>
      </c>
      <c r="Q494" s="2">
        <v>160</v>
      </c>
      <c r="R494" s="1">
        <v>45733</v>
      </c>
      <c r="S494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68.91</v>
      </c>
    </row>
    <row r="495" spans="1:19" x14ac:dyDescent="0.3">
      <c r="A495" t="s">
        <v>688</v>
      </c>
      <c r="B495" t="s">
        <v>41</v>
      </c>
      <c r="C495" t="s">
        <v>20</v>
      </c>
      <c r="D495">
        <v>40.72334</v>
      </c>
      <c r="E495">
        <v>-73.981589999999997</v>
      </c>
      <c r="F495" t="s">
        <v>18</v>
      </c>
      <c r="G495">
        <v>1</v>
      </c>
      <c r="H495">
        <v>1</v>
      </c>
      <c r="I495">
        <v>1</v>
      </c>
      <c r="J495">
        <v>1</v>
      </c>
      <c r="K495">
        <v>30</v>
      </c>
      <c r="L495">
        <v>292</v>
      </c>
      <c r="M495">
        <v>2</v>
      </c>
      <c r="N495">
        <v>0.09</v>
      </c>
      <c r="O495">
        <f>IF(F495="Private room",1,0)</f>
        <v>1</v>
      </c>
      <c r="P495">
        <f>IF(C495="Manhattan",4,IF(C495="Brooklyn",2,0))</f>
        <v>4</v>
      </c>
      <c r="Q495" s="2">
        <v>67</v>
      </c>
      <c r="R495" s="1">
        <v>45746</v>
      </c>
      <c r="S495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90.75</v>
      </c>
    </row>
    <row r="496" spans="1:19" x14ac:dyDescent="0.3">
      <c r="A496" t="s">
        <v>689</v>
      </c>
      <c r="B496" t="s">
        <v>29</v>
      </c>
      <c r="C496" t="s">
        <v>30</v>
      </c>
      <c r="D496" s="3" t="s">
        <v>690</v>
      </c>
      <c r="E496">
        <v>-73.906349182128906</v>
      </c>
      <c r="F496" t="s">
        <v>18</v>
      </c>
      <c r="G496">
        <v>1</v>
      </c>
      <c r="H496">
        <v>1</v>
      </c>
      <c r="I496">
        <v>1</v>
      </c>
      <c r="J496">
        <v>1</v>
      </c>
      <c r="K496">
        <v>2</v>
      </c>
      <c r="L496">
        <v>50</v>
      </c>
      <c r="M496">
        <v>75</v>
      </c>
      <c r="N496">
        <v>1.99</v>
      </c>
      <c r="O496">
        <f>IF(F496="Private room",1,0)</f>
        <v>1</v>
      </c>
      <c r="P496">
        <f>IF(C496="Manhattan",4,IF(C496="Brooklyn",2,0))</f>
        <v>0</v>
      </c>
      <c r="Q496" s="2">
        <v>169</v>
      </c>
      <c r="R496" s="1">
        <v>45739</v>
      </c>
      <c r="S496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133.31</v>
      </c>
    </row>
    <row r="497" spans="1:19" x14ac:dyDescent="0.3">
      <c r="A497" t="s">
        <v>691</v>
      </c>
      <c r="B497" t="s">
        <v>41</v>
      </c>
      <c r="C497" t="s">
        <v>20</v>
      </c>
      <c r="D497">
        <v>40.723080000000003</v>
      </c>
      <c r="E497">
        <v>-73.981480000000005</v>
      </c>
      <c r="F497" t="s">
        <v>18</v>
      </c>
      <c r="G497">
        <v>1</v>
      </c>
      <c r="H497">
        <v>1</v>
      </c>
      <c r="I497">
        <v>1</v>
      </c>
      <c r="J497">
        <v>1</v>
      </c>
      <c r="K497">
        <v>30</v>
      </c>
      <c r="L497">
        <v>330</v>
      </c>
      <c r="M497">
        <v>2</v>
      </c>
      <c r="N497">
        <v>0.06</v>
      </c>
      <c r="O497">
        <f>IF(F497="Private room",1,0)</f>
        <v>1</v>
      </c>
      <c r="P497">
        <f>IF(C497="Manhattan",4,IF(C497="Brooklyn",2,0))</f>
        <v>4</v>
      </c>
      <c r="Q497" s="2">
        <v>68</v>
      </c>
      <c r="R497" s="1">
        <v>45747</v>
      </c>
      <c r="S497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89.23</v>
      </c>
    </row>
    <row r="498" spans="1:19" x14ac:dyDescent="0.3">
      <c r="A498" t="s">
        <v>692</v>
      </c>
      <c r="B498" t="s">
        <v>36</v>
      </c>
      <c r="C498" t="s">
        <v>20</v>
      </c>
      <c r="D498">
        <v>40.785330000000002</v>
      </c>
      <c r="E498">
        <v>-73.952150000000003</v>
      </c>
      <c r="F498" t="s">
        <v>21</v>
      </c>
      <c r="G498">
        <v>4</v>
      </c>
      <c r="H498">
        <v>1</v>
      </c>
      <c r="I498">
        <v>2</v>
      </c>
      <c r="J498">
        <v>3</v>
      </c>
      <c r="K498">
        <v>30</v>
      </c>
      <c r="L498">
        <v>282</v>
      </c>
      <c r="M498">
        <v>10</v>
      </c>
      <c r="N498">
        <v>0.27</v>
      </c>
      <c r="O498">
        <f>IF(F498="Private room",1,0)</f>
        <v>0</v>
      </c>
      <c r="P498">
        <f>IF(C498="Manhattan",4,IF(C498="Brooklyn",2,0))</f>
        <v>4</v>
      </c>
      <c r="Q498" s="2">
        <v>155</v>
      </c>
      <c r="R498" s="1">
        <v>45717</v>
      </c>
      <c r="S498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191.39000000000004</v>
      </c>
    </row>
    <row r="499" spans="1:19" x14ac:dyDescent="0.3">
      <c r="A499" t="s">
        <v>693</v>
      </c>
      <c r="B499" t="s">
        <v>23</v>
      </c>
      <c r="C499" t="s">
        <v>17</v>
      </c>
      <c r="D499">
        <v>40.712919999999997</v>
      </c>
      <c r="E499">
        <v>-73.962249999999997</v>
      </c>
      <c r="F499" t="s">
        <v>21</v>
      </c>
      <c r="G499">
        <v>2</v>
      </c>
      <c r="H499">
        <v>1</v>
      </c>
      <c r="I499">
        <v>1</v>
      </c>
      <c r="J499">
        <v>1</v>
      </c>
      <c r="K499">
        <v>30</v>
      </c>
      <c r="L499">
        <v>263</v>
      </c>
      <c r="M499">
        <v>7</v>
      </c>
      <c r="N499">
        <v>0.21</v>
      </c>
      <c r="O499">
        <f>IF(F499="Private room",1,0)</f>
        <v>0</v>
      </c>
      <c r="P499">
        <f>IF(C499="Manhattan",4,IF(C499="Brooklyn",2,0))</f>
        <v>2</v>
      </c>
      <c r="Q499" s="2">
        <v>175</v>
      </c>
      <c r="R499" s="1">
        <v>45717</v>
      </c>
      <c r="S499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123.73000000000002</v>
      </c>
    </row>
    <row r="500" spans="1:19" x14ac:dyDescent="0.3">
      <c r="A500" t="s">
        <v>694</v>
      </c>
      <c r="B500" t="s">
        <v>150</v>
      </c>
      <c r="C500" t="s">
        <v>17</v>
      </c>
      <c r="D500">
        <v>40.613970000000002</v>
      </c>
      <c r="E500">
        <v>-73.981089999999995</v>
      </c>
      <c r="F500" t="s">
        <v>18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175</v>
      </c>
      <c r="M500">
        <v>37</v>
      </c>
      <c r="N500">
        <v>0.94</v>
      </c>
      <c r="O500">
        <f>IF(F500="Private room",1,0)</f>
        <v>1</v>
      </c>
      <c r="P500">
        <f>IF(C500="Manhattan",4,IF(C500="Brooklyn",2,0))</f>
        <v>2</v>
      </c>
      <c r="Q500" s="2">
        <v>114</v>
      </c>
      <c r="R500" s="1">
        <v>45732</v>
      </c>
      <c r="S500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162.12000000000003</v>
      </c>
    </row>
    <row r="501" spans="1:19" x14ac:dyDescent="0.3">
      <c r="A501" t="s">
        <v>695</v>
      </c>
      <c r="B501" t="s">
        <v>196</v>
      </c>
      <c r="C501" t="s">
        <v>17</v>
      </c>
      <c r="D501" s="3" t="s">
        <v>696</v>
      </c>
      <c r="E501">
        <v>-73.874540161829003</v>
      </c>
      <c r="F501" t="s">
        <v>21</v>
      </c>
      <c r="G501">
        <v>4</v>
      </c>
      <c r="H501">
        <v>1</v>
      </c>
      <c r="I501">
        <v>2</v>
      </c>
      <c r="J501">
        <v>2</v>
      </c>
      <c r="K501">
        <v>4</v>
      </c>
      <c r="L501">
        <v>229</v>
      </c>
      <c r="M501">
        <v>46</v>
      </c>
      <c r="N501">
        <v>1.21</v>
      </c>
      <c r="O501">
        <f>IF(F501="Private room",1,0)</f>
        <v>0</v>
      </c>
      <c r="P501">
        <f>IF(C501="Manhattan",4,IF(C501="Brooklyn",2,0))</f>
        <v>2</v>
      </c>
      <c r="Q501" s="2">
        <v>183</v>
      </c>
      <c r="R501" s="1">
        <v>45738</v>
      </c>
      <c r="S501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250.15000000000003</v>
      </c>
    </row>
    <row r="502" spans="1:19" x14ac:dyDescent="0.3">
      <c r="A502" t="s">
        <v>697</v>
      </c>
      <c r="B502" t="s">
        <v>27</v>
      </c>
      <c r="C502" t="s">
        <v>17</v>
      </c>
      <c r="D502">
        <v>40.688079999999999</v>
      </c>
      <c r="E502">
        <v>-73.953209999999999</v>
      </c>
      <c r="F502" t="s">
        <v>21</v>
      </c>
      <c r="G502">
        <v>4</v>
      </c>
      <c r="H502">
        <v>1</v>
      </c>
      <c r="I502">
        <v>1</v>
      </c>
      <c r="J502">
        <v>2</v>
      </c>
      <c r="K502">
        <v>30</v>
      </c>
      <c r="L502">
        <v>256</v>
      </c>
      <c r="M502">
        <v>13</v>
      </c>
      <c r="N502">
        <v>0.34</v>
      </c>
      <c r="O502">
        <f>IF(F502="Private room",1,0)</f>
        <v>0</v>
      </c>
      <c r="P502">
        <f>IF(C502="Manhattan",4,IF(C502="Brooklyn",2,0))</f>
        <v>2</v>
      </c>
      <c r="Q502" s="2">
        <v>125</v>
      </c>
      <c r="R502" s="1">
        <v>45717</v>
      </c>
      <c r="S502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161.97000000000003</v>
      </c>
    </row>
    <row r="503" spans="1:19" x14ac:dyDescent="0.3">
      <c r="A503" t="s">
        <v>698</v>
      </c>
      <c r="B503" t="s">
        <v>27</v>
      </c>
      <c r="C503" t="s">
        <v>17</v>
      </c>
      <c r="D503">
        <v>40.686870999999996</v>
      </c>
      <c r="E503">
        <v>-73.936645999999996</v>
      </c>
      <c r="F503" t="s">
        <v>21</v>
      </c>
      <c r="G503">
        <v>2</v>
      </c>
      <c r="H503">
        <v>1</v>
      </c>
      <c r="I503">
        <v>1</v>
      </c>
      <c r="J503">
        <v>1</v>
      </c>
      <c r="K503">
        <v>30</v>
      </c>
      <c r="L503">
        <v>110</v>
      </c>
      <c r="M503">
        <v>16</v>
      </c>
      <c r="N503">
        <v>0.43</v>
      </c>
      <c r="O503">
        <f>IF(F503="Private room",1,0)</f>
        <v>0</v>
      </c>
      <c r="P503">
        <f>IF(C503="Manhattan",4,IF(C503="Brooklyn",2,0))</f>
        <v>2</v>
      </c>
      <c r="Q503" s="2">
        <v>65</v>
      </c>
      <c r="R503" s="1">
        <v>45717</v>
      </c>
      <c r="S503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129.85000000000002</v>
      </c>
    </row>
    <row r="504" spans="1:19" x14ac:dyDescent="0.3">
      <c r="A504" t="s">
        <v>699</v>
      </c>
      <c r="B504" t="s">
        <v>27</v>
      </c>
      <c r="C504" t="s">
        <v>17</v>
      </c>
      <c r="D504">
        <v>40.682659999999998</v>
      </c>
      <c r="E504">
        <v>-73.923699999999997</v>
      </c>
      <c r="F504" t="s">
        <v>18</v>
      </c>
      <c r="G504">
        <v>2</v>
      </c>
      <c r="H504">
        <v>1</v>
      </c>
      <c r="I504">
        <v>2</v>
      </c>
      <c r="J504">
        <v>3</v>
      </c>
      <c r="K504">
        <v>4</v>
      </c>
      <c r="L504">
        <v>169</v>
      </c>
      <c r="M504">
        <v>55</v>
      </c>
      <c r="N504">
        <v>1.43</v>
      </c>
      <c r="O504">
        <f>IF(F504="Private room",1,0)</f>
        <v>1</v>
      </c>
      <c r="P504">
        <f>IF(C504="Manhattan",4,IF(C504="Brooklyn",2,0))</f>
        <v>2</v>
      </c>
      <c r="Q504" s="2">
        <v>161</v>
      </c>
      <c r="R504" s="1">
        <v>45741</v>
      </c>
      <c r="S504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171.29000000000005</v>
      </c>
    </row>
    <row r="505" spans="1:19" x14ac:dyDescent="0.3">
      <c r="A505" t="s">
        <v>700</v>
      </c>
      <c r="B505" t="s">
        <v>28</v>
      </c>
      <c r="C505" t="s">
        <v>20</v>
      </c>
      <c r="D505">
        <v>40.814709999999998</v>
      </c>
      <c r="E505">
        <v>-73.937740000000005</v>
      </c>
      <c r="F505" t="s">
        <v>21</v>
      </c>
      <c r="G505">
        <v>1</v>
      </c>
      <c r="H505">
        <v>1</v>
      </c>
      <c r="I505">
        <v>0</v>
      </c>
      <c r="J505">
        <v>1</v>
      </c>
      <c r="K505">
        <v>30</v>
      </c>
      <c r="L505">
        <v>137</v>
      </c>
      <c r="M505">
        <v>13</v>
      </c>
      <c r="N505">
        <v>0.34</v>
      </c>
      <c r="O505">
        <f>IF(F505="Private room",1,0)</f>
        <v>0</v>
      </c>
      <c r="P505">
        <f>IF(C505="Manhattan",4,IF(C505="Brooklyn",2,0))</f>
        <v>4</v>
      </c>
      <c r="Q505" s="2">
        <v>76</v>
      </c>
      <c r="R505" s="1">
        <v>45747</v>
      </c>
      <c r="S505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140.25</v>
      </c>
    </row>
    <row r="506" spans="1:19" x14ac:dyDescent="0.3">
      <c r="A506" t="s">
        <v>701</v>
      </c>
      <c r="B506" t="s">
        <v>61</v>
      </c>
      <c r="C506" t="s">
        <v>30</v>
      </c>
      <c r="D506">
        <v>40.760770000000001</v>
      </c>
      <c r="E506">
        <v>-73.925160000000005</v>
      </c>
      <c r="F506" t="s">
        <v>18</v>
      </c>
      <c r="G506">
        <v>2</v>
      </c>
      <c r="H506">
        <v>1</v>
      </c>
      <c r="I506">
        <v>1</v>
      </c>
      <c r="J506">
        <v>1</v>
      </c>
      <c r="K506">
        <v>2</v>
      </c>
      <c r="L506">
        <v>318</v>
      </c>
      <c r="M506">
        <v>87</v>
      </c>
      <c r="N506">
        <v>2.23</v>
      </c>
      <c r="O506">
        <f>IF(F506="Private room",1,0)</f>
        <v>1</v>
      </c>
      <c r="P506">
        <f>IF(C506="Manhattan",4,IF(C506="Brooklyn",2,0))</f>
        <v>0</v>
      </c>
      <c r="Q506" s="2">
        <v>175</v>
      </c>
      <c r="R506" s="1">
        <v>45736</v>
      </c>
      <c r="S506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141.57000000000005</v>
      </c>
    </row>
    <row r="507" spans="1:19" x14ac:dyDescent="0.3">
      <c r="A507" t="s">
        <v>702</v>
      </c>
      <c r="B507" t="s">
        <v>27</v>
      </c>
      <c r="C507" t="s">
        <v>17</v>
      </c>
      <c r="D507">
        <v>40.693190000000001</v>
      </c>
      <c r="E507">
        <v>-73.940020000000004</v>
      </c>
      <c r="F507" t="s">
        <v>18</v>
      </c>
      <c r="G507">
        <v>1</v>
      </c>
      <c r="H507">
        <v>1</v>
      </c>
      <c r="I507">
        <v>1</v>
      </c>
      <c r="J507">
        <v>1</v>
      </c>
      <c r="K507">
        <v>30</v>
      </c>
      <c r="L507">
        <v>239</v>
      </c>
      <c r="M507">
        <v>13</v>
      </c>
      <c r="N507">
        <v>0.35</v>
      </c>
      <c r="O507">
        <f>IF(F507="Private room",1,0)</f>
        <v>1</v>
      </c>
      <c r="P507">
        <f>IF(C507="Manhattan",4,IF(C507="Brooklyn",2,0))</f>
        <v>2</v>
      </c>
      <c r="Q507" s="2">
        <v>67</v>
      </c>
      <c r="R507" s="1">
        <v>45726</v>
      </c>
      <c r="S507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62.410000000000004</v>
      </c>
    </row>
    <row r="508" spans="1:19" x14ac:dyDescent="0.3">
      <c r="A508" t="s">
        <v>703</v>
      </c>
      <c r="B508" t="s">
        <v>113</v>
      </c>
      <c r="C508" t="s">
        <v>30</v>
      </c>
      <c r="D508">
        <v>40.760869999999997</v>
      </c>
      <c r="E508">
        <v>-73.802040000000005</v>
      </c>
      <c r="F508" t="s">
        <v>18</v>
      </c>
      <c r="G508">
        <v>1</v>
      </c>
      <c r="H508">
        <v>1</v>
      </c>
      <c r="I508">
        <v>1</v>
      </c>
      <c r="J508">
        <v>1</v>
      </c>
      <c r="K508">
        <v>30</v>
      </c>
      <c r="L508">
        <v>334</v>
      </c>
      <c r="M508">
        <v>15</v>
      </c>
      <c r="N508">
        <v>0.39</v>
      </c>
      <c r="O508">
        <f>IF(F508="Private room",1,0)</f>
        <v>1</v>
      </c>
      <c r="P508">
        <f>IF(C508="Manhattan",4,IF(C508="Brooklyn",2,0))</f>
        <v>0</v>
      </c>
      <c r="Q508" s="2">
        <v>70</v>
      </c>
      <c r="R508" s="1">
        <v>45723</v>
      </c>
      <c r="S508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28.150000000000006</v>
      </c>
    </row>
    <row r="509" spans="1:19" x14ac:dyDescent="0.3">
      <c r="A509" t="s">
        <v>704</v>
      </c>
      <c r="B509" t="s">
        <v>27</v>
      </c>
      <c r="C509" t="s">
        <v>17</v>
      </c>
      <c r="D509">
        <v>40.682169999999999</v>
      </c>
      <c r="E509">
        <v>-73.938800000000001</v>
      </c>
      <c r="F509" t="s">
        <v>18</v>
      </c>
      <c r="G509">
        <v>2</v>
      </c>
      <c r="H509">
        <v>1</v>
      </c>
      <c r="I509">
        <v>1</v>
      </c>
      <c r="J509">
        <v>1</v>
      </c>
      <c r="K509">
        <v>2</v>
      </c>
      <c r="L509">
        <v>339</v>
      </c>
      <c r="M509">
        <v>104</v>
      </c>
      <c r="N509">
        <v>2.66</v>
      </c>
      <c r="O509">
        <f>IF(F509="Private room",1,0)</f>
        <v>1</v>
      </c>
      <c r="P509">
        <f>IF(C509="Manhattan",4,IF(C509="Brooklyn",2,0))</f>
        <v>2</v>
      </c>
      <c r="Q509" s="2">
        <v>104</v>
      </c>
      <c r="R509" s="1">
        <v>45741</v>
      </c>
      <c r="S509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171.19000000000003</v>
      </c>
    </row>
    <row r="510" spans="1:19" x14ac:dyDescent="0.3">
      <c r="A510" t="s">
        <v>705</v>
      </c>
      <c r="B510" t="s">
        <v>160</v>
      </c>
      <c r="C510" t="s">
        <v>31</v>
      </c>
      <c r="D510">
        <v>40.889719999999997</v>
      </c>
      <c r="E510">
        <v>-73.858090000000004</v>
      </c>
      <c r="F510" t="s">
        <v>18</v>
      </c>
      <c r="G510">
        <v>1</v>
      </c>
      <c r="H510">
        <v>1</v>
      </c>
      <c r="I510">
        <v>1</v>
      </c>
      <c r="J510">
        <v>1</v>
      </c>
      <c r="K510">
        <v>30</v>
      </c>
      <c r="L510">
        <v>78</v>
      </c>
      <c r="M510">
        <v>49</v>
      </c>
      <c r="N510">
        <v>1.37</v>
      </c>
      <c r="O510">
        <f>IF(F510="Private room",1,0)</f>
        <v>1</v>
      </c>
      <c r="P510">
        <f>IF(C510="Manhattan",4,IF(C510="Brooklyn",2,0))</f>
        <v>0</v>
      </c>
      <c r="Q510" s="2">
        <v>59</v>
      </c>
      <c r="R510" s="1">
        <v>45730</v>
      </c>
      <c r="S510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38.39</v>
      </c>
    </row>
    <row r="511" spans="1:19" x14ac:dyDescent="0.3">
      <c r="A511" t="s">
        <v>706</v>
      </c>
      <c r="B511" t="s">
        <v>132</v>
      </c>
      <c r="C511" t="s">
        <v>17</v>
      </c>
      <c r="D511">
        <v>40.63129</v>
      </c>
      <c r="E511">
        <v>-73.910319999999999</v>
      </c>
      <c r="F511" t="s">
        <v>18</v>
      </c>
      <c r="G511">
        <v>2</v>
      </c>
      <c r="H511">
        <v>1</v>
      </c>
      <c r="I511">
        <v>1</v>
      </c>
      <c r="J511">
        <v>2</v>
      </c>
      <c r="K511">
        <v>30</v>
      </c>
      <c r="L511">
        <v>364</v>
      </c>
      <c r="M511">
        <v>6</v>
      </c>
      <c r="N511">
        <v>0.16</v>
      </c>
      <c r="O511">
        <f>IF(F511="Private room",1,0)</f>
        <v>1</v>
      </c>
      <c r="P511">
        <f>IF(C511="Manhattan",4,IF(C511="Brooklyn",2,0))</f>
        <v>2</v>
      </c>
      <c r="Q511" s="2">
        <v>93</v>
      </c>
      <c r="R511" s="1">
        <v>45743</v>
      </c>
      <c r="S511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76.390000000000015</v>
      </c>
    </row>
    <row r="512" spans="1:19" x14ac:dyDescent="0.3">
      <c r="A512" t="s">
        <v>707</v>
      </c>
      <c r="B512" t="s">
        <v>62</v>
      </c>
      <c r="C512" t="s">
        <v>20</v>
      </c>
      <c r="D512">
        <v>40.715850000000003</v>
      </c>
      <c r="E512">
        <v>-73.990390000000005</v>
      </c>
      <c r="F512" t="s">
        <v>21</v>
      </c>
      <c r="G512">
        <v>4</v>
      </c>
      <c r="H512">
        <v>1</v>
      </c>
      <c r="I512">
        <v>1</v>
      </c>
      <c r="J512">
        <v>2</v>
      </c>
      <c r="K512">
        <v>30</v>
      </c>
      <c r="L512">
        <v>230</v>
      </c>
      <c r="M512">
        <v>118</v>
      </c>
      <c r="N512">
        <v>3.13</v>
      </c>
      <c r="O512">
        <f>IF(F512="Private room",1,0)</f>
        <v>0</v>
      </c>
      <c r="P512">
        <f>IF(C512="Manhattan",4,IF(C512="Brooklyn",2,0))</f>
        <v>4</v>
      </c>
      <c r="Q512" s="2">
        <v>160</v>
      </c>
      <c r="R512" s="1">
        <v>45717</v>
      </c>
      <c r="S512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193.47000000000003</v>
      </c>
    </row>
    <row r="513" spans="1:19" x14ac:dyDescent="0.3">
      <c r="A513" t="s">
        <v>708</v>
      </c>
      <c r="B513" t="s">
        <v>76</v>
      </c>
      <c r="C513" t="s">
        <v>17</v>
      </c>
      <c r="D513">
        <v>40.593649999999997</v>
      </c>
      <c r="E513">
        <v>-73.99391</v>
      </c>
      <c r="F513" t="s">
        <v>21</v>
      </c>
      <c r="G513">
        <v>3</v>
      </c>
      <c r="H513">
        <v>1</v>
      </c>
      <c r="I513">
        <v>1</v>
      </c>
      <c r="J513">
        <v>2</v>
      </c>
      <c r="K513">
        <v>30</v>
      </c>
      <c r="L513">
        <v>329</v>
      </c>
      <c r="M513">
        <v>139</v>
      </c>
      <c r="N513">
        <v>3.63</v>
      </c>
      <c r="O513">
        <f>IF(F513="Private room",1,0)</f>
        <v>0</v>
      </c>
      <c r="P513">
        <f>IF(C513="Manhattan",4,IF(C513="Brooklyn",2,0))</f>
        <v>2</v>
      </c>
      <c r="Q513" s="2">
        <v>104</v>
      </c>
      <c r="R513" s="1">
        <v>45717</v>
      </c>
      <c r="S513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140.07000000000002</v>
      </c>
    </row>
    <row r="514" spans="1:19" x14ac:dyDescent="0.3">
      <c r="A514" t="s">
        <v>709</v>
      </c>
      <c r="B514" t="s">
        <v>56</v>
      </c>
      <c r="C514" t="s">
        <v>17</v>
      </c>
      <c r="D514">
        <v>40.663809999999998</v>
      </c>
      <c r="E514">
        <v>-73.953429999999997</v>
      </c>
      <c r="F514" t="s">
        <v>21</v>
      </c>
      <c r="G514">
        <v>3</v>
      </c>
      <c r="H514">
        <v>1</v>
      </c>
      <c r="I514">
        <v>1</v>
      </c>
      <c r="J514">
        <v>2</v>
      </c>
      <c r="K514">
        <v>30</v>
      </c>
      <c r="L514">
        <v>322</v>
      </c>
      <c r="M514">
        <v>100</v>
      </c>
      <c r="N514">
        <v>2.62</v>
      </c>
      <c r="O514">
        <f>IF(F514="Private room",1,0)</f>
        <v>0</v>
      </c>
      <c r="P514">
        <f>IF(C514="Manhattan",4,IF(C514="Brooklyn",2,0))</f>
        <v>2</v>
      </c>
      <c r="Q514" s="2">
        <v>116</v>
      </c>
      <c r="R514" s="1">
        <v>45728</v>
      </c>
      <c r="S514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140.35000000000002</v>
      </c>
    </row>
    <row r="515" spans="1:19" x14ac:dyDescent="0.3">
      <c r="A515" t="s">
        <v>710</v>
      </c>
      <c r="B515" t="s">
        <v>73</v>
      </c>
      <c r="C515" t="s">
        <v>30</v>
      </c>
      <c r="D515" s="3" t="s">
        <v>711</v>
      </c>
      <c r="E515">
        <v>-73.934271022202296</v>
      </c>
      <c r="F515" t="s">
        <v>18</v>
      </c>
      <c r="G515">
        <v>3</v>
      </c>
      <c r="H515">
        <v>1</v>
      </c>
      <c r="I515">
        <v>1</v>
      </c>
      <c r="J515">
        <v>2</v>
      </c>
      <c r="K515">
        <v>1</v>
      </c>
      <c r="L515">
        <v>272</v>
      </c>
      <c r="M515">
        <v>7</v>
      </c>
      <c r="N515">
        <v>0.19</v>
      </c>
      <c r="O515">
        <f>IF(F515="Private room",1,0)</f>
        <v>1</v>
      </c>
      <c r="P515">
        <f>IF(C515="Manhattan",4,IF(C515="Brooklyn",2,0))</f>
        <v>0</v>
      </c>
      <c r="Q515" s="2">
        <v>400</v>
      </c>
      <c r="R515" s="1">
        <v>45738</v>
      </c>
      <c r="S515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165.74</v>
      </c>
    </row>
    <row r="516" spans="1:19" x14ac:dyDescent="0.3">
      <c r="A516" t="s">
        <v>712</v>
      </c>
      <c r="B516" t="s">
        <v>113</v>
      </c>
      <c r="C516" t="s">
        <v>30</v>
      </c>
      <c r="D516">
        <v>40.74588</v>
      </c>
      <c r="E516">
        <v>-73.825869999999995</v>
      </c>
      <c r="F516" t="s">
        <v>21</v>
      </c>
      <c r="G516">
        <v>3</v>
      </c>
      <c r="H516">
        <v>1</v>
      </c>
      <c r="I516">
        <v>1</v>
      </c>
      <c r="J516">
        <v>1</v>
      </c>
      <c r="K516">
        <v>30</v>
      </c>
      <c r="L516">
        <v>268</v>
      </c>
      <c r="M516">
        <v>10</v>
      </c>
      <c r="N516">
        <v>0.27</v>
      </c>
      <c r="O516">
        <f>IF(F516="Private room",1,0)</f>
        <v>0</v>
      </c>
      <c r="P516">
        <f>IF(C516="Manhattan",4,IF(C516="Brooklyn",2,0))</f>
        <v>0</v>
      </c>
      <c r="Q516" s="2">
        <v>197</v>
      </c>
      <c r="R516" s="1">
        <v>45725</v>
      </c>
      <c r="S516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112.05000000000001</v>
      </c>
    </row>
    <row r="517" spans="1:19" x14ac:dyDescent="0.3">
      <c r="A517" t="s">
        <v>713</v>
      </c>
      <c r="B517" t="s">
        <v>42</v>
      </c>
      <c r="C517" t="s">
        <v>17</v>
      </c>
      <c r="D517">
        <v>40.725679999999997</v>
      </c>
      <c r="E517">
        <v>-73.944800000000001</v>
      </c>
      <c r="F517" t="s">
        <v>18</v>
      </c>
      <c r="G517">
        <v>2</v>
      </c>
      <c r="H517">
        <v>1</v>
      </c>
      <c r="I517">
        <v>1</v>
      </c>
      <c r="J517">
        <v>1</v>
      </c>
      <c r="K517">
        <v>2</v>
      </c>
      <c r="L517">
        <v>109</v>
      </c>
      <c r="M517">
        <v>71</v>
      </c>
      <c r="N517">
        <v>1.95</v>
      </c>
      <c r="O517">
        <f>IF(F517="Private room",1,0)</f>
        <v>1</v>
      </c>
      <c r="P517">
        <f>IF(C517="Manhattan",4,IF(C517="Brooklyn",2,0))</f>
        <v>2</v>
      </c>
      <c r="Q517" s="2">
        <v>245</v>
      </c>
      <c r="R517" s="1">
        <v>45732</v>
      </c>
      <c r="S517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180.39000000000001</v>
      </c>
    </row>
    <row r="518" spans="1:19" x14ac:dyDescent="0.3">
      <c r="A518" t="s">
        <v>714</v>
      </c>
      <c r="B518" t="s">
        <v>67</v>
      </c>
      <c r="C518" t="s">
        <v>17</v>
      </c>
      <c r="D518" s="3" t="s">
        <v>715</v>
      </c>
      <c r="E518">
        <v>-73.908011327585697</v>
      </c>
      <c r="F518" t="s">
        <v>18</v>
      </c>
      <c r="G518">
        <v>2</v>
      </c>
      <c r="H518">
        <v>1</v>
      </c>
      <c r="I518">
        <v>0</v>
      </c>
      <c r="J518">
        <v>1</v>
      </c>
      <c r="K518">
        <v>3</v>
      </c>
      <c r="L518">
        <v>105</v>
      </c>
      <c r="M518">
        <v>13</v>
      </c>
      <c r="N518">
        <v>1.78</v>
      </c>
      <c r="O518">
        <f>IF(F518="Private room",1,0)</f>
        <v>1</v>
      </c>
      <c r="P518">
        <f>IF(C518="Manhattan",4,IF(C518="Brooklyn",2,0))</f>
        <v>2</v>
      </c>
      <c r="Q518" s="2">
        <v>168</v>
      </c>
      <c r="R518" s="1">
        <v>45746</v>
      </c>
      <c r="S518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177.20000000000002</v>
      </c>
    </row>
    <row r="519" spans="1:19" x14ac:dyDescent="0.3">
      <c r="A519" t="s">
        <v>716</v>
      </c>
      <c r="B519" t="s">
        <v>27</v>
      </c>
      <c r="C519" t="s">
        <v>17</v>
      </c>
      <c r="D519">
        <v>40.696710000000003</v>
      </c>
      <c r="E519">
        <v>-73.937929999999994</v>
      </c>
      <c r="F519" t="s">
        <v>18</v>
      </c>
      <c r="G519">
        <v>1</v>
      </c>
      <c r="H519">
        <v>1</v>
      </c>
      <c r="I519">
        <v>1</v>
      </c>
      <c r="J519">
        <v>1</v>
      </c>
      <c r="K519">
        <v>4</v>
      </c>
      <c r="L519">
        <v>38</v>
      </c>
      <c r="M519">
        <v>20</v>
      </c>
      <c r="N519">
        <v>0.55000000000000004</v>
      </c>
      <c r="O519">
        <f>IF(F519="Private room",1,0)</f>
        <v>1</v>
      </c>
      <c r="P519">
        <f>IF(C519="Manhattan",4,IF(C519="Brooklyn",2,0))</f>
        <v>2</v>
      </c>
      <c r="Q519" s="2">
        <v>90</v>
      </c>
      <c r="R519" s="1">
        <v>45747</v>
      </c>
      <c r="S519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157.54999999999998</v>
      </c>
    </row>
    <row r="520" spans="1:19" x14ac:dyDescent="0.3">
      <c r="A520" t="s">
        <v>717</v>
      </c>
      <c r="B520" t="s">
        <v>28</v>
      </c>
      <c r="C520" t="s">
        <v>20</v>
      </c>
      <c r="D520">
        <v>40.800669999999997</v>
      </c>
      <c r="E520">
        <v>-73.955340000000007</v>
      </c>
      <c r="F520" t="s">
        <v>18</v>
      </c>
      <c r="G520">
        <v>1</v>
      </c>
      <c r="H520">
        <v>2</v>
      </c>
      <c r="I520">
        <v>1</v>
      </c>
      <c r="J520">
        <v>1</v>
      </c>
      <c r="K520">
        <v>30</v>
      </c>
      <c r="L520">
        <v>252</v>
      </c>
      <c r="M520">
        <v>14</v>
      </c>
      <c r="N520">
        <v>0.42</v>
      </c>
      <c r="O520">
        <f>IF(F520="Private room",1,0)</f>
        <v>1</v>
      </c>
      <c r="P520">
        <f>IF(C520="Manhattan",4,IF(C520="Brooklyn",2,0))</f>
        <v>4</v>
      </c>
      <c r="Q520" s="2">
        <v>64</v>
      </c>
      <c r="R520" s="1">
        <v>45729</v>
      </c>
      <c r="S520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103.57000000000001</v>
      </c>
    </row>
    <row r="521" spans="1:19" x14ac:dyDescent="0.3">
      <c r="A521" t="s">
        <v>718</v>
      </c>
      <c r="B521" t="s">
        <v>22</v>
      </c>
      <c r="C521" t="s">
        <v>17</v>
      </c>
      <c r="D521">
        <v>40.645560000000003</v>
      </c>
      <c r="E521">
        <v>-74.012749999999997</v>
      </c>
      <c r="F521" t="s">
        <v>21</v>
      </c>
      <c r="G521">
        <v>4</v>
      </c>
      <c r="H521">
        <v>1</v>
      </c>
      <c r="I521">
        <v>2</v>
      </c>
      <c r="J521">
        <v>2</v>
      </c>
      <c r="K521">
        <v>30</v>
      </c>
      <c r="L521">
        <v>175</v>
      </c>
      <c r="M521">
        <v>68</v>
      </c>
      <c r="N521">
        <v>1.84</v>
      </c>
      <c r="O521">
        <f>IF(F521="Private room",1,0)</f>
        <v>0</v>
      </c>
      <c r="P521">
        <f>IF(C521="Manhattan",4,IF(C521="Brooklyn",2,0))</f>
        <v>2</v>
      </c>
      <c r="Q521" s="2">
        <v>119</v>
      </c>
      <c r="R521" s="1">
        <v>45732</v>
      </c>
      <c r="S521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165.21000000000004</v>
      </c>
    </row>
    <row r="522" spans="1:19" x14ac:dyDescent="0.3">
      <c r="A522" t="s">
        <v>719</v>
      </c>
      <c r="B522" t="s">
        <v>126</v>
      </c>
      <c r="C522" t="s">
        <v>30</v>
      </c>
      <c r="D522">
        <v>40.592109999999998</v>
      </c>
      <c r="E522">
        <v>-73.794049999999999</v>
      </c>
      <c r="F522" t="s">
        <v>21</v>
      </c>
      <c r="G522">
        <v>3</v>
      </c>
      <c r="H522">
        <v>1</v>
      </c>
      <c r="I522">
        <v>1</v>
      </c>
      <c r="J522">
        <v>1</v>
      </c>
      <c r="K522">
        <v>30</v>
      </c>
      <c r="L522">
        <v>120</v>
      </c>
      <c r="M522">
        <v>29</v>
      </c>
      <c r="N522">
        <v>0.77</v>
      </c>
      <c r="O522">
        <f>IF(F522="Private room",1,0)</f>
        <v>0</v>
      </c>
      <c r="P522">
        <f>IF(C522="Manhattan",4,IF(C522="Brooklyn",2,0))</f>
        <v>0</v>
      </c>
      <c r="Q522" s="2">
        <v>90</v>
      </c>
      <c r="R522" s="1">
        <v>45731</v>
      </c>
      <c r="S522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117.97000000000001</v>
      </c>
    </row>
    <row r="523" spans="1:19" x14ac:dyDescent="0.3">
      <c r="A523" t="s">
        <v>720</v>
      </c>
      <c r="B523" t="s">
        <v>23</v>
      </c>
      <c r="C523" t="s">
        <v>17</v>
      </c>
      <c r="D523">
        <v>40.709359999999997</v>
      </c>
      <c r="E523">
        <v>-73.962559999999996</v>
      </c>
      <c r="F523" t="s">
        <v>21</v>
      </c>
      <c r="G523">
        <v>4</v>
      </c>
      <c r="H523">
        <v>1</v>
      </c>
      <c r="I523">
        <v>3</v>
      </c>
      <c r="J523">
        <v>3</v>
      </c>
      <c r="K523">
        <v>30</v>
      </c>
      <c r="L523">
        <v>314</v>
      </c>
      <c r="M523">
        <v>8</v>
      </c>
      <c r="N523">
        <v>0.24</v>
      </c>
      <c r="O523">
        <f>IF(F523="Private room",1,0)</f>
        <v>0</v>
      </c>
      <c r="P523">
        <f>IF(C523="Manhattan",4,IF(C523="Brooklyn",2,0))</f>
        <v>2</v>
      </c>
      <c r="Q523" s="2">
        <v>160</v>
      </c>
      <c r="R523" s="1">
        <v>45747</v>
      </c>
      <c r="S523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159.65000000000003</v>
      </c>
    </row>
    <row r="524" spans="1:19" x14ac:dyDescent="0.3">
      <c r="A524" t="s">
        <v>721</v>
      </c>
      <c r="B524" t="s">
        <v>113</v>
      </c>
      <c r="C524" t="s">
        <v>30</v>
      </c>
      <c r="D524">
        <v>40.743389999999998</v>
      </c>
      <c r="E524">
        <v>-73.824830000000006</v>
      </c>
      <c r="F524" t="s">
        <v>21</v>
      </c>
      <c r="G524">
        <v>3</v>
      </c>
      <c r="H524">
        <v>1</v>
      </c>
      <c r="I524">
        <v>0</v>
      </c>
      <c r="J524">
        <v>2</v>
      </c>
      <c r="K524">
        <v>30</v>
      </c>
      <c r="L524">
        <v>277</v>
      </c>
      <c r="M524">
        <v>3</v>
      </c>
      <c r="N524">
        <v>0.09</v>
      </c>
      <c r="O524">
        <f>IF(F524="Private room",1,0)</f>
        <v>0</v>
      </c>
      <c r="P524">
        <f>IF(C524="Manhattan",4,IF(C524="Brooklyn",2,0))</f>
        <v>0</v>
      </c>
      <c r="Q524" s="2">
        <v>136</v>
      </c>
      <c r="R524" s="1">
        <v>45719</v>
      </c>
      <c r="S524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111.69000000000001</v>
      </c>
    </row>
    <row r="525" spans="1:19" x14ac:dyDescent="0.3">
      <c r="A525" t="s">
        <v>722</v>
      </c>
      <c r="B525" t="s">
        <v>113</v>
      </c>
      <c r="C525" t="s">
        <v>30</v>
      </c>
      <c r="D525">
        <v>40.754359999999998</v>
      </c>
      <c r="E525">
        <v>-73.815420000000003</v>
      </c>
      <c r="F525" t="s">
        <v>18</v>
      </c>
      <c r="G525">
        <v>1</v>
      </c>
      <c r="H525">
        <v>2</v>
      </c>
      <c r="I525">
        <v>1</v>
      </c>
      <c r="J525">
        <v>1</v>
      </c>
      <c r="K525">
        <v>30</v>
      </c>
      <c r="L525">
        <v>273</v>
      </c>
      <c r="M525">
        <v>36</v>
      </c>
      <c r="N525">
        <v>0.96</v>
      </c>
      <c r="O525">
        <f>IF(F525="Private room",1,0)</f>
        <v>1</v>
      </c>
      <c r="P525">
        <f>IF(C525="Manhattan",4,IF(C525="Brooklyn",2,0))</f>
        <v>0</v>
      </c>
      <c r="Q525" s="2">
        <v>60</v>
      </c>
      <c r="R525" s="1">
        <v>45746</v>
      </c>
      <c r="S525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41.81</v>
      </c>
    </row>
    <row r="526" spans="1:19" x14ac:dyDescent="0.3">
      <c r="A526" t="s">
        <v>723</v>
      </c>
      <c r="B526" t="s">
        <v>19</v>
      </c>
      <c r="C526" t="s">
        <v>20</v>
      </c>
      <c r="D526">
        <v>40.747211</v>
      </c>
      <c r="E526">
        <v>-73.987808000000001</v>
      </c>
      <c r="F526" t="s">
        <v>21</v>
      </c>
      <c r="G526">
        <v>4</v>
      </c>
      <c r="H526">
        <v>1</v>
      </c>
      <c r="I526">
        <v>0</v>
      </c>
      <c r="J526">
        <v>2</v>
      </c>
      <c r="K526">
        <v>1</v>
      </c>
      <c r="L526">
        <v>93</v>
      </c>
      <c r="M526">
        <v>54</v>
      </c>
      <c r="N526">
        <v>1.67</v>
      </c>
      <c r="O526">
        <f>IF(F526="Private room",1,0)</f>
        <v>0</v>
      </c>
      <c r="P526">
        <f>IF(C526="Manhattan",4,IF(C526="Brooklyn",2,0))</f>
        <v>4</v>
      </c>
      <c r="Q526" s="2">
        <v>300</v>
      </c>
      <c r="R526" s="1">
        <v>45718</v>
      </c>
      <c r="S526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296.10000000000002</v>
      </c>
    </row>
    <row r="527" spans="1:19" x14ac:dyDescent="0.3">
      <c r="A527" t="s">
        <v>724</v>
      </c>
      <c r="B527" t="s">
        <v>27</v>
      </c>
      <c r="C527" t="s">
        <v>17</v>
      </c>
      <c r="D527">
        <v>40.682780000000001</v>
      </c>
      <c r="E527">
        <v>-73.943619999999996</v>
      </c>
      <c r="F527" t="s">
        <v>21</v>
      </c>
      <c r="G527">
        <v>2</v>
      </c>
      <c r="H527">
        <v>1</v>
      </c>
      <c r="I527">
        <v>1</v>
      </c>
      <c r="J527">
        <v>1</v>
      </c>
      <c r="K527">
        <v>30</v>
      </c>
      <c r="L527">
        <v>268</v>
      </c>
      <c r="M527">
        <v>10</v>
      </c>
      <c r="N527">
        <v>0.28000000000000003</v>
      </c>
      <c r="O527">
        <f>IF(F527="Private room",1,0)</f>
        <v>0</v>
      </c>
      <c r="P527">
        <f>IF(C527="Manhattan",4,IF(C527="Brooklyn",2,0))</f>
        <v>2</v>
      </c>
      <c r="Q527" s="2">
        <v>100</v>
      </c>
      <c r="R527" s="1">
        <v>45726</v>
      </c>
      <c r="S527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123.53000000000003</v>
      </c>
    </row>
    <row r="528" spans="1:19" x14ac:dyDescent="0.3">
      <c r="A528" t="s">
        <v>725</v>
      </c>
      <c r="B528" t="s">
        <v>19</v>
      </c>
      <c r="C528" t="s">
        <v>20</v>
      </c>
      <c r="D528">
        <v>40.747211</v>
      </c>
      <c r="E528">
        <v>-73.987808000000001</v>
      </c>
      <c r="F528" t="s">
        <v>21</v>
      </c>
      <c r="G528">
        <v>3</v>
      </c>
      <c r="H528">
        <v>1</v>
      </c>
      <c r="I528">
        <v>0</v>
      </c>
      <c r="J528">
        <v>3</v>
      </c>
      <c r="K528">
        <v>1</v>
      </c>
      <c r="L528">
        <v>145</v>
      </c>
      <c r="M528">
        <v>30</v>
      </c>
      <c r="N528">
        <v>0.99</v>
      </c>
      <c r="O528">
        <f>IF(F528="Private room",1,0)</f>
        <v>0</v>
      </c>
      <c r="P528">
        <f>IF(C528="Manhattan",4,IF(C528="Brooklyn",2,0))</f>
        <v>4</v>
      </c>
      <c r="Q528" s="2">
        <v>274</v>
      </c>
      <c r="R528" s="1">
        <v>45726</v>
      </c>
      <c r="S528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275.04000000000002</v>
      </c>
    </row>
    <row r="529" spans="1:19" x14ac:dyDescent="0.3">
      <c r="A529" t="s">
        <v>726</v>
      </c>
      <c r="B529" t="s">
        <v>19</v>
      </c>
      <c r="C529" t="s">
        <v>20</v>
      </c>
      <c r="D529">
        <v>40.747211</v>
      </c>
      <c r="E529">
        <v>-73.987808000000001</v>
      </c>
      <c r="F529" t="s">
        <v>21</v>
      </c>
      <c r="G529">
        <v>6</v>
      </c>
      <c r="H529">
        <v>1</v>
      </c>
      <c r="I529">
        <v>0</v>
      </c>
      <c r="J529">
        <v>3</v>
      </c>
      <c r="K529">
        <v>1</v>
      </c>
      <c r="L529">
        <v>137</v>
      </c>
      <c r="M529">
        <v>103</v>
      </c>
      <c r="N529">
        <v>3.43</v>
      </c>
      <c r="O529">
        <f>IF(F529="Private room",1,0)</f>
        <v>0</v>
      </c>
      <c r="P529">
        <f>IF(C529="Manhattan",4,IF(C529="Brooklyn",2,0))</f>
        <v>4</v>
      </c>
      <c r="Q529" s="2">
        <v>378</v>
      </c>
      <c r="R529" s="1">
        <v>45747</v>
      </c>
      <c r="S529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332.3</v>
      </c>
    </row>
    <row r="530" spans="1:19" x14ac:dyDescent="0.3">
      <c r="A530" t="s">
        <v>727</v>
      </c>
      <c r="B530" t="s">
        <v>53</v>
      </c>
      <c r="C530" t="s">
        <v>20</v>
      </c>
      <c r="D530">
        <v>40.778660000000002</v>
      </c>
      <c r="E530">
        <v>-73.974689999999995</v>
      </c>
      <c r="F530" t="s">
        <v>21</v>
      </c>
      <c r="G530">
        <v>4</v>
      </c>
      <c r="H530">
        <v>1</v>
      </c>
      <c r="I530">
        <v>1</v>
      </c>
      <c r="J530">
        <v>2</v>
      </c>
      <c r="K530">
        <v>30</v>
      </c>
      <c r="L530">
        <v>156</v>
      </c>
      <c r="M530">
        <v>19</v>
      </c>
      <c r="N530">
        <v>0.59</v>
      </c>
      <c r="O530">
        <f>IF(F530="Private room",1,0)</f>
        <v>0</v>
      </c>
      <c r="P530">
        <f>IF(C530="Manhattan",4,IF(C530="Brooklyn",2,0))</f>
        <v>4</v>
      </c>
      <c r="Q530" s="2">
        <v>199</v>
      </c>
      <c r="R530" s="1">
        <v>45717</v>
      </c>
      <c r="S530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196.43</v>
      </c>
    </row>
    <row r="531" spans="1:19" x14ac:dyDescent="0.3">
      <c r="A531" t="s">
        <v>728</v>
      </c>
      <c r="B531" t="s">
        <v>179</v>
      </c>
      <c r="C531" t="s">
        <v>20</v>
      </c>
      <c r="D531">
        <v>40.742449999999998</v>
      </c>
      <c r="E531">
        <v>-73.99145</v>
      </c>
      <c r="F531" t="s">
        <v>18</v>
      </c>
      <c r="G531">
        <v>2</v>
      </c>
      <c r="H531">
        <v>1</v>
      </c>
      <c r="I531">
        <v>0</v>
      </c>
      <c r="J531">
        <v>1</v>
      </c>
      <c r="K531">
        <v>1</v>
      </c>
      <c r="L531">
        <v>279</v>
      </c>
      <c r="M531">
        <v>8</v>
      </c>
      <c r="N531">
        <v>0.23</v>
      </c>
      <c r="O531">
        <f>IF(F531="Private room",1,0)</f>
        <v>1</v>
      </c>
      <c r="P531">
        <f>IF(C531="Manhattan",4,IF(C531="Brooklyn",2,0))</f>
        <v>4</v>
      </c>
      <c r="Q531" s="2">
        <v>372</v>
      </c>
      <c r="R531" s="1">
        <v>45725</v>
      </c>
      <c r="S531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207.40000000000003</v>
      </c>
    </row>
    <row r="532" spans="1:19" x14ac:dyDescent="0.3">
      <c r="A532" t="s">
        <v>730</v>
      </c>
      <c r="B532" t="s">
        <v>43</v>
      </c>
      <c r="C532" t="s">
        <v>20</v>
      </c>
      <c r="D532">
        <v>40.713000000000001</v>
      </c>
      <c r="E532">
        <v>-73.992310000000003</v>
      </c>
      <c r="F532" t="s">
        <v>21</v>
      </c>
      <c r="G532">
        <v>2</v>
      </c>
      <c r="H532">
        <v>1</v>
      </c>
      <c r="I532">
        <v>1</v>
      </c>
      <c r="J532">
        <v>1</v>
      </c>
      <c r="K532">
        <v>30</v>
      </c>
      <c r="L532">
        <v>266</v>
      </c>
      <c r="M532">
        <v>14</v>
      </c>
      <c r="N532">
        <v>0.4</v>
      </c>
      <c r="O532">
        <f>IF(F532="Private room",1,0)</f>
        <v>0</v>
      </c>
      <c r="P532">
        <f>IF(C532="Manhattan",4,IF(C532="Brooklyn",2,0))</f>
        <v>4</v>
      </c>
      <c r="Q532" s="2">
        <v>100</v>
      </c>
      <c r="R532" s="1">
        <v>45725</v>
      </c>
      <c r="S532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154.07000000000002</v>
      </c>
    </row>
    <row r="533" spans="1:19" x14ac:dyDescent="0.3">
      <c r="A533" t="s">
        <v>731</v>
      </c>
      <c r="B533" t="s">
        <v>371</v>
      </c>
      <c r="C533" t="s">
        <v>31</v>
      </c>
      <c r="D533">
        <v>40.82958</v>
      </c>
      <c r="E533">
        <v>-73.825959999999995</v>
      </c>
      <c r="F533" t="s">
        <v>21</v>
      </c>
      <c r="G533">
        <v>2</v>
      </c>
      <c r="H533">
        <v>1</v>
      </c>
      <c r="I533">
        <v>0</v>
      </c>
      <c r="J533">
        <v>1</v>
      </c>
      <c r="K533">
        <v>30</v>
      </c>
      <c r="L533">
        <v>45</v>
      </c>
      <c r="M533">
        <v>32</v>
      </c>
      <c r="N533">
        <v>0.86</v>
      </c>
      <c r="O533">
        <f>IF(F533="Private room",1,0)</f>
        <v>0</v>
      </c>
      <c r="P533">
        <f>IF(C533="Manhattan",4,IF(C533="Brooklyn",2,0))</f>
        <v>0</v>
      </c>
      <c r="Q533" s="2">
        <v>98</v>
      </c>
      <c r="R533" s="1">
        <v>45733</v>
      </c>
      <c r="S533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101.99000000000002</v>
      </c>
    </row>
    <row r="534" spans="1:19" x14ac:dyDescent="0.3">
      <c r="A534" t="s">
        <v>732</v>
      </c>
      <c r="B534" t="s">
        <v>78</v>
      </c>
      <c r="C534" t="s">
        <v>20</v>
      </c>
      <c r="D534">
        <v>40.761429999999997</v>
      </c>
      <c r="E534">
        <v>-73.982579999999999</v>
      </c>
      <c r="F534" t="s">
        <v>21</v>
      </c>
      <c r="G534">
        <v>4</v>
      </c>
      <c r="H534">
        <v>1</v>
      </c>
      <c r="I534">
        <v>1</v>
      </c>
      <c r="J534">
        <v>2</v>
      </c>
      <c r="K534">
        <v>30</v>
      </c>
      <c r="L534">
        <v>161</v>
      </c>
      <c r="M534">
        <v>14</v>
      </c>
      <c r="N534">
        <v>0.43</v>
      </c>
      <c r="O534">
        <f>IF(F534="Private room",1,0)</f>
        <v>0</v>
      </c>
      <c r="P534">
        <f>IF(C534="Manhattan",4,IF(C534="Brooklyn",2,0))</f>
        <v>4</v>
      </c>
      <c r="Q534" s="2">
        <v>188</v>
      </c>
      <c r="R534" s="1">
        <v>45747</v>
      </c>
      <c r="S534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196.23000000000002</v>
      </c>
    </row>
    <row r="535" spans="1:19" x14ac:dyDescent="0.3">
      <c r="A535" t="s">
        <v>733</v>
      </c>
      <c r="B535" t="s">
        <v>38</v>
      </c>
      <c r="C535" t="s">
        <v>20</v>
      </c>
      <c r="D535">
        <v>40.76211</v>
      </c>
      <c r="E535">
        <v>-73.995890000000003</v>
      </c>
      <c r="F535" t="s">
        <v>21</v>
      </c>
      <c r="G535">
        <v>4</v>
      </c>
      <c r="H535">
        <v>2</v>
      </c>
      <c r="I535">
        <v>2</v>
      </c>
      <c r="J535">
        <v>2</v>
      </c>
      <c r="K535">
        <v>30</v>
      </c>
      <c r="L535">
        <v>214</v>
      </c>
      <c r="M535">
        <v>11</v>
      </c>
      <c r="N535">
        <v>0.33</v>
      </c>
      <c r="O535">
        <f>IF(F535="Private room",1,0)</f>
        <v>0</v>
      </c>
      <c r="P535">
        <f>IF(C535="Manhattan",4,IF(C535="Brooklyn",2,0))</f>
        <v>4</v>
      </c>
      <c r="Q535" s="2">
        <v>340</v>
      </c>
      <c r="R535" s="1">
        <v>45741</v>
      </c>
      <c r="S535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205.33000000000004</v>
      </c>
    </row>
    <row r="536" spans="1:19" x14ac:dyDescent="0.3">
      <c r="A536" t="s">
        <v>734</v>
      </c>
      <c r="B536" t="s">
        <v>28</v>
      </c>
      <c r="C536" t="s">
        <v>20</v>
      </c>
      <c r="D536" s="3" t="s">
        <v>729</v>
      </c>
      <c r="E536">
        <v>-73.940872192382798</v>
      </c>
      <c r="F536" t="s">
        <v>18</v>
      </c>
      <c r="G536">
        <v>2</v>
      </c>
      <c r="H536">
        <v>1</v>
      </c>
      <c r="I536">
        <v>1</v>
      </c>
      <c r="J536">
        <v>1</v>
      </c>
      <c r="K536">
        <v>30</v>
      </c>
      <c r="L536">
        <v>329</v>
      </c>
      <c r="M536">
        <v>6</v>
      </c>
      <c r="N536">
        <v>0.18</v>
      </c>
      <c r="O536">
        <f>IF(F536="Private room",1,0)</f>
        <v>1</v>
      </c>
      <c r="P536">
        <f>IF(C536="Manhattan",4,IF(C536="Brooklyn",2,0))</f>
        <v>4</v>
      </c>
      <c r="Q536" s="2">
        <v>50</v>
      </c>
      <c r="R536" s="1">
        <v>45744</v>
      </c>
      <c r="S536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108.25000000000003</v>
      </c>
    </row>
    <row r="537" spans="1:19" x14ac:dyDescent="0.3">
      <c r="A537" t="s">
        <v>735</v>
      </c>
      <c r="B537" t="s">
        <v>179</v>
      </c>
      <c r="C537" t="s">
        <v>20</v>
      </c>
      <c r="D537">
        <v>40.7438</v>
      </c>
      <c r="E537">
        <v>-73.989940000000004</v>
      </c>
      <c r="F537" t="s">
        <v>18</v>
      </c>
      <c r="G537">
        <v>2</v>
      </c>
      <c r="H537">
        <v>1</v>
      </c>
      <c r="I537">
        <v>0</v>
      </c>
      <c r="J537">
        <v>1</v>
      </c>
      <c r="K537">
        <v>1</v>
      </c>
      <c r="L537">
        <v>286</v>
      </c>
      <c r="M537">
        <v>46</v>
      </c>
      <c r="N537">
        <v>1.26</v>
      </c>
      <c r="O537">
        <f>IF(F537="Private room",1,0)</f>
        <v>1</v>
      </c>
      <c r="P537">
        <f>IF(C537="Manhattan",4,IF(C537="Brooklyn",2,0))</f>
        <v>4</v>
      </c>
      <c r="Q537" s="2">
        <v>311</v>
      </c>
      <c r="R537" s="1">
        <v>45739</v>
      </c>
      <c r="S537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207.12000000000006</v>
      </c>
    </row>
    <row r="538" spans="1:19" x14ac:dyDescent="0.3">
      <c r="A538" t="s">
        <v>736</v>
      </c>
      <c r="B538" t="s">
        <v>201</v>
      </c>
      <c r="C538" t="s">
        <v>30</v>
      </c>
      <c r="D538">
        <v>40.669260000000001</v>
      </c>
      <c r="E538">
        <v>-73.765169999999998</v>
      </c>
      <c r="F538" t="s">
        <v>18</v>
      </c>
      <c r="G538">
        <v>2</v>
      </c>
      <c r="H538">
        <v>1</v>
      </c>
      <c r="I538">
        <v>1</v>
      </c>
      <c r="J538">
        <v>1</v>
      </c>
      <c r="K538">
        <v>2</v>
      </c>
      <c r="L538">
        <v>261</v>
      </c>
      <c r="M538">
        <v>87</v>
      </c>
      <c r="N538">
        <v>2.4700000000000002</v>
      </c>
      <c r="O538">
        <f>IF(F538="Private room",1,0)</f>
        <v>1</v>
      </c>
      <c r="P538">
        <f>IF(C538="Manhattan",4,IF(C538="Brooklyn",2,0))</f>
        <v>0</v>
      </c>
      <c r="Q538" s="2">
        <v>126</v>
      </c>
      <c r="R538" s="1">
        <v>45733</v>
      </c>
      <c r="S538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143.85000000000002</v>
      </c>
    </row>
    <row r="539" spans="1:19" x14ac:dyDescent="0.3">
      <c r="A539" t="s">
        <v>737</v>
      </c>
      <c r="B539" t="s">
        <v>113</v>
      </c>
      <c r="C539" t="s">
        <v>30</v>
      </c>
      <c r="D539">
        <v>40.771380000000001</v>
      </c>
      <c r="E539">
        <v>-73.811480000000003</v>
      </c>
      <c r="F539" t="s">
        <v>21</v>
      </c>
      <c r="G539">
        <v>2</v>
      </c>
      <c r="H539">
        <v>1</v>
      </c>
      <c r="I539">
        <v>1</v>
      </c>
      <c r="J539">
        <v>2</v>
      </c>
      <c r="K539">
        <v>30</v>
      </c>
      <c r="L539">
        <v>321</v>
      </c>
      <c r="M539">
        <v>28</v>
      </c>
      <c r="N539">
        <v>0.79</v>
      </c>
      <c r="O539">
        <f>IF(F539="Private room",1,0)</f>
        <v>0</v>
      </c>
      <c r="P539">
        <f>IF(C539="Manhattan",4,IF(C539="Brooklyn",2,0))</f>
        <v>0</v>
      </c>
      <c r="Q539" s="2">
        <v>126</v>
      </c>
      <c r="R539" s="1">
        <v>45725</v>
      </c>
      <c r="S539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90.950000000000017</v>
      </c>
    </row>
    <row r="540" spans="1:19" x14ac:dyDescent="0.3">
      <c r="A540" t="s">
        <v>738</v>
      </c>
      <c r="B540" t="s">
        <v>60</v>
      </c>
      <c r="C540" t="s">
        <v>17</v>
      </c>
      <c r="D540">
        <v>40.651271999999999</v>
      </c>
      <c r="E540">
        <v>-73.945312000000001</v>
      </c>
      <c r="F540" t="s">
        <v>18</v>
      </c>
      <c r="G540">
        <v>2</v>
      </c>
      <c r="H540">
        <v>1</v>
      </c>
      <c r="I540">
        <v>2</v>
      </c>
      <c r="J540">
        <v>3</v>
      </c>
      <c r="K540">
        <v>3</v>
      </c>
      <c r="L540">
        <v>309</v>
      </c>
      <c r="M540">
        <v>70</v>
      </c>
      <c r="N540">
        <v>2.1</v>
      </c>
      <c r="O540">
        <f>IF(F540="Private room",1,0)</f>
        <v>1</v>
      </c>
      <c r="P540">
        <f>IF(C540="Manhattan",4,IF(C540="Brooklyn",2,0))</f>
        <v>2</v>
      </c>
      <c r="Q540" s="2">
        <v>129</v>
      </c>
      <c r="R540" s="1">
        <v>45718</v>
      </c>
      <c r="S540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169.04</v>
      </c>
    </row>
    <row r="541" spans="1:19" x14ac:dyDescent="0.3">
      <c r="A541" t="s">
        <v>739</v>
      </c>
      <c r="B541" t="s">
        <v>60</v>
      </c>
      <c r="C541" t="s">
        <v>17</v>
      </c>
      <c r="D541">
        <v>40.658880000000003</v>
      </c>
      <c r="E541">
        <v>-73.926379999999995</v>
      </c>
      <c r="F541" t="s">
        <v>21</v>
      </c>
      <c r="G541">
        <v>2</v>
      </c>
      <c r="H541">
        <v>1</v>
      </c>
      <c r="I541">
        <v>1</v>
      </c>
      <c r="J541">
        <v>1</v>
      </c>
      <c r="K541">
        <v>30</v>
      </c>
      <c r="L541">
        <v>238</v>
      </c>
      <c r="M541">
        <v>63</v>
      </c>
      <c r="N541">
        <v>1.8</v>
      </c>
      <c r="O541">
        <f>IF(F541="Private room",1,0)</f>
        <v>0</v>
      </c>
      <c r="P541">
        <f>IF(C541="Manhattan",4,IF(C541="Brooklyn",2,0))</f>
        <v>2</v>
      </c>
      <c r="Q541" s="2">
        <v>90</v>
      </c>
      <c r="R541" s="1">
        <v>45733</v>
      </c>
      <c r="S541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124.73000000000002</v>
      </c>
    </row>
    <row r="542" spans="1:19" x14ac:dyDescent="0.3">
      <c r="A542" t="s">
        <v>740</v>
      </c>
      <c r="B542" t="s">
        <v>27</v>
      </c>
      <c r="C542" t="s">
        <v>17</v>
      </c>
      <c r="D542">
        <v>40.683300000000003</v>
      </c>
      <c r="E542">
        <v>-73.958079999999995</v>
      </c>
      <c r="F542" t="s">
        <v>18</v>
      </c>
      <c r="G542">
        <v>1</v>
      </c>
      <c r="H542">
        <v>1</v>
      </c>
      <c r="I542">
        <v>1</v>
      </c>
      <c r="J542">
        <v>1</v>
      </c>
      <c r="K542">
        <v>30</v>
      </c>
      <c r="L542">
        <v>166</v>
      </c>
      <c r="M542">
        <v>12</v>
      </c>
      <c r="N542">
        <v>0.39</v>
      </c>
      <c r="O542">
        <f>IF(F542="Private room",1,0)</f>
        <v>1</v>
      </c>
      <c r="P542">
        <f>IF(C542="Manhattan",4,IF(C542="Brooklyn",2,0))</f>
        <v>2</v>
      </c>
      <c r="Q542" s="2">
        <v>79</v>
      </c>
      <c r="R542" s="1">
        <v>45718</v>
      </c>
      <c r="S542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65.330000000000013</v>
      </c>
    </row>
    <row r="543" spans="1:19" x14ac:dyDescent="0.3">
      <c r="A543" t="s">
        <v>741</v>
      </c>
      <c r="B543" t="s">
        <v>51</v>
      </c>
      <c r="C543" t="s">
        <v>17</v>
      </c>
      <c r="D543">
        <v>40.679479999999998</v>
      </c>
      <c r="E543">
        <v>-73.999229999999997</v>
      </c>
      <c r="F543" t="s">
        <v>21</v>
      </c>
      <c r="G543">
        <v>2</v>
      </c>
      <c r="H543">
        <v>1</v>
      </c>
      <c r="I543">
        <v>1</v>
      </c>
      <c r="J543">
        <v>1</v>
      </c>
      <c r="K543">
        <v>30</v>
      </c>
      <c r="L543">
        <v>270</v>
      </c>
      <c r="M543">
        <v>31</v>
      </c>
      <c r="N543">
        <v>1.29</v>
      </c>
      <c r="O543">
        <f>IF(F543="Private room",1,0)</f>
        <v>0</v>
      </c>
      <c r="P543">
        <f>IF(C543="Manhattan",4,IF(C543="Brooklyn",2,0))</f>
        <v>2</v>
      </c>
      <c r="Q543" s="2">
        <v>240</v>
      </c>
      <c r="R543" s="1">
        <v>45743</v>
      </c>
      <c r="S543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123.45000000000002</v>
      </c>
    </row>
    <row r="544" spans="1:19" x14ac:dyDescent="0.3">
      <c r="A544" t="s">
        <v>742</v>
      </c>
      <c r="B544" t="s">
        <v>41</v>
      </c>
      <c r="C544" t="s">
        <v>20</v>
      </c>
      <c r="D544">
        <v>40.726469999999999</v>
      </c>
      <c r="E544">
        <v>-73.977869999999996</v>
      </c>
      <c r="F544" t="s">
        <v>21</v>
      </c>
      <c r="G544">
        <v>6</v>
      </c>
      <c r="H544">
        <v>2</v>
      </c>
      <c r="I544">
        <v>3</v>
      </c>
      <c r="J544">
        <v>8</v>
      </c>
      <c r="K544">
        <v>30</v>
      </c>
      <c r="L544">
        <v>331</v>
      </c>
      <c r="M544">
        <v>23</v>
      </c>
      <c r="N544">
        <v>0.74</v>
      </c>
      <c r="O544">
        <f>IF(F544="Private room",1,0)</f>
        <v>0</v>
      </c>
      <c r="P544">
        <f>IF(C544="Manhattan",4,IF(C544="Brooklyn",2,0))</f>
        <v>4</v>
      </c>
      <c r="Q544" s="2">
        <v>366</v>
      </c>
      <c r="R544" s="1">
        <v>45719</v>
      </c>
      <c r="S544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238.61</v>
      </c>
    </row>
    <row r="545" spans="1:19" x14ac:dyDescent="0.3">
      <c r="A545" t="s">
        <v>743</v>
      </c>
      <c r="B545" t="s">
        <v>33</v>
      </c>
      <c r="C545" t="s">
        <v>17</v>
      </c>
      <c r="D545">
        <v>40.677439999999997</v>
      </c>
      <c r="E545">
        <v>-73.982500000000002</v>
      </c>
      <c r="F545" t="s">
        <v>18</v>
      </c>
      <c r="G545">
        <v>2</v>
      </c>
      <c r="H545">
        <v>1</v>
      </c>
      <c r="I545">
        <v>0</v>
      </c>
      <c r="J545">
        <v>1</v>
      </c>
      <c r="K545">
        <v>1</v>
      </c>
      <c r="L545">
        <v>262</v>
      </c>
      <c r="M545">
        <v>22</v>
      </c>
      <c r="N545">
        <v>0.66</v>
      </c>
      <c r="O545">
        <f>IF(F545="Private room",1,0)</f>
        <v>1</v>
      </c>
      <c r="P545">
        <f>IF(C545="Manhattan",4,IF(C545="Brooklyn",2,0))</f>
        <v>2</v>
      </c>
      <c r="Q545" s="2">
        <v>332</v>
      </c>
      <c r="R545" s="1">
        <v>45730</v>
      </c>
      <c r="S545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177.62000000000003</v>
      </c>
    </row>
    <row r="546" spans="1:19" x14ac:dyDescent="0.3">
      <c r="A546" t="s">
        <v>744</v>
      </c>
      <c r="B546" t="s">
        <v>58</v>
      </c>
      <c r="C546" t="s">
        <v>17</v>
      </c>
      <c r="D546">
        <v>40.676780000000001</v>
      </c>
      <c r="E546">
        <v>-73.984229999999997</v>
      </c>
      <c r="F546" t="s">
        <v>18</v>
      </c>
      <c r="G546">
        <v>2</v>
      </c>
      <c r="H546">
        <v>1</v>
      </c>
      <c r="I546">
        <v>0</v>
      </c>
      <c r="J546">
        <v>1</v>
      </c>
      <c r="K546">
        <v>1</v>
      </c>
      <c r="L546">
        <v>221</v>
      </c>
      <c r="M546">
        <v>18</v>
      </c>
      <c r="N546">
        <v>0.52</v>
      </c>
      <c r="O546">
        <f>IF(F546="Private room",1,0)</f>
        <v>1</v>
      </c>
      <c r="P546">
        <f>IF(C546="Manhattan",4,IF(C546="Brooklyn",2,0))</f>
        <v>2</v>
      </c>
      <c r="Q546" s="2">
        <v>262</v>
      </c>
      <c r="R546" s="1">
        <v>45723</v>
      </c>
      <c r="S546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179.26000000000002</v>
      </c>
    </row>
    <row r="547" spans="1:19" x14ac:dyDescent="0.3">
      <c r="A547" t="s">
        <v>745</v>
      </c>
      <c r="B547" t="s">
        <v>42</v>
      </c>
      <c r="C547" t="s">
        <v>17</v>
      </c>
      <c r="D547">
        <v>40.732700000000001</v>
      </c>
      <c r="E547">
        <v>-73.954160000000002</v>
      </c>
      <c r="F547" t="s">
        <v>21</v>
      </c>
      <c r="G547">
        <v>2</v>
      </c>
      <c r="H547">
        <v>1</v>
      </c>
      <c r="I547">
        <v>1</v>
      </c>
      <c r="J547">
        <v>1</v>
      </c>
      <c r="K547">
        <v>30</v>
      </c>
      <c r="L547">
        <v>182</v>
      </c>
      <c r="M547">
        <v>12</v>
      </c>
      <c r="N547">
        <v>0.37</v>
      </c>
      <c r="O547">
        <f>IF(F547="Private room",1,0)</f>
        <v>0</v>
      </c>
      <c r="P547">
        <f>IF(C547="Manhattan",4,IF(C547="Brooklyn",2,0))</f>
        <v>2</v>
      </c>
      <c r="Q547" s="2">
        <v>145</v>
      </c>
      <c r="R547" s="1">
        <v>45731</v>
      </c>
      <c r="S547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126.97000000000003</v>
      </c>
    </row>
    <row r="548" spans="1:19" x14ac:dyDescent="0.3">
      <c r="A548" t="s">
        <v>746</v>
      </c>
      <c r="B548" t="s">
        <v>53</v>
      </c>
      <c r="C548" t="s">
        <v>20</v>
      </c>
      <c r="D548">
        <v>40.779530000000001</v>
      </c>
      <c r="E548">
        <v>-73.97878</v>
      </c>
      <c r="F548" t="s">
        <v>21</v>
      </c>
      <c r="G548">
        <v>3</v>
      </c>
      <c r="H548">
        <v>1</v>
      </c>
      <c r="I548">
        <v>1</v>
      </c>
      <c r="J548">
        <v>1</v>
      </c>
      <c r="K548">
        <v>30</v>
      </c>
      <c r="L548">
        <v>214</v>
      </c>
      <c r="M548">
        <v>16</v>
      </c>
      <c r="N548">
        <v>0.49</v>
      </c>
      <c r="O548">
        <f>IF(F548="Private room",1,0)</f>
        <v>0</v>
      </c>
      <c r="P548">
        <f>IF(C548="Manhattan",4,IF(C548="Brooklyn",2,0))</f>
        <v>4</v>
      </c>
      <c r="Q548" s="2">
        <v>149</v>
      </c>
      <c r="R548" s="1">
        <v>45729</v>
      </c>
      <c r="S548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175.13</v>
      </c>
    </row>
    <row r="549" spans="1:19" x14ac:dyDescent="0.3">
      <c r="A549" t="s">
        <v>747</v>
      </c>
      <c r="B549" t="s">
        <v>265</v>
      </c>
      <c r="C549" t="s">
        <v>31</v>
      </c>
      <c r="D549">
        <v>40.836419999999997</v>
      </c>
      <c r="E549">
        <v>-73.909729999999996</v>
      </c>
      <c r="F549" t="s">
        <v>21</v>
      </c>
      <c r="G549">
        <v>5</v>
      </c>
      <c r="H549">
        <v>1</v>
      </c>
      <c r="I549">
        <v>3</v>
      </c>
      <c r="J549">
        <v>3</v>
      </c>
      <c r="K549">
        <v>30</v>
      </c>
      <c r="L549">
        <v>139</v>
      </c>
      <c r="M549">
        <v>67</v>
      </c>
      <c r="N549">
        <v>1.91</v>
      </c>
      <c r="O549">
        <f>IF(F549="Private room",1,0)</f>
        <v>0</v>
      </c>
      <c r="P549">
        <f>IF(C549="Manhattan",4,IF(C549="Brooklyn",2,0))</f>
        <v>0</v>
      </c>
      <c r="Q549" s="2">
        <v>133</v>
      </c>
      <c r="R549" s="1">
        <v>45744</v>
      </c>
      <c r="S549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155.17000000000002</v>
      </c>
    </row>
    <row r="550" spans="1:19" x14ac:dyDescent="0.3">
      <c r="A550" t="s">
        <v>748</v>
      </c>
      <c r="B550" t="s">
        <v>76</v>
      </c>
      <c r="C550" t="s">
        <v>17</v>
      </c>
      <c r="D550">
        <v>40.6051</v>
      </c>
      <c r="E550">
        <v>-73.979060000000004</v>
      </c>
      <c r="F550" t="s">
        <v>18</v>
      </c>
      <c r="G550">
        <v>1</v>
      </c>
      <c r="H550">
        <v>1</v>
      </c>
      <c r="I550">
        <v>2</v>
      </c>
      <c r="J550">
        <v>1</v>
      </c>
      <c r="K550">
        <v>30</v>
      </c>
      <c r="L550">
        <v>364</v>
      </c>
      <c r="M550">
        <v>27</v>
      </c>
      <c r="N550">
        <v>0.78</v>
      </c>
      <c r="O550">
        <f>IF(F550="Private room",1,0)</f>
        <v>1</v>
      </c>
      <c r="P550">
        <f>IF(C550="Manhattan",4,IF(C550="Brooklyn",2,0))</f>
        <v>2</v>
      </c>
      <c r="Q550" s="2">
        <v>50</v>
      </c>
      <c r="R550" s="1">
        <v>45747</v>
      </c>
      <c r="S550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57.410000000000004</v>
      </c>
    </row>
    <row r="551" spans="1:19" x14ac:dyDescent="0.3">
      <c r="A551" t="s">
        <v>749</v>
      </c>
      <c r="B551" t="s">
        <v>58</v>
      </c>
      <c r="C551" t="s">
        <v>17</v>
      </c>
      <c r="D551">
        <v>40.68092</v>
      </c>
      <c r="E551">
        <v>-73.990970000000004</v>
      </c>
      <c r="F551" t="s">
        <v>18</v>
      </c>
      <c r="G551">
        <v>2</v>
      </c>
      <c r="H551">
        <v>1</v>
      </c>
      <c r="I551">
        <v>1</v>
      </c>
      <c r="J551">
        <v>1</v>
      </c>
      <c r="K551">
        <v>1</v>
      </c>
      <c r="L551">
        <v>226</v>
      </c>
      <c r="M551">
        <v>115</v>
      </c>
      <c r="N551">
        <v>3.53</v>
      </c>
      <c r="O551">
        <f>IF(F551="Private room",1,0)</f>
        <v>1</v>
      </c>
      <c r="P551">
        <f>IF(C551="Manhattan",4,IF(C551="Brooklyn",2,0))</f>
        <v>2</v>
      </c>
      <c r="Q551" s="2">
        <v>225</v>
      </c>
      <c r="R551" s="1">
        <v>45742</v>
      </c>
      <c r="S551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179.06000000000003</v>
      </c>
    </row>
    <row r="552" spans="1:19" x14ac:dyDescent="0.3">
      <c r="A552" t="s">
        <v>750</v>
      </c>
      <c r="B552" t="s">
        <v>29</v>
      </c>
      <c r="C552" t="s">
        <v>30</v>
      </c>
      <c r="D552">
        <v>40.697949999999999</v>
      </c>
      <c r="E552">
        <v>-73.898349999999994</v>
      </c>
      <c r="F552" t="s">
        <v>18</v>
      </c>
      <c r="G552">
        <v>2</v>
      </c>
      <c r="H552">
        <v>1</v>
      </c>
      <c r="I552">
        <v>1</v>
      </c>
      <c r="J552">
        <v>1</v>
      </c>
      <c r="K552">
        <v>4</v>
      </c>
      <c r="L552">
        <v>45</v>
      </c>
      <c r="M552">
        <v>57</v>
      </c>
      <c r="N552">
        <v>1.62</v>
      </c>
      <c r="O552">
        <f>IF(F552="Private room",1,0)</f>
        <v>1</v>
      </c>
      <c r="P552">
        <f>IF(C552="Manhattan",4,IF(C552="Brooklyn",2,0))</f>
        <v>0</v>
      </c>
      <c r="Q552" s="2">
        <v>141</v>
      </c>
      <c r="R552" s="1">
        <v>45747</v>
      </c>
      <c r="S552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145.79000000000002</v>
      </c>
    </row>
    <row r="553" spans="1:19" x14ac:dyDescent="0.3">
      <c r="A553" t="s">
        <v>751</v>
      </c>
      <c r="B553" t="s">
        <v>73</v>
      </c>
      <c r="C553" t="s">
        <v>30</v>
      </c>
      <c r="D553">
        <v>40.752969999999998</v>
      </c>
      <c r="E553">
        <v>-73.934700000000007</v>
      </c>
      <c r="F553" t="s">
        <v>18</v>
      </c>
      <c r="G553">
        <v>2</v>
      </c>
      <c r="H553">
        <v>1</v>
      </c>
      <c r="I553">
        <v>1</v>
      </c>
      <c r="J553">
        <v>1</v>
      </c>
      <c r="K553">
        <v>30</v>
      </c>
      <c r="L553">
        <v>303</v>
      </c>
      <c r="M553">
        <v>23</v>
      </c>
      <c r="N553">
        <v>0.68</v>
      </c>
      <c r="O553">
        <f>IF(F553="Private room",1,0)</f>
        <v>1</v>
      </c>
      <c r="P553">
        <f>IF(C553="Manhattan",4,IF(C553="Brooklyn",2,0))</f>
        <v>0</v>
      </c>
      <c r="Q553" s="2">
        <v>86</v>
      </c>
      <c r="R553" s="1">
        <v>45745</v>
      </c>
      <c r="S553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48.370000000000019</v>
      </c>
    </row>
    <row r="554" spans="1:19" x14ac:dyDescent="0.3">
      <c r="A554" t="s">
        <v>752</v>
      </c>
      <c r="B554" t="s">
        <v>22</v>
      </c>
      <c r="C554" t="s">
        <v>17</v>
      </c>
      <c r="D554">
        <v>40.654940000000003</v>
      </c>
      <c r="E554">
        <v>-74.003789999999995</v>
      </c>
      <c r="F554" t="s">
        <v>18</v>
      </c>
      <c r="G554">
        <v>1</v>
      </c>
      <c r="H554">
        <v>1</v>
      </c>
      <c r="I554">
        <v>1</v>
      </c>
      <c r="J554">
        <v>1</v>
      </c>
      <c r="K554">
        <v>30</v>
      </c>
      <c r="L554">
        <v>95</v>
      </c>
      <c r="M554">
        <v>77</v>
      </c>
      <c r="N554">
        <v>2.2200000000000002</v>
      </c>
      <c r="O554">
        <f>IF(F554="Private room",1,0)</f>
        <v>1</v>
      </c>
      <c r="P554">
        <f>IF(C554="Manhattan",4,IF(C554="Brooklyn",2,0))</f>
        <v>2</v>
      </c>
      <c r="Q554" s="2">
        <v>92</v>
      </c>
      <c r="R554" s="1">
        <v>45746</v>
      </c>
      <c r="S554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68.170000000000016</v>
      </c>
    </row>
    <row r="555" spans="1:19" x14ac:dyDescent="0.3">
      <c r="A555" t="s">
        <v>753</v>
      </c>
      <c r="B555" t="s">
        <v>272</v>
      </c>
      <c r="C555" t="s">
        <v>91</v>
      </c>
      <c r="D555">
        <v>40.586919999999999</v>
      </c>
      <c r="E555">
        <v>-74.088880000000003</v>
      </c>
      <c r="F555" t="s">
        <v>21</v>
      </c>
      <c r="G555">
        <v>2</v>
      </c>
      <c r="H555">
        <v>1</v>
      </c>
      <c r="I555">
        <v>1</v>
      </c>
      <c r="J555">
        <v>1</v>
      </c>
      <c r="K555">
        <v>30</v>
      </c>
      <c r="L555">
        <v>362</v>
      </c>
      <c r="M555">
        <v>33</v>
      </c>
      <c r="N555">
        <v>0.96</v>
      </c>
      <c r="O555">
        <f>IF(F555="Private room",1,0)</f>
        <v>0</v>
      </c>
      <c r="P555">
        <f>IF(C555="Manhattan",4,IF(C555="Brooklyn",2,0))</f>
        <v>0</v>
      </c>
      <c r="Q555" s="2">
        <v>90</v>
      </c>
      <c r="R555" s="1">
        <v>45729</v>
      </c>
      <c r="S555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89.310000000000016</v>
      </c>
    </row>
    <row r="556" spans="1:19" x14ac:dyDescent="0.3">
      <c r="A556" t="s">
        <v>754</v>
      </c>
      <c r="B556" t="s">
        <v>58</v>
      </c>
      <c r="C556" t="s">
        <v>17</v>
      </c>
      <c r="D556">
        <v>40.678730000000002</v>
      </c>
      <c r="E556">
        <v>-73.983860000000007</v>
      </c>
      <c r="F556" t="s">
        <v>18</v>
      </c>
      <c r="G556">
        <v>2</v>
      </c>
      <c r="H556">
        <v>1</v>
      </c>
      <c r="I556">
        <v>0</v>
      </c>
      <c r="J556">
        <v>1</v>
      </c>
      <c r="K556">
        <v>1</v>
      </c>
      <c r="L556">
        <v>273</v>
      </c>
      <c r="M556">
        <v>46</v>
      </c>
      <c r="N556">
        <v>1.34</v>
      </c>
      <c r="O556">
        <f>IF(F556="Private room",1,0)</f>
        <v>1</v>
      </c>
      <c r="P556">
        <f>IF(C556="Manhattan",4,IF(C556="Brooklyn",2,0))</f>
        <v>2</v>
      </c>
      <c r="Q556" s="2">
        <v>207</v>
      </c>
      <c r="R556" s="1">
        <v>45735</v>
      </c>
      <c r="S556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177.18000000000004</v>
      </c>
    </row>
    <row r="557" spans="1:19" x14ac:dyDescent="0.3">
      <c r="A557" t="s">
        <v>755</v>
      </c>
      <c r="B557" t="s">
        <v>73</v>
      </c>
      <c r="C557" t="s">
        <v>30</v>
      </c>
      <c r="D557" s="3" t="s">
        <v>756</v>
      </c>
      <c r="E557">
        <v>-73.936046797630894</v>
      </c>
      <c r="F557" t="s">
        <v>18</v>
      </c>
      <c r="G557">
        <v>2</v>
      </c>
      <c r="H557">
        <v>1</v>
      </c>
      <c r="I557">
        <v>0</v>
      </c>
      <c r="J557">
        <v>1</v>
      </c>
      <c r="K557">
        <v>1</v>
      </c>
      <c r="L557">
        <v>276</v>
      </c>
      <c r="M557">
        <v>32</v>
      </c>
      <c r="N557">
        <v>0.96</v>
      </c>
      <c r="O557">
        <f>IF(F557="Private room",1,0)</f>
        <v>1</v>
      </c>
      <c r="P557">
        <f>IF(C557="Manhattan",4,IF(C557="Brooklyn",2,0))</f>
        <v>0</v>
      </c>
      <c r="Q557" s="2">
        <v>263</v>
      </c>
      <c r="R557" s="1">
        <v>45725</v>
      </c>
      <c r="S557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146.60000000000002</v>
      </c>
    </row>
    <row r="558" spans="1:19" x14ac:dyDescent="0.3">
      <c r="A558" t="s">
        <v>757</v>
      </c>
      <c r="B558" t="s">
        <v>57</v>
      </c>
      <c r="C558" t="s">
        <v>20</v>
      </c>
      <c r="D558">
        <v>40.721455599999999</v>
      </c>
      <c r="E558">
        <v>-73.994424199999997</v>
      </c>
      <c r="F558" t="s">
        <v>21</v>
      </c>
      <c r="G558">
        <v>2</v>
      </c>
      <c r="H558">
        <v>1</v>
      </c>
      <c r="I558">
        <v>1</v>
      </c>
      <c r="J558">
        <v>1</v>
      </c>
      <c r="K558">
        <v>30</v>
      </c>
      <c r="L558">
        <v>221</v>
      </c>
      <c r="M558">
        <v>4</v>
      </c>
      <c r="N558">
        <v>0.14000000000000001</v>
      </c>
      <c r="O558">
        <f>IF(F558="Private room",1,0)</f>
        <v>0</v>
      </c>
      <c r="P558">
        <f>IF(C558="Manhattan",4,IF(C558="Brooklyn",2,0))</f>
        <v>4</v>
      </c>
      <c r="Q558" s="2">
        <v>170</v>
      </c>
      <c r="R558" s="1">
        <v>45717</v>
      </c>
      <c r="S558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155.87</v>
      </c>
    </row>
    <row r="559" spans="1:19" x14ac:dyDescent="0.3">
      <c r="A559" t="s">
        <v>758</v>
      </c>
      <c r="B559" t="s">
        <v>64</v>
      </c>
      <c r="C559" t="s">
        <v>17</v>
      </c>
      <c r="D559">
        <v>40.681019999999997</v>
      </c>
      <c r="E559">
        <v>-73.970950000000002</v>
      </c>
      <c r="F559" t="s">
        <v>21</v>
      </c>
      <c r="G559">
        <v>4</v>
      </c>
      <c r="H559">
        <v>1</v>
      </c>
      <c r="I559">
        <v>2</v>
      </c>
      <c r="J559">
        <v>2</v>
      </c>
      <c r="K559">
        <v>30</v>
      </c>
      <c r="L559">
        <v>162</v>
      </c>
      <c r="M559">
        <v>10</v>
      </c>
      <c r="N559">
        <v>0.3</v>
      </c>
      <c r="O559">
        <f>IF(F559="Private room",1,0)</f>
        <v>0</v>
      </c>
      <c r="P559">
        <f>IF(C559="Manhattan",4,IF(C559="Brooklyn",2,0))</f>
        <v>2</v>
      </c>
      <c r="Q559" s="2">
        <v>215</v>
      </c>
      <c r="R559" s="1">
        <v>45738</v>
      </c>
      <c r="S559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165.73000000000005</v>
      </c>
    </row>
    <row r="560" spans="1:19" x14ac:dyDescent="0.3">
      <c r="A560" t="s">
        <v>759</v>
      </c>
      <c r="B560" t="s">
        <v>27</v>
      </c>
      <c r="C560" t="s">
        <v>17</v>
      </c>
      <c r="D560">
        <v>40.676409999999997</v>
      </c>
      <c r="E560">
        <v>-73.910690000000002</v>
      </c>
      <c r="F560" t="s">
        <v>21</v>
      </c>
      <c r="G560">
        <v>2</v>
      </c>
      <c r="H560">
        <v>1</v>
      </c>
      <c r="I560">
        <v>0</v>
      </c>
      <c r="J560">
        <v>1</v>
      </c>
      <c r="K560">
        <v>30</v>
      </c>
      <c r="L560">
        <v>333</v>
      </c>
      <c r="M560">
        <v>44</v>
      </c>
      <c r="N560">
        <v>1.36</v>
      </c>
      <c r="O560">
        <f>IF(F560="Private room",1,0)</f>
        <v>0</v>
      </c>
      <c r="P560">
        <f>IF(C560="Manhattan",4,IF(C560="Brooklyn",2,0))</f>
        <v>2</v>
      </c>
      <c r="Q560" s="2">
        <v>100</v>
      </c>
      <c r="R560" s="1">
        <v>45747</v>
      </c>
      <c r="S560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120.93000000000004</v>
      </c>
    </row>
    <row r="561" spans="1:19" x14ac:dyDescent="0.3">
      <c r="A561" t="s">
        <v>760</v>
      </c>
      <c r="B561" t="s">
        <v>38</v>
      </c>
      <c r="C561" t="s">
        <v>20</v>
      </c>
      <c r="D561">
        <v>40.764449999999997</v>
      </c>
      <c r="E561">
        <v>-73.984679999999997</v>
      </c>
      <c r="F561" t="s">
        <v>18</v>
      </c>
      <c r="G561">
        <v>2</v>
      </c>
      <c r="H561">
        <v>1</v>
      </c>
      <c r="I561">
        <v>1</v>
      </c>
      <c r="J561">
        <v>1</v>
      </c>
      <c r="K561">
        <v>1</v>
      </c>
      <c r="L561">
        <v>257</v>
      </c>
      <c r="M561">
        <v>120</v>
      </c>
      <c r="N561">
        <v>3.51</v>
      </c>
      <c r="O561">
        <f>IF(F561="Private room",1,0)</f>
        <v>1</v>
      </c>
      <c r="P561">
        <f>IF(C561="Manhattan",4,IF(C561="Brooklyn",2,0))</f>
        <v>4</v>
      </c>
      <c r="Q561" s="2">
        <v>134</v>
      </c>
      <c r="R561" s="1">
        <v>45735</v>
      </c>
      <c r="S561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208.28000000000003</v>
      </c>
    </row>
    <row r="562" spans="1:19" x14ac:dyDescent="0.3">
      <c r="A562" t="s">
        <v>761</v>
      </c>
      <c r="B562" t="s">
        <v>40</v>
      </c>
      <c r="C562" t="s">
        <v>17</v>
      </c>
      <c r="D562">
        <v>40.63308</v>
      </c>
      <c r="E562">
        <v>-73.950729999999993</v>
      </c>
      <c r="F562" t="s">
        <v>18</v>
      </c>
      <c r="G562">
        <v>2</v>
      </c>
      <c r="H562">
        <v>1</v>
      </c>
      <c r="I562">
        <v>1</v>
      </c>
      <c r="J562">
        <v>1</v>
      </c>
      <c r="K562">
        <v>30</v>
      </c>
      <c r="L562">
        <v>268</v>
      </c>
      <c r="M562">
        <v>43</v>
      </c>
      <c r="N562">
        <v>1.28</v>
      </c>
      <c r="O562">
        <f>IF(F562="Private room",1,0)</f>
        <v>1</v>
      </c>
      <c r="P562">
        <f>IF(C562="Manhattan",4,IF(C562="Brooklyn",2,0))</f>
        <v>2</v>
      </c>
      <c r="Q562" s="2">
        <v>60</v>
      </c>
      <c r="R562" s="1">
        <v>45729</v>
      </c>
      <c r="S562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80.230000000000018</v>
      </c>
    </row>
    <row r="563" spans="1:19" x14ac:dyDescent="0.3">
      <c r="A563" t="s">
        <v>762</v>
      </c>
      <c r="B563" t="s">
        <v>67</v>
      </c>
      <c r="C563" t="s">
        <v>17</v>
      </c>
      <c r="D563">
        <v>40.705370100000003</v>
      </c>
      <c r="E563">
        <v>-73.919609199999996</v>
      </c>
      <c r="F563" t="s">
        <v>21</v>
      </c>
      <c r="G563">
        <v>3</v>
      </c>
      <c r="H563">
        <v>1.5</v>
      </c>
      <c r="I563">
        <v>1</v>
      </c>
      <c r="J563">
        <v>1</v>
      </c>
      <c r="K563">
        <v>30</v>
      </c>
      <c r="L563">
        <v>365</v>
      </c>
      <c r="M563">
        <v>21</v>
      </c>
      <c r="N563">
        <v>0.63</v>
      </c>
      <c r="O563">
        <f>IF(F563="Private room",1,0)</f>
        <v>0</v>
      </c>
      <c r="P563">
        <f>IF(C563="Manhattan",4,IF(C563="Brooklyn",2,0))</f>
        <v>2</v>
      </c>
      <c r="Q563" s="2">
        <v>110</v>
      </c>
      <c r="R563" s="1">
        <v>45724</v>
      </c>
      <c r="S563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144.24000000000004</v>
      </c>
    </row>
    <row r="564" spans="1:19" x14ac:dyDescent="0.3">
      <c r="A564" t="s">
        <v>763</v>
      </c>
      <c r="B564" t="s">
        <v>33</v>
      </c>
      <c r="C564" t="s">
        <v>17</v>
      </c>
      <c r="D564">
        <v>40.674990000000001</v>
      </c>
      <c r="E564">
        <v>-73.981089999999995</v>
      </c>
      <c r="F564" t="s">
        <v>21</v>
      </c>
      <c r="G564">
        <v>2</v>
      </c>
      <c r="H564">
        <v>1</v>
      </c>
      <c r="I564">
        <v>1</v>
      </c>
      <c r="J564">
        <v>2</v>
      </c>
      <c r="K564">
        <v>30</v>
      </c>
      <c r="L564">
        <v>251</v>
      </c>
      <c r="M564">
        <v>8</v>
      </c>
      <c r="N564">
        <v>0.25</v>
      </c>
      <c r="O564">
        <f>IF(F564="Private room",1,0)</f>
        <v>0</v>
      </c>
      <c r="P564">
        <f>IF(C564="Manhattan",4,IF(C564="Brooklyn",2,0))</f>
        <v>2</v>
      </c>
      <c r="Q564" s="2">
        <v>159</v>
      </c>
      <c r="R564" s="1">
        <v>45747</v>
      </c>
      <c r="S564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124.21000000000001</v>
      </c>
    </row>
    <row r="565" spans="1:19" x14ac:dyDescent="0.3">
      <c r="A565" t="s">
        <v>764</v>
      </c>
      <c r="B565" t="s">
        <v>27</v>
      </c>
      <c r="C565" t="s">
        <v>17</v>
      </c>
      <c r="D565">
        <v>40.687829999999998</v>
      </c>
      <c r="E565">
        <v>-73.932050000000004</v>
      </c>
      <c r="F565" t="s">
        <v>21</v>
      </c>
      <c r="G565">
        <v>2</v>
      </c>
      <c r="H565">
        <v>1</v>
      </c>
      <c r="I565">
        <v>1</v>
      </c>
      <c r="J565">
        <v>1</v>
      </c>
      <c r="K565">
        <v>30</v>
      </c>
      <c r="L565">
        <v>272</v>
      </c>
      <c r="M565">
        <v>4</v>
      </c>
      <c r="N565">
        <v>0.19</v>
      </c>
      <c r="O565">
        <f>IF(F565="Private room",1,0)</f>
        <v>0</v>
      </c>
      <c r="P565">
        <f>IF(C565="Manhattan",4,IF(C565="Brooklyn",2,0))</f>
        <v>2</v>
      </c>
      <c r="Q565" s="2">
        <v>114</v>
      </c>
      <c r="R565" s="1">
        <v>45739</v>
      </c>
      <c r="S565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123.37000000000003</v>
      </c>
    </row>
    <row r="566" spans="1:19" x14ac:dyDescent="0.3">
      <c r="A566" t="s">
        <v>765</v>
      </c>
      <c r="B566" t="s">
        <v>37</v>
      </c>
      <c r="C566" t="s">
        <v>30</v>
      </c>
      <c r="D566">
        <v>40.77384</v>
      </c>
      <c r="E566">
        <v>-73.90652</v>
      </c>
      <c r="F566" t="s">
        <v>21</v>
      </c>
      <c r="G566">
        <v>4</v>
      </c>
      <c r="H566">
        <v>1</v>
      </c>
      <c r="I566">
        <v>2</v>
      </c>
      <c r="J566">
        <v>2</v>
      </c>
      <c r="K566">
        <v>30</v>
      </c>
      <c r="L566">
        <v>268</v>
      </c>
      <c r="M566">
        <v>64</v>
      </c>
      <c r="N566">
        <v>1.87</v>
      </c>
      <c r="O566">
        <f>IF(F566="Private room",1,0)</f>
        <v>0</v>
      </c>
      <c r="P566">
        <f>IF(C566="Manhattan",4,IF(C566="Brooklyn",2,0))</f>
        <v>0</v>
      </c>
      <c r="Q566" s="2">
        <v>159</v>
      </c>
      <c r="R566" s="1">
        <v>45747</v>
      </c>
      <c r="S566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131.03000000000003</v>
      </c>
    </row>
    <row r="567" spans="1:19" x14ac:dyDescent="0.3">
      <c r="A567" t="s">
        <v>766</v>
      </c>
      <c r="B567" t="s">
        <v>60</v>
      </c>
      <c r="C567" t="s">
        <v>17</v>
      </c>
      <c r="D567">
        <v>40.6559399</v>
      </c>
      <c r="E567">
        <v>-73.935446400000004</v>
      </c>
      <c r="F567" t="s">
        <v>18</v>
      </c>
      <c r="G567">
        <v>1</v>
      </c>
      <c r="H567">
        <v>2</v>
      </c>
      <c r="I567">
        <v>1</v>
      </c>
      <c r="J567">
        <v>1</v>
      </c>
      <c r="K567">
        <v>2</v>
      </c>
      <c r="L567">
        <v>349</v>
      </c>
      <c r="M567">
        <v>49</v>
      </c>
      <c r="N567">
        <v>2.06</v>
      </c>
      <c r="O567">
        <f>IF(F567="Private room",1,0)</f>
        <v>1</v>
      </c>
      <c r="P567">
        <f>IF(C567="Manhattan",4,IF(C567="Brooklyn",2,0))</f>
        <v>2</v>
      </c>
      <c r="Q567" s="2">
        <v>90</v>
      </c>
      <c r="R567" s="1">
        <v>45746</v>
      </c>
      <c r="S567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163.03</v>
      </c>
    </row>
    <row r="568" spans="1:19" x14ac:dyDescent="0.3">
      <c r="A568" t="s">
        <v>767</v>
      </c>
      <c r="B568" t="s">
        <v>501</v>
      </c>
      <c r="C568" t="s">
        <v>31</v>
      </c>
      <c r="D568">
        <v>40.900469999999999</v>
      </c>
      <c r="E568">
        <v>-73.867620000000002</v>
      </c>
      <c r="F568" t="s">
        <v>21</v>
      </c>
      <c r="G568">
        <v>2</v>
      </c>
      <c r="H568">
        <v>1</v>
      </c>
      <c r="I568">
        <v>1</v>
      </c>
      <c r="J568">
        <v>2</v>
      </c>
      <c r="K568">
        <v>30</v>
      </c>
      <c r="L568">
        <v>243</v>
      </c>
      <c r="M568">
        <v>15</v>
      </c>
      <c r="N568">
        <v>0.6</v>
      </c>
      <c r="O568">
        <f>IF(F568="Private room",1,0)</f>
        <v>0</v>
      </c>
      <c r="P568">
        <f>IF(C568="Manhattan",4,IF(C568="Brooklyn",2,0))</f>
        <v>0</v>
      </c>
      <c r="Q568" s="2">
        <v>71</v>
      </c>
      <c r="R568" s="1">
        <v>45720</v>
      </c>
      <c r="S568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94.070000000000022</v>
      </c>
    </row>
    <row r="569" spans="1:19" x14ac:dyDescent="0.3">
      <c r="A569" t="s">
        <v>768</v>
      </c>
      <c r="B569" t="s">
        <v>29</v>
      </c>
      <c r="C569" t="s">
        <v>30</v>
      </c>
      <c r="D569">
        <v>40.70335</v>
      </c>
      <c r="E569">
        <v>-73.905869999999993</v>
      </c>
      <c r="F569" t="s">
        <v>18</v>
      </c>
      <c r="G569">
        <v>1</v>
      </c>
      <c r="H569">
        <v>2</v>
      </c>
      <c r="I569">
        <v>1</v>
      </c>
      <c r="J569">
        <v>1</v>
      </c>
      <c r="K569">
        <v>30</v>
      </c>
      <c r="L569">
        <v>365</v>
      </c>
      <c r="M569">
        <v>1</v>
      </c>
      <c r="N569">
        <v>0.71</v>
      </c>
      <c r="O569">
        <f>IF(F569="Private room",1,0)</f>
        <v>1</v>
      </c>
      <c r="P569">
        <f>IF(C569="Manhattan",4,IF(C569="Brooklyn",2,0))</f>
        <v>0</v>
      </c>
      <c r="Q569" s="2">
        <v>68</v>
      </c>
      <c r="R569" s="1">
        <v>45737</v>
      </c>
      <c r="S569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38.13000000000001</v>
      </c>
    </row>
    <row r="570" spans="1:19" x14ac:dyDescent="0.3">
      <c r="A570" t="s">
        <v>769</v>
      </c>
      <c r="B570" t="s">
        <v>67</v>
      </c>
      <c r="C570" t="s">
        <v>17</v>
      </c>
      <c r="D570">
        <v>40.700699999999998</v>
      </c>
      <c r="E570">
        <v>-73.914410000000004</v>
      </c>
      <c r="F570" t="s">
        <v>21</v>
      </c>
      <c r="G570">
        <v>2</v>
      </c>
      <c r="H570">
        <v>1</v>
      </c>
      <c r="I570">
        <v>1</v>
      </c>
      <c r="J570">
        <v>1</v>
      </c>
      <c r="K570">
        <v>30</v>
      </c>
      <c r="L570">
        <v>294</v>
      </c>
      <c r="M570">
        <v>11</v>
      </c>
      <c r="N570">
        <v>0.35</v>
      </c>
      <c r="O570">
        <f>IF(F570="Private room",1,0)</f>
        <v>0</v>
      </c>
      <c r="P570">
        <f>IF(C570="Manhattan",4,IF(C570="Brooklyn",2,0))</f>
        <v>2</v>
      </c>
      <c r="Q570" s="2">
        <v>102</v>
      </c>
      <c r="R570" s="1">
        <v>45738</v>
      </c>
      <c r="S570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122.49000000000001</v>
      </c>
    </row>
    <row r="571" spans="1:19" x14ac:dyDescent="0.3">
      <c r="A571" t="s">
        <v>452</v>
      </c>
      <c r="B571" t="s">
        <v>82</v>
      </c>
      <c r="C571" t="s">
        <v>30</v>
      </c>
      <c r="D571">
        <v>40.745950000000001</v>
      </c>
      <c r="E571">
        <v>-73.893479999999997</v>
      </c>
      <c r="F571" t="s">
        <v>18</v>
      </c>
      <c r="G571">
        <v>1</v>
      </c>
      <c r="H571">
        <v>1</v>
      </c>
      <c r="I571">
        <v>1</v>
      </c>
      <c r="J571">
        <v>1</v>
      </c>
      <c r="K571">
        <v>30</v>
      </c>
      <c r="L571">
        <v>30</v>
      </c>
      <c r="M571">
        <v>9</v>
      </c>
      <c r="N571">
        <v>0.3</v>
      </c>
      <c r="O571">
        <f>IF(F571="Private room",1,0)</f>
        <v>1</v>
      </c>
      <c r="P571">
        <f>IF(C571="Manhattan",4,IF(C571="Brooklyn",2,0))</f>
        <v>0</v>
      </c>
      <c r="Q571" s="2">
        <v>59</v>
      </c>
      <c r="R571" s="1">
        <v>45724</v>
      </c>
      <c r="S571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40.31</v>
      </c>
    </row>
    <row r="572" spans="1:19" x14ac:dyDescent="0.3">
      <c r="A572" t="s">
        <v>770</v>
      </c>
      <c r="B572" t="s">
        <v>28</v>
      </c>
      <c r="C572" t="s">
        <v>20</v>
      </c>
      <c r="D572">
        <v>40.800789999999999</v>
      </c>
      <c r="E572">
        <v>-73.954759999999993</v>
      </c>
      <c r="F572" t="s">
        <v>18</v>
      </c>
      <c r="G572">
        <v>4</v>
      </c>
      <c r="H572">
        <v>1</v>
      </c>
      <c r="I572">
        <v>1</v>
      </c>
      <c r="J572">
        <v>2</v>
      </c>
      <c r="K572">
        <v>1</v>
      </c>
      <c r="L572">
        <v>224</v>
      </c>
      <c r="M572">
        <v>87</v>
      </c>
      <c r="N572">
        <v>2.56</v>
      </c>
      <c r="O572">
        <f>IF(F572="Private room",1,0)</f>
        <v>1</v>
      </c>
      <c r="P572">
        <f>IF(C572="Manhattan",4,IF(C572="Brooklyn",2,0))</f>
        <v>4</v>
      </c>
      <c r="Q572" s="2">
        <v>207</v>
      </c>
      <c r="R572" s="1">
        <v>45747</v>
      </c>
      <c r="S572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247.56000000000006</v>
      </c>
    </row>
    <row r="573" spans="1:19" x14ac:dyDescent="0.3">
      <c r="A573" t="s">
        <v>771</v>
      </c>
      <c r="B573" t="s">
        <v>27</v>
      </c>
      <c r="C573" t="s">
        <v>17</v>
      </c>
      <c r="D573">
        <v>40.682569999999998</v>
      </c>
      <c r="E573">
        <v>-73.927440000000004</v>
      </c>
      <c r="F573" t="s">
        <v>18</v>
      </c>
      <c r="G573">
        <v>1</v>
      </c>
      <c r="H573">
        <v>1</v>
      </c>
      <c r="I573">
        <v>1</v>
      </c>
      <c r="J573">
        <v>1</v>
      </c>
      <c r="K573">
        <v>30</v>
      </c>
      <c r="L573">
        <v>333</v>
      </c>
      <c r="M573">
        <v>61</v>
      </c>
      <c r="N573">
        <v>1.79</v>
      </c>
      <c r="O573">
        <f>IF(F573="Private room",1,0)</f>
        <v>1</v>
      </c>
      <c r="P573">
        <f>IF(C573="Manhattan",4,IF(C573="Brooklyn",2,0))</f>
        <v>2</v>
      </c>
      <c r="Q573" s="2">
        <v>83</v>
      </c>
      <c r="R573" s="1">
        <v>45747</v>
      </c>
      <c r="S573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58.650000000000013</v>
      </c>
    </row>
    <row r="574" spans="1:19" x14ac:dyDescent="0.3">
      <c r="A574" t="s">
        <v>773</v>
      </c>
      <c r="B574" t="s">
        <v>56</v>
      </c>
      <c r="C574" t="s">
        <v>17</v>
      </c>
      <c r="D574">
        <v>40.676518999999999</v>
      </c>
      <c r="E574">
        <v>-73.955200500000004</v>
      </c>
      <c r="F574" t="s">
        <v>18</v>
      </c>
      <c r="G574">
        <v>2</v>
      </c>
      <c r="H574">
        <v>1</v>
      </c>
      <c r="I574">
        <v>1</v>
      </c>
      <c r="J574">
        <v>1</v>
      </c>
      <c r="K574">
        <v>2</v>
      </c>
      <c r="L574">
        <v>128</v>
      </c>
      <c r="M574">
        <v>65</v>
      </c>
      <c r="N574">
        <v>2.91</v>
      </c>
      <c r="O574">
        <f>IF(F574="Private room",1,0)</f>
        <v>1</v>
      </c>
      <c r="P574">
        <f>IF(C574="Manhattan",4,IF(C574="Brooklyn",2,0))</f>
        <v>2</v>
      </c>
      <c r="Q574" s="2">
        <v>184</v>
      </c>
      <c r="R574" s="1">
        <v>45733</v>
      </c>
      <c r="S574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179.63000000000002</v>
      </c>
    </row>
    <row r="575" spans="1:19" x14ac:dyDescent="0.3">
      <c r="A575" t="s">
        <v>774</v>
      </c>
      <c r="B575" t="s">
        <v>61</v>
      </c>
      <c r="C575" t="s">
        <v>30</v>
      </c>
      <c r="D575">
        <v>40.757800000000003</v>
      </c>
      <c r="E575">
        <v>-73.927480000000003</v>
      </c>
      <c r="F575" t="s">
        <v>21</v>
      </c>
      <c r="G575">
        <v>8</v>
      </c>
      <c r="H575">
        <v>1</v>
      </c>
      <c r="I575">
        <v>2</v>
      </c>
      <c r="J575">
        <v>3</v>
      </c>
      <c r="K575">
        <v>30</v>
      </c>
      <c r="L575">
        <v>336</v>
      </c>
      <c r="M575">
        <v>30</v>
      </c>
      <c r="N575">
        <v>0.9</v>
      </c>
      <c r="O575">
        <f>IF(F575="Private room",1,0)</f>
        <v>0</v>
      </c>
      <c r="P575">
        <f>IF(C575="Manhattan",4,IF(C575="Brooklyn",2,0))</f>
        <v>0</v>
      </c>
      <c r="Q575" s="2">
        <v>112</v>
      </c>
      <c r="R575" s="1">
        <v>45745</v>
      </c>
      <c r="S575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204.23000000000008</v>
      </c>
    </row>
    <row r="576" spans="1:19" x14ac:dyDescent="0.3">
      <c r="A576" t="s">
        <v>775</v>
      </c>
      <c r="B576" t="s">
        <v>126</v>
      </c>
      <c r="C576" t="s">
        <v>30</v>
      </c>
      <c r="D576">
        <v>40.596139999999998</v>
      </c>
      <c r="E576">
        <v>-73.794200000000004</v>
      </c>
      <c r="F576" t="s">
        <v>18</v>
      </c>
      <c r="G576">
        <v>2</v>
      </c>
      <c r="H576">
        <v>1</v>
      </c>
      <c r="I576">
        <v>2</v>
      </c>
      <c r="J576">
        <v>3</v>
      </c>
      <c r="K576">
        <v>2</v>
      </c>
      <c r="L576">
        <v>137</v>
      </c>
      <c r="M576">
        <v>113</v>
      </c>
      <c r="N576">
        <v>3.37</v>
      </c>
      <c r="O576">
        <f>IF(F576="Private room",1,0)</f>
        <v>1</v>
      </c>
      <c r="P576">
        <f>IF(C576="Manhattan",4,IF(C576="Brooklyn",2,0))</f>
        <v>0</v>
      </c>
      <c r="Q576" s="2">
        <v>98</v>
      </c>
      <c r="R576" s="1">
        <v>45731</v>
      </c>
      <c r="S576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148.81000000000006</v>
      </c>
    </row>
    <row r="577" spans="1:19" x14ac:dyDescent="0.3">
      <c r="A577" t="s">
        <v>776</v>
      </c>
      <c r="B577" t="s">
        <v>24</v>
      </c>
      <c r="C577" t="s">
        <v>20</v>
      </c>
      <c r="D577">
        <v>40.808349999999997</v>
      </c>
      <c r="E577">
        <v>-73.93862</v>
      </c>
      <c r="F577" t="s">
        <v>18</v>
      </c>
      <c r="G577">
        <v>2</v>
      </c>
      <c r="H577">
        <v>1</v>
      </c>
      <c r="I577">
        <v>1</v>
      </c>
      <c r="J577">
        <v>2</v>
      </c>
      <c r="K577">
        <v>1</v>
      </c>
      <c r="L577">
        <v>257</v>
      </c>
      <c r="M577">
        <v>13</v>
      </c>
      <c r="N577">
        <v>0.54</v>
      </c>
      <c r="O577">
        <f>IF(F577="Private room",1,0)</f>
        <v>1</v>
      </c>
      <c r="P577">
        <f>IF(C577="Manhattan",4,IF(C577="Brooklyn",2,0))</f>
        <v>4</v>
      </c>
      <c r="Q577" s="2">
        <v>207</v>
      </c>
      <c r="R577" s="1">
        <v>45744</v>
      </c>
      <c r="S577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208.28000000000003</v>
      </c>
    </row>
    <row r="578" spans="1:19" x14ac:dyDescent="0.3">
      <c r="A578" t="s">
        <v>777</v>
      </c>
      <c r="B578" t="s">
        <v>36</v>
      </c>
      <c r="C578" t="s">
        <v>20</v>
      </c>
      <c r="D578">
        <v>40.783450000000002</v>
      </c>
      <c r="E578">
        <v>-73.946299999999994</v>
      </c>
      <c r="F578" t="s">
        <v>21</v>
      </c>
      <c r="G578">
        <v>4</v>
      </c>
      <c r="H578">
        <v>1</v>
      </c>
      <c r="I578">
        <v>2</v>
      </c>
      <c r="J578">
        <v>3</v>
      </c>
      <c r="K578">
        <v>30</v>
      </c>
      <c r="L578">
        <v>273</v>
      </c>
      <c r="M578">
        <v>3</v>
      </c>
      <c r="N578">
        <v>0.1</v>
      </c>
      <c r="O578">
        <f>IF(F578="Private room",1,0)</f>
        <v>0</v>
      </c>
      <c r="P578">
        <f>IF(C578="Manhattan",4,IF(C578="Brooklyn",2,0))</f>
        <v>4</v>
      </c>
      <c r="Q578" s="2">
        <v>155</v>
      </c>
      <c r="R578" s="1">
        <v>45717</v>
      </c>
      <c r="S578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191.75000000000006</v>
      </c>
    </row>
    <row r="579" spans="1:19" x14ac:dyDescent="0.3">
      <c r="A579" t="s">
        <v>778</v>
      </c>
      <c r="B579" t="s">
        <v>122</v>
      </c>
      <c r="C579" t="s">
        <v>17</v>
      </c>
      <c r="D579">
        <v>40.634650000000001</v>
      </c>
      <c r="E579">
        <v>-74.023009999999999</v>
      </c>
      <c r="F579" t="s">
        <v>18</v>
      </c>
      <c r="G579">
        <v>1</v>
      </c>
      <c r="H579">
        <v>2</v>
      </c>
      <c r="I579">
        <v>1</v>
      </c>
      <c r="J579">
        <v>1</v>
      </c>
      <c r="K579">
        <v>30</v>
      </c>
      <c r="L579">
        <v>78</v>
      </c>
      <c r="M579">
        <v>31</v>
      </c>
      <c r="N579">
        <v>0.95</v>
      </c>
      <c r="O579">
        <f>IF(F579="Private room",1,0)</f>
        <v>1</v>
      </c>
      <c r="P579">
        <f>IF(C579="Manhattan",4,IF(C579="Brooklyn",2,0))</f>
        <v>2</v>
      </c>
      <c r="Q579" s="2">
        <v>170</v>
      </c>
      <c r="R579" s="1">
        <v>45738</v>
      </c>
      <c r="S579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80.069999999999993</v>
      </c>
    </row>
    <row r="580" spans="1:19" x14ac:dyDescent="0.3">
      <c r="A580" t="s">
        <v>779</v>
      </c>
      <c r="B580" t="s">
        <v>23</v>
      </c>
      <c r="C580" t="s">
        <v>17</v>
      </c>
      <c r="D580">
        <v>40.714400300000001</v>
      </c>
      <c r="E580">
        <v>-73.949682499999994</v>
      </c>
      <c r="F580" t="s">
        <v>21</v>
      </c>
      <c r="G580">
        <v>5</v>
      </c>
      <c r="H580">
        <v>2</v>
      </c>
      <c r="I580">
        <v>3</v>
      </c>
      <c r="J580">
        <v>3</v>
      </c>
      <c r="K580">
        <v>30</v>
      </c>
      <c r="L580">
        <v>334</v>
      </c>
      <c r="M580">
        <v>8</v>
      </c>
      <c r="N580">
        <v>0.25</v>
      </c>
      <c r="O580">
        <f>IF(F580="Private room",1,0)</f>
        <v>0</v>
      </c>
      <c r="P580">
        <f>IF(C580="Manhattan",4,IF(C580="Brooklyn",2,0))</f>
        <v>2</v>
      </c>
      <c r="Q580" s="2">
        <v>240</v>
      </c>
      <c r="R580" s="1">
        <v>45747</v>
      </c>
      <c r="S580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189.05000000000004</v>
      </c>
    </row>
    <row r="581" spans="1:19" x14ac:dyDescent="0.3">
      <c r="A581" t="s">
        <v>780</v>
      </c>
      <c r="B581" t="s">
        <v>106</v>
      </c>
      <c r="C581" t="s">
        <v>31</v>
      </c>
      <c r="D581">
        <v>40.822980000000001</v>
      </c>
      <c r="E581">
        <v>-73.915610000000001</v>
      </c>
      <c r="F581" t="s">
        <v>21</v>
      </c>
      <c r="G581">
        <v>2</v>
      </c>
      <c r="H581">
        <v>1</v>
      </c>
      <c r="I581">
        <v>1</v>
      </c>
      <c r="J581">
        <v>2</v>
      </c>
      <c r="K581">
        <v>30</v>
      </c>
      <c r="L581">
        <v>334</v>
      </c>
      <c r="M581">
        <v>10</v>
      </c>
      <c r="N581">
        <v>0.32</v>
      </c>
      <c r="O581">
        <f>IF(F581="Private room",1,0)</f>
        <v>0</v>
      </c>
      <c r="P581">
        <f>IF(C581="Manhattan",4,IF(C581="Brooklyn",2,0))</f>
        <v>0</v>
      </c>
      <c r="Q581" s="2">
        <v>75</v>
      </c>
      <c r="R581" s="1">
        <v>45743</v>
      </c>
      <c r="S581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90.430000000000021</v>
      </c>
    </row>
    <row r="582" spans="1:19" x14ac:dyDescent="0.3">
      <c r="A582" t="s">
        <v>781</v>
      </c>
      <c r="B582" t="s">
        <v>42</v>
      </c>
      <c r="C582" t="s">
        <v>17</v>
      </c>
      <c r="D582">
        <v>40.73321</v>
      </c>
      <c r="E582">
        <v>-73.956729999999993</v>
      </c>
      <c r="F582" t="s">
        <v>21</v>
      </c>
      <c r="G582">
        <v>4</v>
      </c>
      <c r="H582">
        <v>2.5</v>
      </c>
      <c r="I582">
        <v>2</v>
      </c>
      <c r="J582">
        <v>2</v>
      </c>
      <c r="K582">
        <v>30</v>
      </c>
      <c r="L582">
        <v>91</v>
      </c>
      <c r="M582">
        <v>6</v>
      </c>
      <c r="N582">
        <v>0.24</v>
      </c>
      <c r="O582">
        <f>IF(F582="Private room",1,0)</f>
        <v>0</v>
      </c>
      <c r="P582">
        <f>IF(C582="Manhattan",4,IF(C582="Brooklyn",2,0))</f>
        <v>2</v>
      </c>
      <c r="Q582" s="2">
        <v>420</v>
      </c>
      <c r="R582" s="1">
        <v>45722</v>
      </c>
      <c r="S582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185.40000000000006</v>
      </c>
    </row>
    <row r="583" spans="1:19" x14ac:dyDescent="0.3">
      <c r="A583" t="s">
        <v>782</v>
      </c>
      <c r="B583" t="s">
        <v>98</v>
      </c>
      <c r="C583" t="s">
        <v>17</v>
      </c>
      <c r="D583" s="3" t="s">
        <v>783</v>
      </c>
      <c r="E583">
        <v>-74.0295011958343</v>
      </c>
      <c r="F583" t="s">
        <v>21</v>
      </c>
      <c r="G583">
        <v>2</v>
      </c>
      <c r="H583">
        <v>1</v>
      </c>
      <c r="I583">
        <v>1</v>
      </c>
      <c r="J583">
        <v>2</v>
      </c>
      <c r="K583">
        <v>2</v>
      </c>
      <c r="L583">
        <v>332</v>
      </c>
      <c r="M583">
        <v>141</v>
      </c>
      <c r="N583">
        <v>4.26</v>
      </c>
      <c r="O583">
        <f>IF(F583="Private room",1,0)</f>
        <v>0</v>
      </c>
      <c r="P583">
        <f>IF(C583="Manhattan",4,IF(C583="Brooklyn",2,0))</f>
        <v>2</v>
      </c>
      <c r="Q583" s="2">
        <v>173</v>
      </c>
      <c r="R583" s="1">
        <v>45744</v>
      </c>
      <c r="S583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214.77000000000004</v>
      </c>
    </row>
    <row r="584" spans="1:19" x14ac:dyDescent="0.3">
      <c r="A584" t="s">
        <v>784</v>
      </c>
      <c r="B584" t="s">
        <v>61</v>
      </c>
      <c r="C584" t="s">
        <v>30</v>
      </c>
      <c r="D584" s="3" t="s">
        <v>785</v>
      </c>
      <c r="E584">
        <v>-73.922467343509197</v>
      </c>
      <c r="F584" t="s">
        <v>21</v>
      </c>
      <c r="G584">
        <v>2</v>
      </c>
      <c r="H584">
        <v>1</v>
      </c>
      <c r="I584">
        <v>1</v>
      </c>
      <c r="J584">
        <v>1</v>
      </c>
      <c r="K584">
        <v>30</v>
      </c>
      <c r="L584">
        <v>81</v>
      </c>
      <c r="M584">
        <v>11</v>
      </c>
      <c r="N584">
        <v>0.34</v>
      </c>
      <c r="O584">
        <f>IF(F584="Private room",1,0)</f>
        <v>0</v>
      </c>
      <c r="P584">
        <f>IF(C584="Manhattan",4,IF(C584="Brooklyn",2,0))</f>
        <v>0</v>
      </c>
      <c r="Q584" s="2">
        <v>85</v>
      </c>
      <c r="R584" s="1">
        <v>45717</v>
      </c>
      <c r="S584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100.55000000000003</v>
      </c>
    </row>
    <row r="585" spans="1:19" x14ac:dyDescent="0.3">
      <c r="A585" t="s">
        <v>786</v>
      </c>
      <c r="B585" t="s">
        <v>42</v>
      </c>
      <c r="C585" t="s">
        <v>17</v>
      </c>
      <c r="D585">
        <v>40.733824599999998</v>
      </c>
      <c r="E585">
        <v>-73.955720499999998</v>
      </c>
      <c r="F585" t="s">
        <v>21</v>
      </c>
      <c r="G585">
        <v>5</v>
      </c>
      <c r="H585">
        <v>2</v>
      </c>
      <c r="I585">
        <v>2</v>
      </c>
      <c r="J585">
        <v>2</v>
      </c>
      <c r="K585">
        <v>30</v>
      </c>
      <c r="L585">
        <v>337</v>
      </c>
      <c r="M585">
        <v>4</v>
      </c>
      <c r="N585">
        <v>0.13</v>
      </c>
      <c r="O585">
        <f>IF(F585="Private room",1,0)</f>
        <v>0</v>
      </c>
      <c r="P585">
        <f>IF(C585="Manhattan",4,IF(C585="Brooklyn",2,0))</f>
        <v>2</v>
      </c>
      <c r="Q585" s="2">
        <v>403</v>
      </c>
      <c r="R585" s="1">
        <v>45718</v>
      </c>
      <c r="S585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188.93000000000006</v>
      </c>
    </row>
    <row r="586" spans="1:19" x14ac:dyDescent="0.3">
      <c r="A586" t="s">
        <v>787</v>
      </c>
      <c r="B586" t="s">
        <v>96</v>
      </c>
      <c r="C586" t="s">
        <v>30</v>
      </c>
      <c r="D586">
        <v>40.734960000000001</v>
      </c>
      <c r="E586">
        <v>-73.905929999999998</v>
      </c>
      <c r="F586" t="s">
        <v>18</v>
      </c>
      <c r="G586">
        <v>2</v>
      </c>
      <c r="H586">
        <v>1.5</v>
      </c>
      <c r="I586">
        <v>1</v>
      </c>
      <c r="J586">
        <v>1</v>
      </c>
      <c r="K586">
        <v>3</v>
      </c>
      <c r="L586">
        <v>304</v>
      </c>
      <c r="M586">
        <v>14</v>
      </c>
      <c r="N586">
        <v>1.48</v>
      </c>
      <c r="O586">
        <f>IF(F586="Private room",1,0)</f>
        <v>1</v>
      </c>
      <c r="P586">
        <f>IF(C586="Manhattan",4,IF(C586="Brooklyn",2,0))</f>
        <v>0</v>
      </c>
      <c r="Q586" s="2">
        <v>87</v>
      </c>
      <c r="R586" s="1">
        <v>45739</v>
      </c>
      <c r="S586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144.39000000000004</v>
      </c>
    </row>
    <row r="587" spans="1:19" x14ac:dyDescent="0.3">
      <c r="A587" t="s">
        <v>788</v>
      </c>
      <c r="B587" t="s">
        <v>67</v>
      </c>
      <c r="C587" t="s">
        <v>17</v>
      </c>
      <c r="D587">
        <v>40.70064</v>
      </c>
      <c r="E587">
        <v>-73.912710000000004</v>
      </c>
      <c r="F587" t="s">
        <v>21</v>
      </c>
      <c r="G587">
        <v>4</v>
      </c>
      <c r="H587">
        <v>1</v>
      </c>
      <c r="I587">
        <v>2</v>
      </c>
      <c r="J587">
        <v>2</v>
      </c>
      <c r="K587">
        <v>30</v>
      </c>
      <c r="L587">
        <v>304</v>
      </c>
      <c r="M587">
        <v>10</v>
      </c>
      <c r="N587">
        <v>0.33</v>
      </c>
      <c r="O587">
        <f>IF(F587="Private room",1,0)</f>
        <v>0</v>
      </c>
      <c r="P587">
        <f>IF(C587="Manhattan",4,IF(C587="Brooklyn",2,0))</f>
        <v>2</v>
      </c>
      <c r="Q587" s="2">
        <v>210</v>
      </c>
      <c r="R587" s="1">
        <v>45727</v>
      </c>
      <c r="S587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160.05000000000004</v>
      </c>
    </row>
    <row r="588" spans="1:19" x14ac:dyDescent="0.3">
      <c r="A588" t="s">
        <v>789</v>
      </c>
      <c r="B588" t="s">
        <v>23</v>
      </c>
      <c r="C588" t="s">
        <v>17</v>
      </c>
      <c r="D588">
        <v>40.711303999999998</v>
      </c>
      <c r="E588">
        <v>-73.966650200000004</v>
      </c>
      <c r="F588" t="s">
        <v>18</v>
      </c>
      <c r="G588">
        <v>2</v>
      </c>
      <c r="H588">
        <v>1</v>
      </c>
      <c r="I588">
        <v>1</v>
      </c>
      <c r="J588">
        <v>1</v>
      </c>
      <c r="K588">
        <v>30</v>
      </c>
      <c r="L588">
        <v>139</v>
      </c>
      <c r="M588">
        <v>12</v>
      </c>
      <c r="N588">
        <v>0.41</v>
      </c>
      <c r="O588">
        <f>IF(F588="Private room",1,0)</f>
        <v>1</v>
      </c>
      <c r="P588">
        <f>IF(C588="Manhattan",4,IF(C588="Brooklyn",2,0))</f>
        <v>2</v>
      </c>
      <c r="Q588" s="2">
        <v>149</v>
      </c>
      <c r="R588" s="1">
        <v>45733</v>
      </c>
      <c r="S588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85.390000000000015</v>
      </c>
    </row>
    <row r="589" spans="1:19" x14ac:dyDescent="0.3">
      <c r="A589" t="s">
        <v>790</v>
      </c>
      <c r="B589" t="s">
        <v>26</v>
      </c>
      <c r="C589" t="s">
        <v>17</v>
      </c>
      <c r="D589">
        <v>40.694290000000002</v>
      </c>
      <c r="E589">
        <v>-73.971959999999996</v>
      </c>
      <c r="F589" t="s">
        <v>18</v>
      </c>
      <c r="G589">
        <v>2</v>
      </c>
      <c r="H589">
        <v>1</v>
      </c>
      <c r="I589">
        <v>1</v>
      </c>
      <c r="J589">
        <v>1</v>
      </c>
      <c r="K589">
        <v>30</v>
      </c>
      <c r="L589">
        <v>54</v>
      </c>
      <c r="M589">
        <v>25</v>
      </c>
      <c r="N589">
        <v>0.76</v>
      </c>
      <c r="O589">
        <f>IF(F589="Private room",1,0)</f>
        <v>1</v>
      </c>
      <c r="P589">
        <f>IF(C589="Manhattan",4,IF(C589="Brooklyn",2,0))</f>
        <v>2</v>
      </c>
      <c r="Q589" s="2">
        <v>78</v>
      </c>
      <c r="R589" s="1">
        <v>45717</v>
      </c>
      <c r="S589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88.79000000000002</v>
      </c>
    </row>
    <row r="590" spans="1:19" x14ac:dyDescent="0.3">
      <c r="A590" t="s">
        <v>791</v>
      </c>
      <c r="B590" t="s">
        <v>273</v>
      </c>
      <c r="C590" t="s">
        <v>30</v>
      </c>
      <c r="D590">
        <v>40.660240000000002</v>
      </c>
      <c r="E590">
        <v>-73.747579999999999</v>
      </c>
      <c r="F590" t="s">
        <v>21</v>
      </c>
      <c r="G590">
        <v>6</v>
      </c>
      <c r="H590">
        <v>2</v>
      </c>
      <c r="I590">
        <v>3</v>
      </c>
      <c r="J590">
        <v>3</v>
      </c>
      <c r="K590">
        <v>2</v>
      </c>
      <c r="L590">
        <v>135</v>
      </c>
      <c r="M590">
        <v>84</v>
      </c>
      <c r="N590">
        <v>2.56</v>
      </c>
      <c r="O590">
        <f>IF(F590="Private room",1,0)</f>
        <v>0</v>
      </c>
      <c r="P590">
        <f>IF(C590="Manhattan",4,IF(C590="Brooklyn",2,0))</f>
        <v>0</v>
      </c>
      <c r="Q590" s="2">
        <v>305</v>
      </c>
      <c r="R590" s="1">
        <v>45735</v>
      </c>
      <c r="S590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279.33000000000004</v>
      </c>
    </row>
    <row r="591" spans="1:19" x14ac:dyDescent="0.3">
      <c r="A591" t="s">
        <v>792</v>
      </c>
      <c r="B591" t="s">
        <v>28</v>
      </c>
      <c r="C591" t="s">
        <v>20</v>
      </c>
      <c r="D591">
        <v>40.803040000000003</v>
      </c>
      <c r="E591">
        <v>-73.956999999999994</v>
      </c>
      <c r="F591" t="s">
        <v>18</v>
      </c>
      <c r="G591">
        <v>2</v>
      </c>
      <c r="H591">
        <v>2</v>
      </c>
      <c r="I591">
        <v>1</v>
      </c>
      <c r="J591">
        <v>1</v>
      </c>
      <c r="K591">
        <v>30</v>
      </c>
      <c r="L591">
        <v>356</v>
      </c>
      <c r="M591">
        <v>53</v>
      </c>
      <c r="N591">
        <v>1.62</v>
      </c>
      <c r="O591">
        <f>IF(F591="Private room",1,0)</f>
        <v>1</v>
      </c>
      <c r="P591">
        <f>IF(C591="Manhattan",4,IF(C591="Brooklyn",2,0))</f>
        <v>4</v>
      </c>
      <c r="Q591" s="2">
        <v>55</v>
      </c>
      <c r="R591" s="1">
        <v>45730</v>
      </c>
      <c r="S591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118.39000000000003</v>
      </c>
    </row>
    <row r="592" spans="1:19" x14ac:dyDescent="0.3">
      <c r="A592" t="s">
        <v>793</v>
      </c>
      <c r="B592" t="s">
        <v>32</v>
      </c>
      <c r="C592" t="s">
        <v>20</v>
      </c>
      <c r="D592">
        <v>40.803159999999998</v>
      </c>
      <c r="E592">
        <v>-73.958479999999994</v>
      </c>
      <c r="F592" t="s">
        <v>18</v>
      </c>
      <c r="G592">
        <v>2</v>
      </c>
      <c r="H592">
        <v>2</v>
      </c>
      <c r="I592">
        <v>1</v>
      </c>
      <c r="J592">
        <v>1</v>
      </c>
      <c r="K592">
        <v>30</v>
      </c>
      <c r="L592">
        <v>355</v>
      </c>
      <c r="M592">
        <v>50</v>
      </c>
      <c r="N592">
        <v>1.53</v>
      </c>
      <c r="O592">
        <f>IF(F592="Private room",1,0)</f>
        <v>1</v>
      </c>
      <c r="P592">
        <f>IF(C592="Manhattan",4,IF(C592="Brooklyn",2,0))</f>
        <v>4</v>
      </c>
      <c r="Q592" s="2">
        <v>60</v>
      </c>
      <c r="R592" s="1">
        <v>45717</v>
      </c>
      <c r="S592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118.43000000000002</v>
      </c>
    </row>
    <row r="593" spans="1:19" x14ac:dyDescent="0.3">
      <c r="A593" t="s">
        <v>794</v>
      </c>
      <c r="B593" t="s">
        <v>32</v>
      </c>
      <c r="C593" t="s">
        <v>20</v>
      </c>
      <c r="D593">
        <v>40.804740000000002</v>
      </c>
      <c r="E593">
        <v>-73.958439999999996</v>
      </c>
      <c r="F593" t="s">
        <v>18</v>
      </c>
      <c r="G593">
        <v>2</v>
      </c>
      <c r="H593">
        <v>2</v>
      </c>
      <c r="I593">
        <v>1</v>
      </c>
      <c r="J593">
        <v>1</v>
      </c>
      <c r="K593">
        <v>30</v>
      </c>
      <c r="L593">
        <v>350</v>
      </c>
      <c r="M593">
        <v>54</v>
      </c>
      <c r="N593">
        <v>1.69</v>
      </c>
      <c r="O593">
        <f>IF(F593="Private room",1,0)</f>
        <v>1</v>
      </c>
      <c r="P593">
        <f>IF(C593="Manhattan",4,IF(C593="Brooklyn",2,0))</f>
        <v>4</v>
      </c>
      <c r="Q593" s="2">
        <v>57</v>
      </c>
      <c r="R593" s="1">
        <v>45747</v>
      </c>
      <c r="S593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118.63000000000002</v>
      </c>
    </row>
    <row r="594" spans="1:19" x14ac:dyDescent="0.3">
      <c r="A594" t="s">
        <v>795</v>
      </c>
      <c r="B594" t="s">
        <v>82</v>
      </c>
      <c r="C594" t="s">
        <v>30</v>
      </c>
      <c r="D594">
        <v>40.74662</v>
      </c>
      <c r="E594">
        <v>-73.910160000000005</v>
      </c>
      <c r="F594" t="s">
        <v>18</v>
      </c>
      <c r="G594">
        <v>1</v>
      </c>
      <c r="H594">
        <v>1</v>
      </c>
      <c r="I594">
        <v>1</v>
      </c>
      <c r="J594">
        <v>1</v>
      </c>
      <c r="K594">
        <v>30</v>
      </c>
      <c r="L594">
        <v>346</v>
      </c>
      <c r="M594">
        <v>5</v>
      </c>
      <c r="N594">
        <v>0.28000000000000003</v>
      </c>
      <c r="O594">
        <f>IF(F594="Private room",1,0)</f>
        <v>1</v>
      </c>
      <c r="P594">
        <f>IF(C594="Manhattan",4,IF(C594="Brooklyn",2,0))</f>
        <v>0</v>
      </c>
      <c r="Q594" s="2">
        <v>58</v>
      </c>
      <c r="R594" s="1">
        <v>45747</v>
      </c>
      <c r="S594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27.67</v>
      </c>
    </row>
    <row r="595" spans="1:19" x14ac:dyDescent="0.3">
      <c r="A595" t="s">
        <v>796</v>
      </c>
      <c r="B595" t="s">
        <v>60</v>
      </c>
      <c r="C595" t="s">
        <v>17</v>
      </c>
      <c r="D595" s="3" t="s">
        <v>797</v>
      </c>
      <c r="E595">
        <v>-73.947278447449193</v>
      </c>
      <c r="F595" t="s">
        <v>21</v>
      </c>
      <c r="G595">
        <v>2</v>
      </c>
      <c r="H595">
        <v>1</v>
      </c>
      <c r="I595">
        <v>1</v>
      </c>
      <c r="J595">
        <v>1</v>
      </c>
      <c r="K595">
        <v>30</v>
      </c>
      <c r="L595">
        <v>330</v>
      </c>
      <c r="M595">
        <v>19</v>
      </c>
      <c r="N595">
        <v>0.67</v>
      </c>
      <c r="O595">
        <f>IF(F595="Private room",1,0)</f>
        <v>0</v>
      </c>
      <c r="P595">
        <f>IF(C595="Manhattan",4,IF(C595="Brooklyn",2,0))</f>
        <v>2</v>
      </c>
      <c r="Q595" s="2">
        <v>105</v>
      </c>
      <c r="R595" s="1">
        <v>45746</v>
      </c>
      <c r="S595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121.05000000000001</v>
      </c>
    </row>
    <row r="596" spans="1:19" x14ac:dyDescent="0.3">
      <c r="A596" t="s">
        <v>798</v>
      </c>
      <c r="B596" t="s">
        <v>131</v>
      </c>
      <c r="C596" t="s">
        <v>20</v>
      </c>
      <c r="D596">
        <v>40.704389999999997</v>
      </c>
      <c r="E596">
        <v>-74.007660000000001</v>
      </c>
      <c r="F596" t="s">
        <v>18</v>
      </c>
      <c r="G596">
        <v>4</v>
      </c>
      <c r="H596">
        <v>1</v>
      </c>
      <c r="I596">
        <v>1</v>
      </c>
      <c r="J596">
        <v>2</v>
      </c>
      <c r="K596">
        <v>1</v>
      </c>
      <c r="L596">
        <v>161</v>
      </c>
      <c r="M596">
        <v>23</v>
      </c>
      <c r="N596">
        <v>1.5</v>
      </c>
      <c r="O596">
        <f>IF(F596="Private room",1,0)</f>
        <v>1</v>
      </c>
      <c r="P596">
        <f>IF(C596="Manhattan",4,IF(C596="Brooklyn",2,0))</f>
        <v>4</v>
      </c>
      <c r="Q596" s="2">
        <v>288</v>
      </c>
      <c r="R596" s="1">
        <v>45719</v>
      </c>
      <c r="S596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250.08000000000004</v>
      </c>
    </row>
    <row r="597" spans="1:19" x14ac:dyDescent="0.3">
      <c r="A597" t="s">
        <v>799</v>
      </c>
      <c r="B597" t="s">
        <v>45</v>
      </c>
      <c r="C597" t="s">
        <v>20</v>
      </c>
      <c r="D597" s="3" t="s">
        <v>800</v>
      </c>
      <c r="E597">
        <v>-73.998793168906403</v>
      </c>
      <c r="F597" t="s">
        <v>21</v>
      </c>
      <c r="G597">
        <v>4</v>
      </c>
      <c r="H597">
        <v>1</v>
      </c>
      <c r="I597">
        <v>2</v>
      </c>
      <c r="J597">
        <v>2</v>
      </c>
      <c r="K597">
        <v>30</v>
      </c>
      <c r="L597">
        <v>260</v>
      </c>
      <c r="M597">
        <v>7</v>
      </c>
      <c r="N597">
        <v>0.22</v>
      </c>
      <c r="O597">
        <f>IF(F597="Private room",1,0)</f>
        <v>0</v>
      </c>
      <c r="P597">
        <f>IF(C597="Manhattan",4,IF(C597="Brooklyn",2,0))</f>
        <v>4</v>
      </c>
      <c r="Q597" s="2">
        <v>269</v>
      </c>
      <c r="R597" s="1">
        <v>45747</v>
      </c>
      <c r="S597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192.27000000000004</v>
      </c>
    </row>
    <row r="598" spans="1:19" x14ac:dyDescent="0.3">
      <c r="A598" t="s">
        <v>801</v>
      </c>
      <c r="B598" t="s">
        <v>56</v>
      </c>
      <c r="C598" t="s">
        <v>17</v>
      </c>
      <c r="D598">
        <v>40.677199999999999</v>
      </c>
      <c r="E598">
        <v>-73.952879999999993</v>
      </c>
      <c r="F598" t="s">
        <v>21</v>
      </c>
      <c r="G598">
        <v>4</v>
      </c>
      <c r="H598">
        <v>1</v>
      </c>
      <c r="I598">
        <v>2</v>
      </c>
      <c r="J598">
        <v>2</v>
      </c>
      <c r="K598">
        <v>30</v>
      </c>
      <c r="L598">
        <v>283</v>
      </c>
      <c r="M598">
        <v>7</v>
      </c>
      <c r="N598">
        <v>0.34</v>
      </c>
      <c r="O598">
        <f>IF(F598="Private room",1,0)</f>
        <v>0</v>
      </c>
      <c r="P598">
        <f>IF(C598="Manhattan",4,IF(C598="Brooklyn",2,0))</f>
        <v>2</v>
      </c>
      <c r="Q598" s="2">
        <v>120</v>
      </c>
      <c r="R598" s="1">
        <v>45717</v>
      </c>
      <c r="S598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160.89000000000004</v>
      </c>
    </row>
    <row r="599" spans="1:19" x14ac:dyDescent="0.3">
      <c r="A599" t="s">
        <v>802</v>
      </c>
      <c r="B599" t="s">
        <v>179</v>
      </c>
      <c r="C599" t="s">
        <v>20</v>
      </c>
      <c r="D599">
        <v>40.742049999999999</v>
      </c>
      <c r="E599">
        <v>-73.99136</v>
      </c>
      <c r="F599" t="s">
        <v>18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325</v>
      </c>
      <c r="M599">
        <v>28</v>
      </c>
      <c r="N599">
        <v>0.86</v>
      </c>
      <c r="O599">
        <f>IF(F599="Private room",1,0)</f>
        <v>1</v>
      </c>
      <c r="P599">
        <f>IF(C599="Manhattan",4,IF(C599="Brooklyn",2,0))</f>
        <v>4</v>
      </c>
      <c r="Q599" s="2">
        <v>243</v>
      </c>
      <c r="R599" s="1">
        <v>45731</v>
      </c>
      <c r="S599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186.58</v>
      </c>
    </row>
    <row r="600" spans="1:19" x14ac:dyDescent="0.3">
      <c r="A600" t="s">
        <v>803</v>
      </c>
      <c r="B600" t="s">
        <v>23</v>
      </c>
      <c r="C600" t="s">
        <v>17</v>
      </c>
      <c r="D600">
        <v>40.708978299999998</v>
      </c>
      <c r="E600">
        <v>-73.9616398</v>
      </c>
      <c r="F600" t="s">
        <v>21</v>
      </c>
      <c r="G600">
        <v>4</v>
      </c>
      <c r="H600">
        <v>1</v>
      </c>
      <c r="I600">
        <v>1</v>
      </c>
      <c r="J600">
        <v>1</v>
      </c>
      <c r="K600">
        <v>30</v>
      </c>
      <c r="L600">
        <v>295</v>
      </c>
      <c r="M600">
        <v>8</v>
      </c>
      <c r="N600">
        <v>0.26</v>
      </c>
      <c r="O600">
        <f>IF(F600="Private room",1,0)</f>
        <v>0</v>
      </c>
      <c r="P600">
        <f>IF(C600="Manhattan",4,IF(C600="Brooklyn",2,0))</f>
        <v>2</v>
      </c>
      <c r="Q600" s="2">
        <v>132</v>
      </c>
      <c r="R600" s="1">
        <v>45717</v>
      </c>
      <c r="S600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160.41000000000003</v>
      </c>
    </row>
    <row r="601" spans="1:19" x14ac:dyDescent="0.3">
      <c r="A601" t="s">
        <v>804</v>
      </c>
      <c r="B601" t="s">
        <v>40</v>
      </c>
      <c r="C601" t="s">
        <v>17</v>
      </c>
      <c r="D601">
        <v>40.650109999999998</v>
      </c>
      <c r="E601">
        <v>-73.962180000000004</v>
      </c>
      <c r="F601" t="s">
        <v>21</v>
      </c>
      <c r="G601">
        <v>4</v>
      </c>
      <c r="H601">
        <v>1</v>
      </c>
      <c r="I601">
        <v>1</v>
      </c>
      <c r="J601">
        <v>2</v>
      </c>
      <c r="K601">
        <v>30</v>
      </c>
      <c r="L601">
        <v>304</v>
      </c>
      <c r="M601">
        <v>8</v>
      </c>
      <c r="N601">
        <v>0.27</v>
      </c>
      <c r="O601">
        <f>IF(F601="Private room",1,0)</f>
        <v>0</v>
      </c>
      <c r="P601">
        <f>IF(C601="Manhattan",4,IF(C601="Brooklyn",2,0))</f>
        <v>2</v>
      </c>
      <c r="Q601" s="2">
        <v>188</v>
      </c>
      <c r="R601" s="1">
        <v>45731</v>
      </c>
      <c r="S601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160.05000000000004</v>
      </c>
    </row>
    <row r="602" spans="1:19" x14ac:dyDescent="0.3">
      <c r="A602" t="s">
        <v>805</v>
      </c>
      <c r="B602" t="s">
        <v>43</v>
      </c>
      <c r="C602" t="s">
        <v>20</v>
      </c>
      <c r="D602">
        <v>40.717320000000001</v>
      </c>
      <c r="E602">
        <v>-73.984039999999993</v>
      </c>
      <c r="F602" t="s">
        <v>21</v>
      </c>
      <c r="G602">
        <v>2</v>
      </c>
      <c r="H602">
        <v>1</v>
      </c>
      <c r="I602">
        <v>1</v>
      </c>
      <c r="J602">
        <v>1</v>
      </c>
      <c r="K602">
        <v>30</v>
      </c>
      <c r="L602">
        <v>42</v>
      </c>
      <c r="M602">
        <v>9</v>
      </c>
      <c r="N602">
        <v>0.28999999999999998</v>
      </c>
      <c r="O602">
        <f>IF(F602="Private room",1,0)</f>
        <v>0</v>
      </c>
      <c r="P602">
        <f>IF(C602="Manhattan",4,IF(C602="Brooklyn",2,0))</f>
        <v>4</v>
      </c>
      <c r="Q602" s="2">
        <v>99</v>
      </c>
      <c r="R602" s="1">
        <v>45726</v>
      </c>
      <c r="S602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163.03000000000003</v>
      </c>
    </row>
    <row r="603" spans="1:19" x14ac:dyDescent="0.3">
      <c r="A603" t="s">
        <v>806</v>
      </c>
      <c r="B603" t="s">
        <v>196</v>
      </c>
      <c r="C603" t="s">
        <v>17</v>
      </c>
      <c r="D603">
        <v>40.689059999999998</v>
      </c>
      <c r="E603">
        <v>-73.872209999999995</v>
      </c>
      <c r="F603" t="s">
        <v>18</v>
      </c>
      <c r="G603">
        <v>1</v>
      </c>
      <c r="H603">
        <v>1</v>
      </c>
      <c r="I603">
        <v>1</v>
      </c>
      <c r="J603">
        <v>1</v>
      </c>
      <c r="K603">
        <v>30</v>
      </c>
      <c r="L603">
        <v>301</v>
      </c>
      <c r="M603">
        <v>37</v>
      </c>
      <c r="N603">
        <v>1.17</v>
      </c>
      <c r="O603">
        <f>IF(F603="Private room",1,0)</f>
        <v>1</v>
      </c>
      <c r="P603">
        <f>IF(C603="Manhattan",4,IF(C603="Brooklyn",2,0))</f>
        <v>2</v>
      </c>
      <c r="Q603" s="2">
        <v>55</v>
      </c>
      <c r="R603" s="1">
        <v>45747</v>
      </c>
      <c r="S603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59.93</v>
      </c>
    </row>
    <row r="604" spans="1:19" x14ac:dyDescent="0.3">
      <c r="A604" t="s">
        <v>807</v>
      </c>
      <c r="B604" t="s">
        <v>68</v>
      </c>
      <c r="C604" t="s">
        <v>20</v>
      </c>
      <c r="D604">
        <v>40.840060000000001</v>
      </c>
      <c r="E604">
        <v>-73.935419999999993</v>
      </c>
      <c r="F604" t="s">
        <v>18</v>
      </c>
      <c r="G604">
        <v>2</v>
      </c>
      <c r="H604">
        <v>1</v>
      </c>
      <c r="I604">
        <v>1</v>
      </c>
      <c r="J604">
        <v>1</v>
      </c>
      <c r="K604">
        <v>30</v>
      </c>
      <c r="L604">
        <v>251</v>
      </c>
      <c r="M604">
        <v>7</v>
      </c>
      <c r="N604">
        <v>0.22</v>
      </c>
      <c r="O604">
        <f>IF(F604="Private room",1,0)</f>
        <v>1</v>
      </c>
      <c r="P604">
        <f>IF(C604="Manhattan",4,IF(C604="Brooklyn",2,0))</f>
        <v>4</v>
      </c>
      <c r="Q604" s="2">
        <v>55</v>
      </c>
      <c r="R604" s="1">
        <v>45747</v>
      </c>
      <c r="S604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111.37000000000002</v>
      </c>
    </row>
    <row r="605" spans="1:19" x14ac:dyDescent="0.3">
      <c r="A605" t="s">
        <v>808</v>
      </c>
      <c r="B605" t="s">
        <v>356</v>
      </c>
      <c r="C605" t="s">
        <v>30</v>
      </c>
      <c r="D605" s="3" t="s">
        <v>809</v>
      </c>
      <c r="E605">
        <v>-73.747310042381201</v>
      </c>
      <c r="F605" t="s">
        <v>21</v>
      </c>
      <c r="G605">
        <v>3</v>
      </c>
      <c r="H605">
        <v>1</v>
      </c>
      <c r="I605">
        <v>1</v>
      </c>
      <c r="J605">
        <v>4</v>
      </c>
      <c r="K605">
        <v>30</v>
      </c>
      <c r="L605">
        <v>59</v>
      </c>
      <c r="M605">
        <v>2</v>
      </c>
      <c r="N605">
        <v>0.41</v>
      </c>
      <c r="O605">
        <f>IF(F605="Private room",1,0)</f>
        <v>0</v>
      </c>
      <c r="P605">
        <f>IF(C605="Manhattan",4,IF(C605="Brooklyn",2,0))</f>
        <v>0</v>
      </c>
      <c r="Q605" s="2">
        <v>115</v>
      </c>
      <c r="R605" s="1">
        <v>45734</v>
      </c>
      <c r="S605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120.41000000000001</v>
      </c>
    </row>
    <row r="606" spans="1:19" x14ac:dyDescent="0.3">
      <c r="A606" t="s">
        <v>810</v>
      </c>
      <c r="B606" t="s">
        <v>56</v>
      </c>
      <c r="C606" t="s">
        <v>17</v>
      </c>
      <c r="D606">
        <v>40.671329999999998</v>
      </c>
      <c r="E606">
        <v>-73.961070000000007</v>
      </c>
      <c r="F606" t="s">
        <v>21</v>
      </c>
      <c r="G606">
        <v>2</v>
      </c>
      <c r="H606">
        <v>1</v>
      </c>
      <c r="I606">
        <v>1</v>
      </c>
      <c r="J606">
        <v>2</v>
      </c>
      <c r="K606">
        <v>30</v>
      </c>
      <c r="L606">
        <v>118</v>
      </c>
      <c r="M606">
        <v>3</v>
      </c>
      <c r="N606">
        <v>0.1</v>
      </c>
      <c r="O606">
        <f>IF(F606="Private room",1,0)</f>
        <v>0</v>
      </c>
      <c r="P606">
        <f>IF(C606="Manhattan",4,IF(C606="Brooklyn",2,0))</f>
        <v>2</v>
      </c>
      <c r="Q606" s="2">
        <v>150</v>
      </c>
      <c r="R606" s="1">
        <v>45718</v>
      </c>
      <c r="S606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129.53000000000003</v>
      </c>
    </row>
    <row r="607" spans="1:19" x14ac:dyDescent="0.3">
      <c r="A607" t="s">
        <v>811</v>
      </c>
      <c r="B607" t="s">
        <v>57</v>
      </c>
      <c r="C607" t="s">
        <v>20</v>
      </c>
      <c r="D607">
        <v>40.72092</v>
      </c>
      <c r="E607">
        <v>-73.995769999999993</v>
      </c>
      <c r="F607" t="s">
        <v>21</v>
      </c>
      <c r="G607">
        <v>2</v>
      </c>
      <c r="H607">
        <v>1</v>
      </c>
      <c r="I607">
        <v>1</v>
      </c>
      <c r="J607">
        <v>1</v>
      </c>
      <c r="K607">
        <v>30</v>
      </c>
      <c r="L607">
        <v>185</v>
      </c>
      <c r="M607">
        <v>67</v>
      </c>
      <c r="N607">
        <v>2.27</v>
      </c>
      <c r="O607">
        <f>IF(F607="Private room",1,0)</f>
        <v>0</v>
      </c>
      <c r="P607">
        <f>IF(C607="Manhattan",4,IF(C607="Brooklyn",2,0))</f>
        <v>4</v>
      </c>
      <c r="Q607" s="2">
        <v>194</v>
      </c>
      <c r="R607" s="1">
        <v>45747</v>
      </c>
      <c r="S607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157.31</v>
      </c>
    </row>
    <row r="608" spans="1:19" x14ac:dyDescent="0.3">
      <c r="A608" t="s">
        <v>812</v>
      </c>
      <c r="B608" t="s">
        <v>67</v>
      </c>
      <c r="C608" t="s">
        <v>17</v>
      </c>
      <c r="D608">
        <v>40.6900707</v>
      </c>
      <c r="E608">
        <v>-73.919643800000003</v>
      </c>
      <c r="F608" t="s">
        <v>21</v>
      </c>
      <c r="G608">
        <v>2</v>
      </c>
      <c r="H608">
        <v>1</v>
      </c>
      <c r="I608">
        <v>1</v>
      </c>
      <c r="J608">
        <v>1</v>
      </c>
      <c r="K608">
        <v>30</v>
      </c>
      <c r="L608">
        <v>334</v>
      </c>
      <c r="M608">
        <v>15</v>
      </c>
      <c r="N608">
        <v>0.49</v>
      </c>
      <c r="O608">
        <f>IF(F608="Private room",1,0)</f>
        <v>0</v>
      </c>
      <c r="P608">
        <f>IF(C608="Manhattan",4,IF(C608="Brooklyn",2,0))</f>
        <v>2</v>
      </c>
      <c r="Q608" s="2">
        <v>101</v>
      </c>
      <c r="R608" s="1">
        <v>45732</v>
      </c>
      <c r="S608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120.89000000000001</v>
      </c>
    </row>
    <row r="609" spans="1:19" x14ac:dyDescent="0.3">
      <c r="A609" t="s">
        <v>813</v>
      </c>
      <c r="B609" t="s">
        <v>42</v>
      </c>
      <c r="C609" t="s">
        <v>17</v>
      </c>
      <c r="D609" s="3" t="s">
        <v>814</v>
      </c>
      <c r="E609">
        <v>-73.950292473294496</v>
      </c>
      <c r="F609" t="s">
        <v>21</v>
      </c>
      <c r="G609">
        <v>2</v>
      </c>
      <c r="H609">
        <v>1</v>
      </c>
      <c r="I609">
        <v>1</v>
      </c>
      <c r="J609">
        <v>1</v>
      </c>
      <c r="K609">
        <v>30</v>
      </c>
      <c r="L609">
        <v>52</v>
      </c>
      <c r="M609">
        <v>3</v>
      </c>
      <c r="N609">
        <v>0.52</v>
      </c>
      <c r="O609">
        <f>IF(F609="Private room",1,0)</f>
        <v>0</v>
      </c>
      <c r="P609">
        <f>IF(C609="Manhattan",4,IF(C609="Brooklyn",2,0))</f>
        <v>2</v>
      </c>
      <c r="Q609" s="2">
        <v>260</v>
      </c>
      <c r="R609" s="1">
        <v>45747</v>
      </c>
      <c r="S609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132.17000000000002</v>
      </c>
    </row>
    <row r="610" spans="1:19" x14ac:dyDescent="0.3">
      <c r="A610" t="s">
        <v>815</v>
      </c>
      <c r="B610" t="s">
        <v>33</v>
      </c>
      <c r="C610" t="s">
        <v>17</v>
      </c>
      <c r="D610">
        <v>40.679569999999998</v>
      </c>
      <c r="E610">
        <v>-73.978669999999994</v>
      </c>
      <c r="F610" t="s">
        <v>21</v>
      </c>
      <c r="G610">
        <v>4</v>
      </c>
      <c r="H610">
        <v>1</v>
      </c>
      <c r="I610">
        <v>1</v>
      </c>
      <c r="J610">
        <v>2</v>
      </c>
      <c r="K610">
        <v>30</v>
      </c>
      <c r="L610">
        <v>172</v>
      </c>
      <c r="M610">
        <v>8</v>
      </c>
      <c r="N610">
        <v>0.37</v>
      </c>
      <c r="O610">
        <f>IF(F610="Private room",1,0)</f>
        <v>0</v>
      </c>
      <c r="P610">
        <f>IF(C610="Manhattan",4,IF(C610="Brooklyn",2,0))</f>
        <v>2</v>
      </c>
      <c r="Q610" s="2">
        <v>233</v>
      </c>
      <c r="R610" s="1">
        <v>45739</v>
      </c>
      <c r="S610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165.33000000000004</v>
      </c>
    </row>
    <row r="611" spans="1:19" x14ac:dyDescent="0.3">
      <c r="A611" t="s">
        <v>816</v>
      </c>
      <c r="B611" t="s">
        <v>122</v>
      </c>
      <c r="C611" t="s">
        <v>17</v>
      </c>
      <c r="D611">
        <v>40.629300000000001</v>
      </c>
      <c r="E611">
        <v>-74.026560000000003</v>
      </c>
      <c r="F611" t="s">
        <v>21</v>
      </c>
      <c r="G611">
        <v>2</v>
      </c>
      <c r="H611">
        <v>1</v>
      </c>
      <c r="I611">
        <v>1</v>
      </c>
      <c r="J611">
        <v>1</v>
      </c>
      <c r="K611">
        <v>30</v>
      </c>
      <c r="L611">
        <v>96</v>
      </c>
      <c r="M611">
        <v>23</v>
      </c>
      <c r="N611">
        <v>0.74</v>
      </c>
      <c r="O611">
        <f>IF(F611="Private room",1,0)</f>
        <v>0</v>
      </c>
      <c r="P611">
        <f>IF(C611="Manhattan",4,IF(C611="Brooklyn",2,0))</f>
        <v>2</v>
      </c>
      <c r="Q611" s="2">
        <v>88</v>
      </c>
      <c r="R611" s="1">
        <v>45747</v>
      </c>
      <c r="S611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130.41000000000003</v>
      </c>
    </row>
    <row r="612" spans="1:19" x14ac:dyDescent="0.3">
      <c r="A612" t="s">
        <v>817</v>
      </c>
      <c r="B612" t="s">
        <v>45</v>
      </c>
      <c r="C612" t="s">
        <v>20</v>
      </c>
      <c r="D612">
        <v>40.739730000000002</v>
      </c>
      <c r="E612">
        <v>-73.999499999999998</v>
      </c>
      <c r="F612" t="s">
        <v>21</v>
      </c>
      <c r="G612">
        <v>2</v>
      </c>
      <c r="H612">
        <v>1</v>
      </c>
      <c r="I612">
        <v>0</v>
      </c>
      <c r="J612">
        <v>1</v>
      </c>
      <c r="K612">
        <v>30</v>
      </c>
      <c r="L612">
        <v>336</v>
      </c>
      <c r="M612">
        <v>5</v>
      </c>
      <c r="N612">
        <v>0.2</v>
      </c>
      <c r="O612">
        <f>IF(F612="Private room",1,0)</f>
        <v>0</v>
      </c>
      <c r="P612">
        <f>IF(C612="Manhattan",4,IF(C612="Brooklyn",2,0))</f>
        <v>4</v>
      </c>
      <c r="Q612" s="2">
        <v>140</v>
      </c>
      <c r="R612" s="1">
        <v>45725</v>
      </c>
      <c r="S612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151.27000000000004</v>
      </c>
    </row>
    <row r="613" spans="1:19" x14ac:dyDescent="0.3">
      <c r="A613" t="s">
        <v>818</v>
      </c>
      <c r="B613" t="s">
        <v>58</v>
      </c>
      <c r="C613" t="s">
        <v>17</v>
      </c>
      <c r="D613">
        <v>40.669199999999996</v>
      </c>
      <c r="E613">
        <v>-73.990669999999994</v>
      </c>
      <c r="F613" t="s">
        <v>21</v>
      </c>
      <c r="G613">
        <v>2</v>
      </c>
      <c r="H613">
        <v>1</v>
      </c>
      <c r="I613">
        <v>1</v>
      </c>
      <c r="J613">
        <v>1</v>
      </c>
      <c r="K613">
        <v>30</v>
      </c>
      <c r="L613">
        <v>109</v>
      </c>
      <c r="M613">
        <v>35</v>
      </c>
      <c r="N613">
        <v>1.1200000000000001</v>
      </c>
      <c r="O613">
        <f>IF(F613="Private room",1,0)</f>
        <v>0</v>
      </c>
      <c r="P613">
        <f>IF(C613="Manhattan",4,IF(C613="Brooklyn",2,0))</f>
        <v>2</v>
      </c>
      <c r="Q613" s="2">
        <v>116</v>
      </c>
      <c r="R613" s="1">
        <v>45747</v>
      </c>
      <c r="S613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129.89000000000001</v>
      </c>
    </row>
    <row r="614" spans="1:19" x14ac:dyDescent="0.3">
      <c r="A614" t="s">
        <v>819</v>
      </c>
      <c r="B614" t="s">
        <v>119</v>
      </c>
      <c r="C614" t="s">
        <v>31</v>
      </c>
      <c r="D614">
        <v>40.834940000000003</v>
      </c>
      <c r="E614">
        <v>-73.918009999999995</v>
      </c>
      <c r="F614" t="s">
        <v>18</v>
      </c>
      <c r="G614">
        <v>1</v>
      </c>
      <c r="H614">
        <v>1</v>
      </c>
      <c r="I614">
        <v>1</v>
      </c>
      <c r="J614">
        <v>1</v>
      </c>
      <c r="K614">
        <v>30</v>
      </c>
      <c r="L614">
        <v>362</v>
      </c>
      <c r="M614">
        <v>9</v>
      </c>
      <c r="N614">
        <v>0.31</v>
      </c>
      <c r="O614">
        <f>IF(F614="Private room",1,0)</f>
        <v>1</v>
      </c>
      <c r="P614">
        <f>IF(C614="Manhattan",4,IF(C614="Brooklyn",2,0))</f>
        <v>0</v>
      </c>
      <c r="Q614" s="2">
        <v>69</v>
      </c>
      <c r="R614" s="1">
        <v>45717</v>
      </c>
      <c r="S614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27.03</v>
      </c>
    </row>
    <row r="615" spans="1:19" x14ac:dyDescent="0.3">
      <c r="A615" t="s">
        <v>820</v>
      </c>
      <c r="B615" t="s">
        <v>67</v>
      </c>
      <c r="C615" t="s">
        <v>17</v>
      </c>
      <c r="D615">
        <v>40.697220000000002</v>
      </c>
      <c r="E615">
        <v>-73.914919999999995</v>
      </c>
      <c r="F615" t="s">
        <v>18</v>
      </c>
      <c r="G615">
        <v>2</v>
      </c>
      <c r="H615">
        <v>1</v>
      </c>
      <c r="I615">
        <v>1</v>
      </c>
      <c r="J615">
        <v>1</v>
      </c>
      <c r="K615">
        <v>1</v>
      </c>
      <c r="L615">
        <v>285</v>
      </c>
      <c r="M615">
        <v>62</v>
      </c>
      <c r="N615">
        <v>2</v>
      </c>
      <c r="O615">
        <f>IF(F615="Private room",1,0)</f>
        <v>1</v>
      </c>
      <c r="P615">
        <f>IF(C615="Manhattan",4,IF(C615="Brooklyn",2,0))</f>
        <v>2</v>
      </c>
      <c r="Q615" s="2">
        <v>99</v>
      </c>
      <c r="R615" s="1">
        <v>45739</v>
      </c>
      <c r="S615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176.70000000000002</v>
      </c>
    </row>
    <row r="616" spans="1:19" x14ac:dyDescent="0.3">
      <c r="A616" t="s">
        <v>821</v>
      </c>
      <c r="B616" t="s">
        <v>127</v>
      </c>
      <c r="C616" t="s">
        <v>30</v>
      </c>
      <c r="D616">
        <v>40.695979999999999</v>
      </c>
      <c r="E616">
        <v>-73.833910000000003</v>
      </c>
      <c r="F616" t="s">
        <v>18</v>
      </c>
      <c r="G616">
        <v>1</v>
      </c>
      <c r="H616">
        <v>1</v>
      </c>
      <c r="I616">
        <v>1</v>
      </c>
      <c r="J616">
        <v>1</v>
      </c>
      <c r="K616">
        <v>3</v>
      </c>
      <c r="L616">
        <v>96</v>
      </c>
      <c r="M616">
        <v>80</v>
      </c>
      <c r="N616">
        <v>2.56</v>
      </c>
      <c r="O616">
        <f>IF(F616="Private room",1,0)</f>
        <v>1</v>
      </c>
      <c r="P616">
        <f>IF(C616="Manhattan",4,IF(C616="Brooklyn",2,0))</f>
        <v>0</v>
      </c>
      <c r="Q616" s="2">
        <v>71</v>
      </c>
      <c r="R616" s="1">
        <v>45728</v>
      </c>
      <c r="S616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128.12</v>
      </c>
    </row>
    <row r="617" spans="1:19" x14ac:dyDescent="0.3">
      <c r="A617" t="s">
        <v>822</v>
      </c>
      <c r="B617" t="s">
        <v>19</v>
      </c>
      <c r="C617" t="s">
        <v>20</v>
      </c>
      <c r="D617">
        <v>40.74774</v>
      </c>
      <c r="E617">
        <v>-73.988680000000002</v>
      </c>
      <c r="F617" t="s">
        <v>18</v>
      </c>
      <c r="G617">
        <v>2</v>
      </c>
      <c r="H617">
        <v>1</v>
      </c>
      <c r="I617">
        <v>1</v>
      </c>
      <c r="J617">
        <v>1</v>
      </c>
      <c r="K617">
        <v>1</v>
      </c>
      <c r="L617">
        <v>257</v>
      </c>
      <c r="M617">
        <v>30</v>
      </c>
      <c r="N617">
        <v>0.98</v>
      </c>
      <c r="O617">
        <f>IF(F617="Private room",1,0)</f>
        <v>1</v>
      </c>
      <c r="P617">
        <f>IF(C617="Manhattan",4,IF(C617="Brooklyn",2,0))</f>
        <v>4</v>
      </c>
      <c r="Q617" s="2">
        <v>143</v>
      </c>
      <c r="R617" s="1">
        <v>45738</v>
      </c>
      <c r="S617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208.28000000000003</v>
      </c>
    </row>
    <row r="618" spans="1:19" x14ac:dyDescent="0.3">
      <c r="A618" t="s">
        <v>823</v>
      </c>
      <c r="B618" t="s">
        <v>241</v>
      </c>
      <c r="C618" t="s">
        <v>31</v>
      </c>
      <c r="D618">
        <v>40.8733626</v>
      </c>
      <c r="E618">
        <v>-73.850279899999904</v>
      </c>
      <c r="F618" t="s">
        <v>21</v>
      </c>
      <c r="G618">
        <v>2</v>
      </c>
      <c r="H618">
        <v>1</v>
      </c>
      <c r="I618">
        <v>1</v>
      </c>
      <c r="J618">
        <v>2</v>
      </c>
      <c r="K618">
        <v>30</v>
      </c>
      <c r="L618">
        <v>141</v>
      </c>
      <c r="M618">
        <v>17</v>
      </c>
      <c r="N618">
        <v>0.55000000000000004</v>
      </c>
      <c r="O618">
        <f>IF(F618="Private room",1,0)</f>
        <v>0</v>
      </c>
      <c r="P618">
        <f>IF(C618="Manhattan",4,IF(C618="Brooklyn",2,0))</f>
        <v>0</v>
      </c>
      <c r="Q618" s="2">
        <v>84</v>
      </c>
      <c r="R618" s="1">
        <v>45717</v>
      </c>
      <c r="S618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98.15000000000002</v>
      </c>
    </row>
    <row r="619" spans="1:19" x14ac:dyDescent="0.3">
      <c r="A619" t="s">
        <v>824</v>
      </c>
      <c r="B619" t="s">
        <v>49</v>
      </c>
      <c r="C619" t="s">
        <v>20</v>
      </c>
      <c r="D619" s="3" t="s">
        <v>772</v>
      </c>
      <c r="E619">
        <v>-73.979221100000004</v>
      </c>
      <c r="F619" t="s">
        <v>21</v>
      </c>
      <c r="G619">
        <v>4</v>
      </c>
      <c r="H619">
        <v>1</v>
      </c>
      <c r="I619">
        <v>2</v>
      </c>
      <c r="J619">
        <v>2</v>
      </c>
      <c r="K619">
        <v>30</v>
      </c>
      <c r="L619">
        <v>269</v>
      </c>
      <c r="M619">
        <v>6</v>
      </c>
      <c r="N619">
        <v>0.24</v>
      </c>
      <c r="O619">
        <f>IF(F619="Private room",1,0)</f>
        <v>0</v>
      </c>
      <c r="P619">
        <f>IF(C619="Manhattan",4,IF(C619="Brooklyn",2,0))</f>
        <v>4</v>
      </c>
      <c r="Q619" s="2">
        <v>141</v>
      </c>
      <c r="R619" s="1">
        <v>45717</v>
      </c>
      <c r="S619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191.91000000000003</v>
      </c>
    </row>
    <row r="620" spans="1:19" x14ac:dyDescent="0.3">
      <c r="A620" t="s">
        <v>825</v>
      </c>
      <c r="B620" t="s">
        <v>36</v>
      </c>
      <c r="C620" t="s">
        <v>20</v>
      </c>
      <c r="D620">
        <v>40.761690100000003</v>
      </c>
      <c r="E620">
        <v>-73.962690600000002</v>
      </c>
      <c r="F620" t="s">
        <v>21</v>
      </c>
      <c r="G620">
        <v>2</v>
      </c>
      <c r="H620">
        <v>1</v>
      </c>
      <c r="I620">
        <v>1</v>
      </c>
      <c r="J620">
        <v>1</v>
      </c>
      <c r="K620">
        <v>30</v>
      </c>
      <c r="L620">
        <v>327</v>
      </c>
      <c r="M620">
        <v>8</v>
      </c>
      <c r="N620">
        <v>0.3</v>
      </c>
      <c r="O620">
        <f>IF(F620="Private room",1,0)</f>
        <v>0</v>
      </c>
      <c r="P620">
        <f>IF(C620="Manhattan",4,IF(C620="Brooklyn",2,0))</f>
        <v>4</v>
      </c>
      <c r="Q620" s="2">
        <v>106</v>
      </c>
      <c r="R620" s="1">
        <v>45719</v>
      </c>
      <c r="S620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151.63000000000002</v>
      </c>
    </row>
    <row r="621" spans="1:19" x14ac:dyDescent="0.3">
      <c r="A621" t="s">
        <v>826</v>
      </c>
      <c r="B621" t="s">
        <v>86</v>
      </c>
      <c r="C621" t="s">
        <v>20</v>
      </c>
      <c r="D621">
        <v>40.720080000000003</v>
      </c>
      <c r="E621">
        <v>-74.001570000000001</v>
      </c>
      <c r="F621" t="s">
        <v>21</v>
      </c>
      <c r="G621">
        <v>8</v>
      </c>
      <c r="H621">
        <v>1</v>
      </c>
      <c r="I621">
        <v>1</v>
      </c>
      <c r="J621">
        <v>4</v>
      </c>
      <c r="K621">
        <v>1</v>
      </c>
      <c r="L621">
        <v>239</v>
      </c>
      <c r="M621">
        <v>97</v>
      </c>
      <c r="N621">
        <v>3.23</v>
      </c>
      <c r="O621">
        <f>IF(F621="Private room",1,0)</f>
        <v>0</v>
      </c>
      <c r="P621">
        <f>IF(C621="Manhattan",4,IF(C621="Brooklyn",2,0))</f>
        <v>4</v>
      </c>
      <c r="Q621" s="2">
        <v>323</v>
      </c>
      <c r="R621" s="1">
        <v>45727</v>
      </c>
      <c r="S621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366.18000000000006</v>
      </c>
    </row>
    <row r="622" spans="1:19" x14ac:dyDescent="0.3">
      <c r="A622" t="s">
        <v>827</v>
      </c>
      <c r="B622" t="s">
        <v>36</v>
      </c>
      <c r="C622" t="s">
        <v>20</v>
      </c>
      <c r="D622">
        <v>40.78125</v>
      </c>
      <c r="E622">
        <v>-73.952169999999995</v>
      </c>
      <c r="F622" t="s">
        <v>21</v>
      </c>
      <c r="G622">
        <v>2</v>
      </c>
      <c r="H622">
        <v>1</v>
      </c>
      <c r="I622">
        <v>1</v>
      </c>
      <c r="J622">
        <v>2</v>
      </c>
      <c r="K622">
        <v>30</v>
      </c>
      <c r="L622">
        <v>328</v>
      </c>
      <c r="M622">
        <v>7</v>
      </c>
      <c r="N622">
        <v>0.24</v>
      </c>
      <c r="O622">
        <f>IF(F622="Private room",1,0)</f>
        <v>0</v>
      </c>
      <c r="P622">
        <f>IF(C622="Manhattan",4,IF(C622="Brooklyn",2,0))</f>
        <v>4</v>
      </c>
      <c r="Q622" s="2">
        <v>100</v>
      </c>
      <c r="R622" s="1">
        <v>45719</v>
      </c>
      <c r="S622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151.59000000000003</v>
      </c>
    </row>
    <row r="623" spans="1:19" x14ac:dyDescent="0.3">
      <c r="A623" t="s">
        <v>828</v>
      </c>
      <c r="B623" t="s">
        <v>45</v>
      </c>
      <c r="C623" t="s">
        <v>20</v>
      </c>
      <c r="D623">
        <v>40.743389999999998</v>
      </c>
      <c r="E623">
        <v>-73.992789999999999</v>
      </c>
      <c r="F623" t="s">
        <v>21</v>
      </c>
      <c r="G623">
        <v>3</v>
      </c>
      <c r="H623">
        <v>1</v>
      </c>
      <c r="I623">
        <v>1</v>
      </c>
      <c r="J623">
        <v>1</v>
      </c>
      <c r="K623">
        <v>30</v>
      </c>
      <c r="L623">
        <v>98</v>
      </c>
      <c r="M623">
        <v>7</v>
      </c>
      <c r="N623">
        <v>0.24</v>
      </c>
      <c r="O623">
        <f>IF(F623="Private room",1,0)</f>
        <v>0</v>
      </c>
      <c r="P623">
        <f>IF(C623="Manhattan",4,IF(C623="Brooklyn",2,0))</f>
        <v>4</v>
      </c>
      <c r="Q623" s="2">
        <v>342</v>
      </c>
      <c r="R623" s="1">
        <v>45736</v>
      </c>
      <c r="S623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179.77</v>
      </c>
    </row>
    <row r="624" spans="1:19" x14ac:dyDescent="0.3">
      <c r="A624" t="s">
        <v>829</v>
      </c>
      <c r="B624" t="s">
        <v>36</v>
      </c>
      <c r="C624" t="s">
        <v>20</v>
      </c>
      <c r="D624">
        <v>40.774926800000003</v>
      </c>
      <c r="E624">
        <v>-73.948163199999996</v>
      </c>
      <c r="F624" t="s">
        <v>21</v>
      </c>
      <c r="G624">
        <v>3</v>
      </c>
      <c r="H624">
        <v>2</v>
      </c>
      <c r="I624">
        <v>1</v>
      </c>
      <c r="J624">
        <v>1</v>
      </c>
      <c r="K624">
        <v>30</v>
      </c>
      <c r="L624">
        <v>267</v>
      </c>
      <c r="M624">
        <v>8</v>
      </c>
      <c r="N624">
        <v>0.3</v>
      </c>
      <c r="O624">
        <f>IF(F624="Private room",1,0)</f>
        <v>0</v>
      </c>
      <c r="P624">
        <f>IF(C624="Manhattan",4,IF(C624="Brooklyn",2,0))</f>
        <v>4</v>
      </c>
      <c r="Q624" s="2">
        <v>262</v>
      </c>
      <c r="R624" s="1">
        <v>45733</v>
      </c>
      <c r="S624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184.23000000000002</v>
      </c>
    </row>
    <row r="625" spans="1:19" x14ac:dyDescent="0.3">
      <c r="A625" t="s">
        <v>830</v>
      </c>
      <c r="B625" t="s">
        <v>27</v>
      </c>
      <c r="C625" t="s">
        <v>17</v>
      </c>
      <c r="D625">
        <v>40.682209800000003</v>
      </c>
      <c r="E625">
        <v>-73.918574899999996</v>
      </c>
      <c r="F625" t="s">
        <v>21</v>
      </c>
      <c r="G625">
        <v>4</v>
      </c>
      <c r="H625">
        <v>2.5</v>
      </c>
      <c r="I625">
        <v>2</v>
      </c>
      <c r="J625">
        <v>2</v>
      </c>
      <c r="K625">
        <v>30</v>
      </c>
      <c r="L625">
        <v>284</v>
      </c>
      <c r="M625">
        <v>7</v>
      </c>
      <c r="N625">
        <v>0.33</v>
      </c>
      <c r="O625">
        <f>IF(F625="Private room",1,0)</f>
        <v>0</v>
      </c>
      <c r="P625">
        <f>IF(C625="Manhattan",4,IF(C625="Brooklyn",2,0))</f>
        <v>2</v>
      </c>
      <c r="Q625" s="2">
        <v>268</v>
      </c>
      <c r="R625" s="1">
        <v>45721</v>
      </c>
      <c r="S625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177.68000000000004</v>
      </c>
    </row>
    <row r="626" spans="1:19" x14ac:dyDescent="0.3">
      <c r="A626" t="s">
        <v>831</v>
      </c>
      <c r="B626" t="s">
        <v>67</v>
      </c>
      <c r="C626" t="s">
        <v>17</v>
      </c>
      <c r="D626">
        <v>40.699680000000001</v>
      </c>
      <c r="E626">
        <v>-73.938569999999999</v>
      </c>
      <c r="F626" t="s">
        <v>18</v>
      </c>
      <c r="G626">
        <v>1</v>
      </c>
      <c r="H626">
        <v>1</v>
      </c>
      <c r="I626">
        <v>1</v>
      </c>
      <c r="J626">
        <v>1</v>
      </c>
      <c r="K626">
        <v>30</v>
      </c>
      <c r="L626">
        <v>142</v>
      </c>
      <c r="M626">
        <v>3</v>
      </c>
      <c r="N626">
        <v>0.43</v>
      </c>
      <c r="O626">
        <f>IF(F626="Private room",1,0)</f>
        <v>1</v>
      </c>
      <c r="P626">
        <f>IF(C626="Manhattan",4,IF(C626="Brooklyn",2,0))</f>
        <v>2</v>
      </c>
      <c r="Q626" s="2">
        <v>61</v>
      </c>
      <c r="R626" s="1">
        <v>45741</v>
      </c>
      <c r="S626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66.289999999999992</v>
      </c>
    </row>
    <row r="627" spans="1:19" x14ac:dyDescent="0.3">
      <c r="A627" t="s">
        <v>832</v>
      </c>
      <c r="B627" t="s">
        <v>101</v>
      </c>
      <c r="C627" t="s">
        <v>30</v>
      </c>
      <c r="D627">
        <v>40.767060000000001</v>
      </c>
      <c r="E627">
        <v>-73.879779999999997</v>
      </c>
      <c r="F627" t="s">
        <v>21</v>
      </c>
      <c r="G627">
        <v>4</v>
      </c>
      <c r="H627">
        <v>2</v>
      </c>
      <c r="I627">
        <v>2</v>
      </c>
      <c r="J627">
        <v>2</v>
      </c>
      <c r="K627">
        <v>30</v>
      </c>
      <c r="L627">
        <v>279</v>
      </c>
      <c r="M627">
        <v>63</v>
      </c>
      <c r="N627">
        <v>2.15</v>
      </c>
      <c r="O627">
        <f>IF(F627="Private room",1,0)</f>
        <v>0</v>
      </c>
      <c r="P627">
        <f>IF(C627="Manhattan",4,IF(C627="Brooklyn",2,0))</f>
        <v>0</v>
      </c>
      <c r="Q627" s="2">
        <v>275</v>
      </c>
      <c r="R627" s="1">
        <v>45726</v>
      </c>
      <c r="S627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141.81000000000003</v>
      </c>
    </row>
    <row r="628" spans="1:19" x14ac:dyDescent="0.3">
      <c r="A628" t="s">
        <v>833</v>
      </c>
      <c r="B628" t="s">
        <v>104</v>
      </c>
      <c r="C628" t="s">
        <v>17</v>
      </c>
      <c r="D628">
        <v>40.688496299999997</v>
      </c>
      <c r="E628">
        <v>-73.995743399999995</v>
      </c>
      <c r="F628" t="s">
        <v>21</v>
      </c>
      <c r="G628">
        <v>3</v>
      </c>
      <c r="H628">
        <v>1</v>
      </c>
      <c r="I628">
        <v>1</v>
      </c>
      <c r="J628">
        <v>1</v>
      </c>
      <c r="K628">
        <v>30</v>
      </c>
      <c r="L628">
        <v>220</v>
      </c>
      <c r="M628">
        <v>11</v>
      </c>
      <c r="N628">
        <v>0.42</v>
      </c>
      <c r="O628">
        <f>IF(F628="Private room",1,0)</f>
        <v>0</v>
      </c>
      <c r="P628">
        <f>IF(C628="Manhattan",4,IF(C628="Brooklyn",2,0))</f>
        <v>2</v>
      </c>
      <c r="Q628" s="2">
        <v>120</v>
      </c>
      <c r="R628" s="1">
        <v>45747</v>
      </c>
      <c r="S628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144.43</v>
      </c>
    </row>
    <row r="629" spans="1:19" x14ac:dyDescent="0.3">
      <c r="A629" t="s">
        <v>835</v>
      </c>
      <c r="B629" t="s">
        <v>122</v>
      </c>
      <c r="C629" t="s">
        <v>17</v>
      </c>
      <c r="D629">
        <v>40.638199999999998</v>
      </c>
      <c r="E629">
        <v>-74.025859999999994</v>
      </c>
      <c r="F629" t="s">
        <v>18</v>
      </c>
      <c r="G629">
        <v>2</v>
      </c>
      <c r="H629">
        <v>1.5</v>
      </c>
      <c r="I629">
        <v>1</v>
      </c>
      <c r="J629">
        <v>1</v>
      </c>
      <c r="K629">
        <v>30</v>
      </c>
      <c r="L629">
        <v>306</v>
      </c>
      <c r="M629">
        <v>5</v>
      </c>
      <c r="N629">
        <v>0.18</v>
      </c>
      <c r="O629">
        <f>IF(F629="Private room",1,0)</f>
        <v>1</v>
      </c>
      <c r="P629">
        <f>IF(C629="Manhattan",4,IF(C629="Brooklyn",2,0))</f>
        <v>2</v>
      </c>
      <c r="Q629" s="2">
        <v>58</v>
      </c>
      <c r="R629" s="1">
        <v>45742</v>
      </c>
      <c r="S629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84.32000000000005</v>
      </c>
    </row>
    <row r="630" spans="1:19" x14ac:dyDescent="0.3">
      <c r="A630" t="s">
        <v>836</v>
      </c>
      <c r="B630" t="s">
        <v>29</v>
      </c>
      <c r="C630" t="s">
        <v>30</v>
      </c>
      <c r="D630">
        <v>40.708509999999997</v>
      </c>
      <c r="E630">
        <v>-73.897840000000002</v>
      </c>
      <c r="F630" t="s">
        <v>21</v>
      </c>
      <c r="G630">
        <v>4</v>
      </c>
      <c r="H630">
        <v>1</v>
      </c>
      <c r="I630">
        <v>1</v>
      </c>
      <c r="J630">
        <v>2</v>
      </c>
      <c r="K630">
        <v>30</v>
      </c>
      <c r="L630">
        <v>360</v>
      </c>
      <c r="M630">
        <v>32</v>
      </c>
      <c r="N630">
        <v>1.05</v>
      </c>
      <c r="O630">
        <f>IF(F630="Private room",1,0)</f>
        <v>0</v>
      </c>
      <c r="P630">
        <f>IF(C630="Manhattan",4,IF(C630="Brooklyn",2,0))</f>
        <v>0</v>
      </c>
      <c r="Q630" s="2">
        <v>286</v>
      </c>
      <c r="R630" s="1">
        <v>45747</v>
      </c>
      <c r="S630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127.35000000000002</v>
      </c>
    </row>
    <row r="631" spans="1:19" x14ac:dyDescent="0.3">
      <c r="A631" t="s">
        <v>837</v>
      </c>
      <c r="B631" t="s">
        <v>51</v>
      </c>
      <c r="C631" t="s">
        <v>17</v>
      </c>
      <c r="D631">
        <v>40.682780000000001</v>
      </c>
      <c r="E631">
        <v>-73.991510000000005</v>
      </c>
      <c r="F631" t="s">
        <v>21</v>
      </c>
      <c r="G631">
        <v>3</v>
      </c>
      <c r="H631">
        <v>1</v>
      </c>
      <c r="I631">
        <v>1</v>
      </c>
      <c r="J631">
        <v>3</v>
      </c>
      <c r="K631">
        <v>30</v>
      </c>
      <c r="L631">
        <v>32</v>
      </c>
      <c r="M631">
        <v>58</v>
      </c>
      <c r="N631">
        <v>2.0099999999999998</v>
      </c>
      <c r="O631">
        <f>IF(F631="Private room",1,0)</f>
        <v>0</v>
      </c>
      <c r="P631">
        <f>IF(C631="Manhattan",4,IF(C631="Brooklyn",2,0))</f>
        <v>2</v>
      </c>
      <c r="Q631" s="2">
        <v>120</v>
      </c>
      <c r="R631" s="1">
        <v>45745</v>
      </c>
      <c r="S631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151.95000000000002</v>
      </c>
    </row>
    <row r="632" spans="1:19" x14ac:dyDescent="0.3">
      <c r="A632" t="s">
        <v>838</v>
      </c>
      <c r="B632" t="s">
        <v>275</v>
      </c>
      <c r="C632" t="s">
        <v>30</v>
      </c>
      <c r="D632">
        <v>40.695430000000002</v>
      </c>
      <c r="E632">
        <v>-73.740369999999999</v>
      </c>
      <c r="F632" t="s">
        <v>21</v>
      </c>
      <c r="G632">
        <v>4</v>
      </c>
      <c r="H632">
        <v>1</v>
      </c>
      <c r="I632">
        <v>2</v>
      </c>
      <c r="J632">
        <v>2</v>
      </c>
      <c r="K632">
        <v>30</v>
      </c>
      <c r="L632">
        <v>147</v>
      </c>
      <c r="M632">
        <v>21</v>
      </c>
      <c r="N632">
        <v>0.7</v>
      </c>
      <c r="O632">
        <f>IF(F632="Private room",1,0)</f>
        <v>0</v>
      </c>
      <c r="P632">
        <f>IF(C632="Manhattan",4,IF(C632="Brooklyn",2,0))</f>
        <v>0</v>
      </c>
      <c r="Q632" s="2">
        <v>222</v>
      </c>
      <c r="R632" s="1">
        <v>45727</v>
      </c>
      <c r="S632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135.87000000000003</v>
      </c>
    </row>
    <row r="633" spans="1:19" x14ac:dyDescent="0.3">
      <c r="A633" t="s">
        <v>839</v>
      </c>
      <c r="B633" t="s">
        <v>72</v>
      </c>
      <c r="C633" t="s">
        <v>20</v>
      </c>
      <c r="D633">
        <v>40.736600000000003</v>
      </c>
      <c r="E633">
        <v>-73.985839999999996</v>
      </c>
      <c r="F633" t="s">
        <v>21</v>
      </c>
      <c r="G633">
        <v>2</v>
      </c>
      <c r="H633">
        <v>1</v>
      </c>
      <c r="I633">
        <v>1</v>
      </c>
      <c r="J633">
        <v>1</v>
      </c>
      <c r="K633">
        <v>30</v>
      </c>
      <c r="L633">
        <v>197</v>
      </c>
      <c r="M633">
        <v>41</v>
      </c>
      <c r="N633">
        <v>1.41</v>
      </c>
      <c r="O633">
        <f>IF(F633="Private room",1,0)</f>
        <v>0</v>
      </c>
      <c r="P633">
        <f>IF(C633="Manhattan",4,IF(C633="Brooklyn",2,0))</f>
        <v>4</v>
      </c>
      <c r="Q633" s="2">
        <v>171</v>
      </c>
      <c r="R633" s="1">
        <v>45726</v>
      </c>
      <c r="S633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156.83000000000004</v>
      </c>
    </row>
    <row r="634" spans="1:19" x14ac:dyDescent="0.3">
      <c r="A634" t="s">
        <v>840</v>
      </c>
      <c r="B634" t="s">
        <v>37</v>
      </c>
      <c r="C634" t="s">
        <v>30</v>
      </c>
      <c r="D634">
        <v>40.775449999999999</v>
      </c>
      <c r="E634">
        <v>-73.907629999999997</v>
      </c>
      <c r="F634" t="s">
        <v>18</v>
      </c>
      <c r="G634">
        <v>1</v>
      </c>
      <c r="H634">
        <v>1</v>
      </c>
      <c r="I634">
        <v>1</v>
      </c>
      <c r="J634">
        <v>1</v>
      </c>
      <c r="K634">
        <v>3</v>
      </c>
      <c r="L634">
        <v>156</v>
      </c>
      <c r="M634">
        <v>44</v>
      </c>
      <c r="N634">
        <v>1.51</v>
      </c>
      <c r="O634">
        <f>IF(F634="Private room",1,0)</f>
        <v>1</v>
      </c>
      <c r="P634">
        <f>IF(C634="Manhattan",4,IF(C634="Brooklyn",2,0))</f>
        <v>0</v>
      </c>
      <c r="Q634" s="2">
        <v>97</v>
      </c>
      <c r="R634" s="1">
        <v>45744</v>
      </c>
      <c r="S634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125.71999999999998</v>
      </c>
    </row>
    <row r="635" spans="1:19" x14ac:dyDescent="0.3">
      <c r="A635" t="s">
        <v>841</v>
      </c>
      <c r="B635" t="s">
        <v>48</v>
      </c>
      <c r="C635" t="s">
        <v>20</v>
      </c>
      <c r="D635">
        <v>40.734459999999999</v>
      </c>
      <c r="E635">
        <v>-73.997150000000005</v>
      </c>
      <c r="F635" t="s">
        <v>21</v>
      </c>
      <c r="G635">
        <v>2</v>
      </c>
      <c r="H635">
        <v>1</v>
      </c>
      <c r="I635">
        <v>1</v>
      </c>
      <c r="J635">
        <v>1</v>
      </c>
      <c r="K635">
        <v>30</v>
      </c>
      <c r="L635">
        <v>281</v>
      </c>
      <c r="M635">
        <v>7</v>
      </c>
      <c r="N635">
        <v>0.26</v>
      </c>
      <c r="O635">
        <f>IF(F635="Private room",1,0)</f>
        <v>0</v>
      </c>
      <c r="P635">
        <f>IF(C635="Manhattan",4,IF(C635="Brooklyn",2,0))</f>
        <v>4</v>
      </c>
      <c r="Q635" s="2">
        <v>159</v>
      </c>
      <c r="R635" s="1">
        <v>45739</v>
      </c>
      <c r="S635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153.47000000000003</v>
      </c>
    </row>
    <row r="636" spans="1:19" x14ac:dyDescent="0.3">
      <c r="A636" t="s">
        <v>842</v>
      </c>
      <c r="B636" t="s">
        <v>28</v>
      </c>
      <c r="C636" t="s">
        <v>20</v>
      </c>
      <c r="D636">
        <v>40.832062999999998</v>
      </c>
      <c r="E636">
        <v>-73.948585699999995</v>
      </c>
      <c r="F636" t="s">
        <v>21</v>
      </c>
      <c r="G636">
        <v>2</v>
      </c>
      <c r="H636">
        <v>1</v>
      </c>
      <c r="I636">
        <v>1</v>
      </c>
      <c r="J636">
        <v>2</v>
      </c>
      <c r="K636">
        <v>30</v>
      </c>
      <c r="L636">
        <v>234</v>
      </c>
      <c r="M636">
        <v>32</v>
      </c>
      <c r="N636">
        <v>1.1000000000000001</v>
      </c>
      <c r="O636">
        <f>IF(F636="Private room",1,0)</f>
        <v>0</v>
      </c>
      <c r="P636">
        <f>IF(C636="Manhattan",4,IF(C636="Brooklyn",2,0))</f>
        <v>4</v>
      </c>
      <c r="Q636" s="2">
        <v>79</v>
      </c>
      <c r="R636" s="1">
        <v>45728</v>
      </c>
      <c r="S636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155.35000000000002</v>
      </c>
    </row>
    <row r="637" spans="1:19" x14ac:dyDescent="0.3">
      <c r="A637" t="s">
        <v>843</v>
      </c>
      <c r="B637" t="s">
        <v>27</v>
      </c>
      <c r="C637" t="s">
        <v>17</v>
      </c>
      <c r="D637">
        <v>40.690219999999997</v>
      </c>
      <c r="E637">
        <v>-73.931950000000001</v>
      </c>
      <c r="F637" t="s">
        <v>18</v>
      </c>
      <c r="G637">
        <v>2</v>
      </c>
      <c r="H637">
        <v>2</v>
      </c>
      <c r="I637">
        <v>1</v>
      </c>
      <c r="J637">
        <v>1</v>
      </c>
      <c r="K637">
        <v>30</v>
      </c>
      <c r="L637">
        <v>55</v>
      </c>
      <c r="M637">
        <v>54</v>
      </c>
      <c r="N637">
        <v>1.86</v>
      </c>
      <c r="O637">
        <f>IF(F637="Private room",1,0)</f>
        <v>1</v>
      </c>
      <c r="P637">
        <f>IF(C637="Manhattan",4,IF(C637="Brooklyn",2,0))</f>
        <v>2</v>
      </c>
      <c r="Q637" s="2">
        <v>50</v>
      </c>
      <c r="R637" s="1">
        <v>45747</v>
      </c>
      <c r="S637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99.970000000000027</v>
      </c>
    </row>
    <row r="638" spans="1:19" x14ac:dyDescent="0.3">
      <c r="A638" t="s">
        <v>844</v>
      </c>
      <c r="B638" t="s">
        <v>23</v>
      </c>
      <c r="C638" t="s">
        <v>17</v>
      </c>
      <c r="D638">
        <v>40.714531366084103</v>
      </c>
      <c r="E638">
        <v>-73.939348938383205</v>
      </c>
      <c r="F638" t="s">
        <v>18</v>
      </c>
      <c r="G638">
        <v>2</v>
      </c>
      <c r="H638">
        <v>1</v>
      </c>
      <c r="I638">
        <v>3</v>
      </c>
      <c r="J638">
        <v>1</v>
      </c>
      <c r="K638">
        <v>30</v>
      </c>
      <c r="L638">
        <v>94</v>
      </c>
      <c r="M638">
        <v>31</v>
      </c>
      <c r="N638">
        <v>1.05</v>
      </c>
      <c r="O638">
        <f>IF(F638="Private room",1,0)</f>
        <v>1</v>
      </c>
      <c r="P638">
        <f>IF(C638="Manhattan",4,IF(C638="Brooklyn",2,0))</f>
        <v>2</v>
      </c>
      <c r="Q638" s="2">
        <v>78</v>
      </c>
      <c r="R638" s="1">
        <v>45726</v>
      </c>
      <c r="S638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87.190000000000026</v>
      </c>
    </row>
    <row r="639" spans="1:19" x14ac:dyDescent="0.3">
      <c r="A639" t="s">
        <v>845</v>
      </c>
      <c r="B639" t="s">
        <v>106</v>
      </c>
      <c r="C639" t="s">
        <v>31</v>
      </c>
      <c r="D639">
        <v>40.819000000000003</v>
      </c>
      <c r="E639">
        <v>-73.914000000000001</v>
      </c>
      <c r="F639" t="s">
        <v>18</v>
      </c>
      <c r="G639">
        <v>2</v>
      </c>
      <c r="H639">
        <v>1.5</v>
      </c>
      <c r="I639">
        <v>1</v>
      </c>
      <c r="J639">
        <v>1</v>
      </c>
      <c r="K639">
        <v>2</v>
      </c>
      <c r="L639">
        <v>144</v>
      </c>
      <c r="M639">
        <v>85</v>
      </c>
      <c r="N639">
        <v>3.07</v>
      </c>
      <c r="O639">
        <f>IF(F639="Private room",1,0)</f>
        <v>1</v>
      </c>
      <c r="P639">
        <f>IF(C639="Manhattan",4,IF(C639="Brooklyn",2,0))</f>
        <v>0</v>
      </c>
      <c r="Q639" s="2">
        <v>94</v>
      </c>
      <c r="R639" s="1">
        <v>45732</v>
      </c>
      <c r="S639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154.14000000000004</v>
      </c>
    </row>
    <row r="640" spans="1:19" x14ac:dyDescent="0.3">
      <c r="A640" t="s">
        <v>846</v>
      </c>
      <c r="B640" t="s">
        <v>27</v>
      </c>
      <c r="C640" t="s">
        <v>17</v>
      </c>
      <c r="D640">
        <v>40.681049999999999</v>
      </c>
      <c r="E640">
        <v>-73.93871</v>
      </c>
      <c r="F640" t="s">
        <v>21</v>
      </c>
      <c r="G640">
        <v>2</v>
      </c>
      <c r="H640">
        <v>1</v>
      </c>
      <c r="I640">
        <v>1</v>
      </c>
      <c r="J640">
        <v>1</v>
      </c>
      <c r="K640">
        <v>30</v>
      </c>
      <c r="L640">
        <v>157</v>
      </c>
      <c r="M640">
        <v>51</v>
      </c>
      <c r="N640">
        <v>1.74</v>
      </c>
      <c r="O640">
        <f>IF(F640="Private room",1,0)</f>
        <v>0</v>
      </c>
      <c r="P640">
        <f>IF(C640="Manhattan",4,IF(C640="Brooklyn",2,0))</f>
        <v>2</v>
      </c>
      <c r="Q640" s="2">
        <v>300</v>
      </c>
      <c r="R640" s="1">
        <v>45734</v>
      </c>
      <c r="S640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127.97000000000003</v>
      </c>
    </row>
    <row r="641" spans="1:19" x14ac:dyDescent="0.3">
      <c r="A641" t="s">
        <v>847</v>
      </c>
      <c r="B641" t="s">
        <v>89</v>
      </c>
      <c r="C641" t="s">
        <v>30</v>
      </c>
      <c r="D641">
        <v>40.740482800000002</v>
      </c>
      <c r="E641">
        <v>-73.883906299999893</v>
      </c>
      <c r="F641" t="s">
        <v>18</v>
      </c>
      <c r="G641">
        <v>2</v>
      </c>
      <c r="H641">
        <v>1</v>
      </c>
      <c r="I641">
        <v>1</v>
      </c>
      <c r="J641">
        <v>1</v>
      </c>
      <c r="K641">
        <v>30</v>
      </c>
      <c r="L641">
        <v>364</v>
      </c>
      <c r="M641">
        <v>8</v>
      </c>
      <c r="N641">
        <v>0.28999999999999998</v>
      </c>
      <c r="O641">
        <f>IF(F641="Private room",1,0)</f>
        <v>1</v>
      </c>
      <c r="P641">
        <f>IF(C641="Manhattan",4,IF(C641="Brooklyn",2,0))</f>
        <v>0</v>
      </c>
      <c r="Q641" s="2">
        <v>90</v>
      </c>
      <c r="R641" s="1">
        <v>45726</v>
      </c>
      <c r="S641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45.930000000000021</v>
      </c>
    </row>
    <row r="642" spans="1:19" x14ac:dyDescent="0.3">
      <c r="A642" t="s">
        <v>848</v>
      </c>
      <c r="B642" t="s">
        <v>28</v>
      </c>
      <c r="C642" t="s">
        <v>20</v>
      </c>
      <c r="D642">
        <v>40.80988</v>
      </c>
      <c r="E642">
        <v>-73.953890000000001</v>
      </c>
      <c r="F642" t="s">
        <v>18</v>
      </c>
      <c r="G642">
        <v>3</v>
      </c>
      <c r="H642">
        <v>2</v>
      </c>
      <c r="I642">
        <v>1</v>
      </c>
      <c r="J642">
        <v>1</v>
      </c>
      <c r="K642">
        <v>30</v>
      </c>
      <c r="L642">
        <v>334</v>
      </c>
      <c r="M642">
        <v>39</v>
      </c>
      <c r="N642">
        <v>1.34</v>
      </c>
      <c r="O642">
        <f>IF(F642="Private room",1,0)</f>
        <v>1</v>
      </c>
      <c r="P642">
        <f>IF(C642="Manhattan",4,IF(C642="Brooklyn",2,0))</f>
        <v>4</v>
      </c>
      <c r="Q642" s="2">
        <v>55</v>
      </c>
      <c r="R642" s="1">
        <v>45740</v>
      </c>
      <c r="S642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138.25</v>
      </c>
    </row>
    <row r="643" spans="1:19" x14ac:dyDescent="0.3">
      <c r="A643" t="s">
        <v>849</v>
      </c>
      <c r="B643" t="s">
        <v>40</v>
      </c>
      <c r="C643" t="s">
        <v>17</v>
      </c>
      <c r="D643">
        <v>40.65034</v>
      </c>
      <c r="E643">
        <v>-73.959069999999997</v>
      </c>
      <c r="F643" t="s">
        <v>18</v>
      </c>
      <c r="G643">
        <v>1</v>
      </c>
      <c r="H643">
        <v>1</v>
      </c>
      <c r="I643">
        <v>1</v>
      </c>
      <c r="J643">
        <v>1</v>
      </c>
      <c r="K643">
        <v>5</v>
      </c>
      <c r="L643">
        <v>223</v>
      </c>
      <c r="M643">
        <v>25</v>
      </c>
      <c r="N643">
        <v>0.86</v>
      </c>
      <c r="O643">
        <f>IF(F643="Private room",1,0)</f>
        <v>1</v>
      </c>
      <c r="P643">
        <f>IF(C643="Manhattan",4,IF(C643="Brooklyn",2,0))</f>
        <v>2</v>
      </c>
      <c r="Q643" s="2">
        <v>89</v>
      </c>
      <c r="R643" s="1">
        <v>45731</v>
      </c>
      <c r="S643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146.80000000000001</v>
      </c>
    </row>
    <row r="644" spans="1:19" x14ac:dyDescent="0.3">
      <c r="A644" t="s">
        <v>850</v>
      </c>
      <c r="B644" t="s">
        <v>36</v>
      </c>
      <c r="C644" t="s">
        <v>20</v>
      </c>
      <c r="D644">
        <v>40.774790000000003</v>
      </c>
      <c r="E644">
        <v>-73.948890000000006</v>
      </c>
      <c r="F644" t="s">
        <v>18</v>
      </c>
      <c r="G644">
        <v>2</v>
      </c>
      <c r="H644">
        <v>2</v>
      </c>
      <c r="I644">
        <v>1</v>
      </c>
      <c r="J644">
        <v>1</v>
      </c>
      <c r="K644">
        <v>30</v>
      </c>
      <c r="L644">
        <v>335</v>
      </c>
      <c r="M644">
        <v>46</v>
      </c>
      <c r="N644">
        <v>1.59</v>
      </c>
      <c r="O644">
        <f>IF(F644="Private room",1,0)</f>
        <v>1</v>
      </c>
      <c r="P644">
        <f>IF(C644="Manhattan",4,IF(C644="Brooklyn",2,0))</f>
        <v>4</v>
      </c>
      <c r="Q644" s="2">
        <v>65</v>
      </c>
      <c r="R644" s="1">
        <v>45718</v>
      </c>
      <c r="S644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119.23000000000002</v>
      </c>
    </row>
    <row r="645" spans="1:19" x14ac:dyDescent="0.3">
      <c r="A645" t="s">
        <v>851</v>
      </c>
      <c r="B645" t="s">
        <v>60</v>
      </c>
      <c r="C645" t="s">
        <v>17</v>
      </c>
      <c r="D645">
        <v>40.65457</v>
      </c>
      <c r="E645">
        <v>-73.917410000000004</v>
      </c>
      <c r="F645" t="s">
        <v>18</v>
      </c>
      <c r="G645">
        <v>1</v>
      </c>
      <c r="H645">
        <v>1</v>
      </c>
      <c r="I645">
        <v>1</v>
      </c>
      <c r="J645">
        <v>1</v>
      </c>
      <c r="K645">
        <v>30</v>
      </c>
      <c r="L645">
        <v>354</v>
      </c>
      <c r="M645">
        <v>5</v>
      </c>
      <c r="N645">
        <v>0.18</v>
      </c>
      <c r="O645">
        <f>IF(F645="Private room",1,0)</f>
        <v>1</v>
      </c>
      <c r="P645">
        <f>IF(C645="Manhattan",4,IF(C645="Brooklyn",2,0))</f>
        <v>2</v>
      </c>
      <c r="Q645" s="2">
        <v>58</v>
      </c>
      <c r="R645" s="1">
        <v>45730</v>
      </c>
      <c r="S645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57.810000000000009</v>
      </c>
    </row>
    <row r="646" spans="1:19" x14ac:dyDescent="0.3">
      <c r="A646" t="s">
        <v>852</v>
      </c>
      <c r="B646" t="s">
        <v>278</v>
      </c>
      <c r="C646" t="s">
        <v>17</v>
      </c>
      <c r="D646" s="3" t="s">
        <v>853</v>
      </c>
      <c r="E646">
        <v>-74.006836999999905</v>
      </c>
      <c r="F646" t="s">
        <v>21</v>
      </c>
      <c r="G646">
        <v>2</v>
      </c>
      <c r="H646">
        <v>1</v>
      </c>
      <c r="I646">
        <v>1</v>
      </c>
      <c r="J646">
        <v>1</v>
      </c>
      <c r="K646">
        <v>30</v>
      </c>
      <c r="L646">
        <v>98</v>
      </c>
      <c r="M646">
        <v>9</v>
      </c>
      <c r="N646">
        <v>0.46</v>
      </c>
      <c r="O646">
        <f>IF(F646="Private room",1,0)</f>
        <v>0</v>
      </c>
      <c r="P646">
        <f>IF(C646="Manhattan",4,IF(C646="Brooklyn",2,0))</f>
        <v>2</v>
      </c>
      <c r="Q646" s="2">
        <v>98</v>
      </c>
      <c r="R646" s="1">
        <v>45741</v>
      </c>
      <c r="S646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130.33000000000001</v>
      </c>
    </row>
    <row r="647" spans="1:19" x14ac:dyDescent="0.3">
      <c r="A647" t="s">
        <v>854</v>
      </c>
      <c r="B647" t="s">
        <v>22</v>
      </c>
      <c r="C647" t="s">
        <v>17</v>
      </c>
      <c r="D647" s="3" t="s">
        <v>855</v>
      </c>
      <c r="E647">
        <v>-74.003509135938302</v>
      </c>
      <c r="F647" t="s">
        <v>18</v>
      </c>
      <c r="G647">
        <v>1</v>
      </c>
      <c r="H647">
        <v>1</v>
      </c>
      <c r="I647">
        <v>1</v>
      </c>
      <c r="J647">
        <v>1</v>
      </c>
      <c r="K647">
        <v>30</v>
      </c>
      <c r="L647">
        <v>81</v>
      </c>
      <c r="M647">
        <v>65</v>
      </c>
      <c r="N647">
        <v>2.34</v>
      </c>
      <c r="O647">
        <f>IF(F647="Private room",1,0)</f>
        <v>1</v>
      </c>
      <c r="P647">
        <f>IF(C647="Manhattan",4,IF(C647="Brooklyn",2,0))</f>
        <v>2</v>
      </c>
      <c r="Q647" s="2">
        <v>90</v>
      </c>
      <c r="R647" s="1">
        <v>45737</v>
      </c>
      <c r="S647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68.730000000000018</v>
      </c>
    </row>
    <row r="648" spans="1:19" x14ac:dyDescent="0.3">
      <c r="A648" t="s">
        <v>856</v>
      </c>
      <c r="B648" t="s">
        <v>56</v>
      </c>
      <c r="C648" t="s">
        <v>17</v>
      </c>
      <c r="D648">
        <v>40.676811299999997</v>
      </c>
      <c r="E648">
        <v>-73.930897000000002</v>
      </c>
      <c r="F648" t="s">
        <v>21</v>
      </c>
      <c r="G648">
        <v>2</v>
      </c>
      <c r="H648">
        <v>1</v>
      </c>
      <c r="I648">
        <v>1</v>
      </c>
      <c r="J648">
        <v>1</v>
      </c>
      <c r="K648">
        <v>3</v>
      </c>
      <c r="L648">
        <v>152</v>
      </c>
      <c r="M648">
        <v>33</v>
      </c>
      <c r="N648">
        <v>1.21</v>
      </c>
      <c r="O648">
        <f>IF(F648="Private room",1,0)</f>
        <v>0</v>
      </c>
      <c r="P648">
        <f>IF(C648="Manhattan",4,IF(C648="Brooklyn",2,0))</f>
        <v>2</v>
      </c>
      <c r="Q648" s="2">
        <v>180</v>
      </c>
      <c r="R648" s="1">
        <v>45719</v>
      </c>
      <c r="S648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218.62</v>
      </c>
    </row>
    <row r="649" spans="1:19" x14ac:dyDescent="0.3">
      <c r="A649" t="s">
        <v>857</v>
      </c>
      <c r="B649" t="s">
        <v>19</v>
      </c>
      <c r="C649" t="s">
        <v>20</v>
      </c>
      <c r="D649" s="3" t="s">
        <v>858</v>
      </c>
      <c r="E649">
        <v>-73.962373784116394</v>
      </c>
      <c r="F649" t="s">
        <v>21</v>
      </c>
      <c r="G649">
        <v>3</v>
      </c>
      <c r="H649">
        <v>1</v>
      </c>
      <c r="I649">
        <v>0</v>
      </c>
      <c r="J649">
        <v>1</v>
      </c>
      <c r="K649">
        <v>30</v>
      </c>
      <c r="L649">
        <v>305</v>
      </c>
      <c r="M649">
        <v>4</v>
      </c>
      <c r="N649">
        <v>0.19</v>
      </c>
      <c r="O649">
        <f>IF(F649="Private room",1,0)</f>
        <v>0</v>
      </c>
      <c r="P649">
        <f>IF(C649="Manhattan",4,IF(C649="Brooklyn",2,0))</f>
        <v>4</v>
      </c>
      <c r="Q649" s="2">
        <v>276</v>
      </c>
      <c r="R649" s="1">
        <v>45746</v>
      </c>
      <c r="S649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171.49</v>
      </c>
    </row>
    <row r="650" spans="1:19" x14ac:dyDescent="0.3">
      <c r="A650" t="s">
        <v>859</v>
      </c>
      <c r="B650" t="s">
        <v>66</v>
      </c>
      <c r="C650" t="s">
        <v>30</v>
      </c>
      <c r="D650" s="3" t="s">
        <v>860</v>
      </c>
      <c r="E650">
        <v>-73.918072428310396</v>
      </c>
      <c r="F650" t="s">
        <v>18</v>
      </c>
      <c r="G650">
        <v>1</v>
      </c>
      <c r="H650">
        <v>1</v>
      </c>
      <c r="I650">
        <v>1</v>
      </c>
      <c r="J650">
        <v>1</v>
      </c>
      <c r="K650">
        <v>30</v>
      </c>
      <c r="L650">
        <v>344</v>
      </c>
      <c r="M650">
        <v>6</v>
      </c>
      <c r="N650">
        <v>0.26</v>
      </c>
      <c r="O650">
        <f>IF(F650="Private room",1,0)</f>
        <v>1</v>
      </c>
      <c r="P650">
        <f>IF(C650="Manhattan",4,IF(C650="Brooklyn",2,0))</f>
        <v>0</v>
      </c>
      <c r="Q650" s="2">
        <v>52</v>
      </c>
      <c r="R650" s="1">
        <v>45721</v>
      </c>
      <c r="S650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27.75</v>
      </c>
    </row>
    <row r="651" spans="1:19" x14ac:dyDescent="0.3">
      <c r="A651" t="s">
        <v>240</v>
      </c>
      <c r="B651" t="s">
        <v>501</v>
      </c>
      <c r="C651" t="s">
        <v>31</v>
      </c>
      <c r="D651">
        <v>40.9006185</v>
      </c>
      <c r="E651">
        <v>-73.863442800000001</v>
      </c>
      <c r="F651" t="s">
        <v>18</v>
      </c>
      <c r="G651">
        <v>1</v>
      </c>
      <c r="H651">
        <v>1</v>
      </c>
      <c r="I651">
        <v>1</v>
      </c>
      <c r="J651">
        <v>1</v>
      </c>
      <c r="K651">
        <v>3</v>
      </c>
      <c r="L651">
        <v>358</v>
      </c>
      <c r="M651">
        <v>30</v>
      </c>
      <c r="N651">
        <v>1.1200000000000001</v>
      </c>
      <c r="O651">
        <f>IF(F651="Private room",1,0)</f>
        <v>1</v>
      </c>
      <c r="P651">
        <f>IF(C651="Manhattan",4,IF(C651="Brooklyn",2,0))</f>
        <v>0</v>
      </c>
      <c r="Q651" s="2">
        <v>84</v>
      </c>
      <c r="R651" s="1">
        <v>45719</v>
      </c>
      <c r="S651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117.64</v>
      </c>
    </row>
    <row r="652" spans="1:19" x14ac:dyDescent="0.3">
      <c r="A652" t="s">
        <v>861</v>
      </c>
      <c r="B652" t="s">
        <v>19</v>
      </c>
      <c r="C652" t="s">
        <v>20</v>
      </c>
      <c r="D652">
        <v>40.749139999999997</v>
      </c>
      <c r="E652">
        <v>-73.982420000000005</v>
      </c>
      <c r="F652" t="s">
        <v>21</v>
      </c>
      <c r="G652">
        <v>2</v>
      </c>
      <c r="H652">
        <v>1</v>
      </c>
      <c r="I652">
        <v>1</v>
      </c>
      <c r="J652">
        <v>1</v>
      </c>
      <c r="K652">
        <v>30</v>
      </c>
      <c r="L652">
        <v>75</v>
      </c>
      <c r="M652">
        <v>4</v>
      </c>
      <c r="N652">
        <v>0.2</v>
      </c>
      <c r="O652">
        <f>IF(F652="Private room",1,0)</f>
        <v>0</v>
      </c>
      <c r="P652">
        <f>IF(C652="Manhattan",4,IF(C652="Brooklyn",2,0))</f>
        <v>4</v>
      </c>
      <c r="Q652" s="2">
        <v>132</v>
      </c>
      <c r="R652" s="1">
        <v>45747</v>
      </c>
      <c r="S652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161.71000000000004</v>
      </c>
    </row>
    <row r="653" spans="1:19" x14ac:dyDescent="0.3">
      <c r="A653" t="s">
        <v>862</v>
      </c>
      <c r="B653" t="s">
        <v>46</v>
      </c>
      <c r="C653" t="s">
        <v>17</v>
      </c>
      <c r="D653" s="3" t="s">
        <v>863</v>
      </c>
      <c r="E653">
        <v>-73.993297336032995</v>
      </c>
      <c r="F653" t="s">
        <v>21</v>
      </c>
      <c r="G653">
        <v>2</v>
      </c>
      <c r="H653">
        <v>1</v>
      </c>
      <c r="I653">
        <v>1</v>
      </c>
      <c r="J653">
        <v>1</v>
      </c>
      <c r="K653">
        <v>30</v>
      </c>
      <c r="L653">
        <v>173</v>
      </c>
      <c r="M653">
        <v>4</v>
      </c>
      <c r="N653">
        <v>0.15</v>
      </c>
      <c r="O653">
        <f>IF(F653="Private room",1,0)</f>
        <v>0</v>
      </c>
      <c r="P653">
        <f>IF(C653="Manhattan",4,IF(C653="Brooklyn",2,0))</f>
        <v>2</v>
      </c>
      <c r="Q653" s="2">
        <v>215</v>
      </c>
      <c r="R653" s="1">
        <v>45719</v>
      </c>
      <c r="S653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127.33000000000001</v>
      </c>
    </row>
    <row r="654" spans="1:19" x14ac:dyDescent="0.3">
      <c r="A654" t="s">
        <v>864</v>
      </c>
      <c r="B654" t="s">
        <v>94</v>
      </c>
      <c r="C654" t="s">
        <v>17</v>
      </c>
      <c r="D654" s="3" t="s">
        <v>865</v>
      </c>
      <c r="E654">
        <v>-73.879142721430796</v>
      </c>
      <c r="F654" t="s">
        <v>21</v>
      </c>
      <c r="G654">
        <v>4</v>
      </c>
      <c r="H654">
        <v>1</v>
      </c>
      <c r="I654">
        <v>2</v>
      </c>
      <c r="J654">
        <v>2</v>
      </c>
      <c r="K654">
        <v>30</v>
      </c>
      <c r="L654">
        <v>233</v>
      </c>
      <c r="M654">
        <v>31</v>
      </c>
      <c r="N654">
        <v>1.23</v>
      </c>
      <c r="O654">
        <f>IF(F654="Private room",1,0)</f>
        <v>0</v>
      </c>
      <c r="P654">
        <f>IF(C654="Manhattan",4,IF(C654="Brooklyn",2,0))</f>
        <v>2</v>
      </c>
      <c r="Q654" s="2">
        <v>96</v>
      </c>
      <c r="R654" s="1">
        <v>45747</v>
      </c>
      <c r="S654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162.89000000000004</v>
      </c>
    </row>
    <row r="655" spans="1:19" x14ac:dyDescent="0.3">
      <c r="A655" t="s">
        <v>866</v>
      </c>
      <c r="B655" t="s">
        <v>36</v>
      </c>
      <c r="C655" t="s">
        <v>20</v>
      </c>
      <c r="D655">
        <v>40.770940000000003</v>
      </c>
      <c r="E655">
        <v>-73.962789999999998</v>
      </c>
      <c r="F655" t="s">
        <v>21</v>
      </c>
      <c r="G655">
        <v>2</v>
      </c>
      <c r="H655">
        <v>2</v>
      </c>
      <c r="I655">
        <v>1</v>
      </c>
      <c r="J655">
        <v>1</v>
      </c>
      <c r="K655">
        <v>7</v>
      </c>
      <c r="L655">
        <v>118</v>
      </c>
      <c r="M655">
        <v>32</v>
      </c>
      <c r="N655">
        <v>1.22</v>
      </c>
      <c r="O655">
        <f>IF(F655="Private room",1,0)</f>
        <v>0</v>
      </c>
      <c r="P655">
        <f>IF(C655="Manhattan",4,IF(C655="Brooklyn",2,0))</f>
        <v>4</v>
      </c>
      <c r="Q655" s="2">
        <v>405</v>
      </c>
      <c r="R655" s="1">
        <v>45744</v>
      </c>
      <c r="S655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248.26000000000005</v>
      </c>
    </row>
    <row r="656" spans="1:19" x14ac:dyDescent="0.3">
      <c r="A656" t="s">
        <v>867</v>
      </c>
      <c r="B656" t="s">
        <v>61</v>
      </c>
      <c r="C656" t="s">
        <v>30</v>
      </c>
      <c r="D656" s="3" t="s">
        <v>868</v>
      </c>
      <c r="E656">
        <v>-73.925178799999998</v>
      </c>
      <c r="F656" t="s">
        <v>21</v>
      </c>
      <c r="G656">
        <v>3</v>
      </c>
      <c r="H656">
        <v>1</v>
      </c>
      <c r="I656">
        <v>1</v>
      </c>
      <c r="J656">
        <v>2</v>
      </c>
      <c r="K656">
        <v>30</v>
      </c>
      <c r="L656">
        <v>201</v>
      </c>
      <c r="M656">
        <v>65</v>
      </c>
      <c r="N656">
        <v>2.36</v>
      </c>
      <c r="O656">
        <f>IF(F656="Private room",1,0)</f>
        <v>0</v>
      </c>
      <c r="P656">
        <f>IF(C656="Manhattan",4,IF(C656="Brooklyn",2,0))</f>
        <v>0</v>
      </c>
      <c r="Q656" s="2">
        <v>143</v>
      </c>
      <c r="R656" s="1">
        <v>45717</v>
      </c>
      <c r="S656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114.73</v>
      </c>
    </row>
    <row r="657" spans="1:19" x14ac:dyDescent="0.3">
      <c r="A657" t="s">
        <v>869</v>
      </c>
      <c r="B657" t="s">
        <v>157</v>
      </c>
      <c r="C657" t="s">
        <v>17</v>
      </c>
      <c r="D657" s="3" t="s">
        <v>870</v>
      </c>
      <c r="E657">
        <v>-73.970319315344199</v>
      </c>
      <c r="F657" t="s">
        <v>21</v>
      </c>
      <c r="G657">
        <v>2</v>
      </c>
      <c r="H657">
        <v>1</v>
      </c>
      <c r="I657">
        <v>1</v>
      </c>
      <c r="J657">
        <v>1</v>
      </c>
      <c r="K657">
        <v>30</v>
      </c>
      <c r="L657">
        <v>297</v>
      </c>
      <c r="M657">
        <v>9</v>
      </c>
      <c r="N657">
        <v>0.37</v>
      </c>
      <c r="O657">
        <f>IF(F657="Private room",1,0)</f>
        <v>0</v>
      </c>
      <c r="P657">
        <f>IF(C657="Manhattan",4,IF(C657="Brooklyn",2,0))</f>
        <v>2</v>
      </c>
      <c r="Q657" s="2">
        <v>120</v>
      </c>
      <c r="R657" s="1">
        <v>45744</v>
      </c>
      <c r="S657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122.37000000000003</v>
      </c>
    </row>
    <row r="658" spans="1:19" x14ac:dyDescent="0.3">
      <c r="A658" t="s">
        <v>871</v>
      </c>
      <c r="B658" t="s">
        <v>128</v>
      </c>
      <c r="C658" t="s">
        <v>30</v>
      </c>
      <c r="D658">
        <v>40.704779021714799</v>
      </c>
      <c r="E658">
        <v>-73.890465468203999</v>
      </c>
      <c r="F658" t="s">
        <v>18</v>
      </c>
      <c r="G658">
        <v>2</v>
      </c>
      <c r="H658">
        <v>1</v>
      </c>
      <c r="I658">
        <v>1</v>
      </c>
      <c r="J658">
        <v>1</v>
      </c>
      <c r="K658">
        <v>30</v>
      </c>
      <c r="L658">
        <v>315</v>
      </c>
      <c r="M658">
        <v>4</v>
      </c>
      <c r="N658">
        <v>0.19</v>
      </c>
      <c r="O658">
        <f>IF(F658="Private room",1,0)</f>
        <v>1</v>
      </c>
      <c r="P658">
        <f>IF(C658="Manhattan",4,IF(C658="Brooklyn",2,0))</f>
        <v>0</v>
      </c>
      <c r="Q658" s="2">
        <v>89</v>
      </c>
      <c r="R658" s="1">
        <v>45721</v>
      </c>
      <c r="S658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47.890000000000029</v>
      </c>
    </row>
    <row r="659" spans="1:19" x14ac:dyDescent="0.3">
      <c r="A659" t="s">
        <v>872</v>
      </c>
      <c r="B659" t="s">
        <v>189</v>
      </c>
      <c r="C659" t="s">
        <v>30</v>
      </c>
      <c r="D659" s="3" t="s">
        <v>873</v>
      </c>
      <c r="E659">
        <v>-73.815530723564294</v>
      </c>
      <c r="F659" t="s">
        <v>18</v>
      </c>
      <c r="G659">
        <v>8</v>
      </c>
      <c r="H659">
        <v>2</v>
      </c>
      <c r="I659">
        <v>3</v>
      </c>
      <c r="J659">
        <v>4</v>
      </c>
      <c r="K659">
        <v>2</v>
      </c>
      <c r="L659">
        <v>308</v>
      </c>
      <c r="M659">
        <v>57</v>
      </c>
      <c r="N659">
        <v>2.1800000000000002</v>
      </c>
      <c r="O659">
        <f>IF(F659="Private room",1,0)</f>
        <v>1</v>
      </c>
      <c r="P659">
        <f>IF(C659="Manhattan",4,IF(C659="Brooklyn",2,0))</f>
        <v>0</v>
      </c>
      <c r="Q659" s="2">
        <v>280</v>
      </c>
      <c r="R659" s="1">
        <v>45746</v>
      </c>
      <c r="S659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267.07000000000005</v>
      </c>
    </row>
    <row r="660" spans="1:19" x14ac:dyDescent="0.3">
      <c r="A660" t="s">
        <v>874</v>
      </c>
      <c r="B660" t="s">
        <v>28</v>
      </c>
      <c r="C660" t="s">
        <v>20</v>
      </c>
      <c r="D660" s="3" t="s">
        <v>875</v>
      </c>
      <c r="E660">
        <v>-73.941159971194594</v>
      </c>
      <c r="F660" t="s">
        <v>18</v>
      </c>
      <c r="G660">
        <v>4</v>
      </c>
      <c r="H660">
        <v>1</v>
      </c>
      <c r="I660">
        <v>1</v>
      </c>
      <c r="J660">
        <v>1</v>
      </c>
      <c r="K660">
        <v>30</v>
      </c>
      <c r="L660">
        <v>361</v>
      </c>
      <c r="M660">
        <v>25</v>
      </c>
      <c r="N660">
        <v>0.96</v>
      </c>
      <c r="O660">
        <f>IF(F660="Private room",1,0)</f>
        <v>1</v>
      </c>
      <c r="P660">
        <f>IF(C660="Manhattan",4,IF(C660="Brooklyn",2,0))</f>
        <v>4</v>
      </c>
      <c r="Q660" s="2">
        <v>50</v>
      </c>
      <c r="R660" s="1">
        <v>45732</v>
      </c>
      <c r="S660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144.93000000000004</v>
      </c>
    </row>
    <row r="661" spans="1:19" x14ac:dyDescent="0.3">
      <c r="A661" t="s">
        <v>876</v>
      </c>
      <c r="B661" t="s">
        <v>24</v>
      </c>
      <c r="C661" t="s">
        <v>20</v>
      </c>
      <c r="D661">
        <v>40.788373700000001</v>
      </c>
      <c r="E661">
        <v>-73.953685100000001</v>
      </c>
      <c r="F661" t="s">
        <v>21</v>
      </c>
      <c r="G661">
        <v>3</v>
      </c>
      <c r="H661">
        <v>1</v>
      </c>
      <c r="I661">
        <v>1</v>
      </c>
      <c r="J661">
        <v>2</v>
      </c>
      <c r="K661">
        <v>30</v>
      </c>
      <c r="L661">
        <v>189</v>
      </c>
      <c r="M661">
        <v>8</v>
      </c>
      <c r="N661">
        <v>0.32</v>
      </c>
      <c r="O661">
        <f>IF(F661="Private room",1,0)</f>
        <v>0</v>
      </c>
      <c r="P661">
        <f>IF(C661="Manhattan",4,IF(C661="Brooklyn",2,0))</f>
        <v>4</v>
      </c>
      <c r="Q661" s="2">
        <v>130</v>
      </c>
      <c r="R661" s="1">
        <v>45725</v>
      </c>
      <c r="S661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176.13</v>
      </c>
    </row>
    <row r="662" spans="1:19" x14ac:dyDescent="0.3">
      <c r="A662" t="s">
        <v>877</v>
      </c>
      <c r="B662" t="s">
        <v>53</v>
      </c>
      <c r="C662" t="s">
        <v>20</v>
      </c>
      <c r="D662">
        <v>40.77816</v>
      </c>
      <c r="E662">
        <v>-73.980099999999993</v>
      </c>
      <c r="F662" t="s">
        <v>21</v>
      </c>
      <c r="G662">
        <v>4</v>
      </c>
      <c r="H662">
        <v>1</v>
      </c>
      <c r="I662">
        <v>1</v>
      </c>
      <c r="J662">
        <v>2</v>
      </c>
      <c r="K662">
        <v>30</v>
      </c>
      <c r="L662">
        <v>266</v>
      </c>
      <c r="M662">
        <v>9</v>
      </c>
      <c r="N662">
        <v>0.39</v>
      </c>
      <c r="O662">
        <f>IF(F662="Private room",1,0)</f>
        <v>0</v>
      </c>
      <c r="P662">
        <f>IF(C662="Manhattan",4,IF(C662="Brooklyn",2,0))</f>
        <v>4</v>
      </c>
      <c r="Q662" s="2">
        <v>204</v>
      </c>
      <c r="R662" s="1">
        <v>45727</v>
      </c>
      <c r="S662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192.03000000000003</v>
      </c>
    </row>
    <row r="663" spans="1:19" x14ac:dyDescent="0.3">
      <c r="A663" t="s">
        <v>878</v>
      </c>
      <c r="B663" t="s">
        <v>19</v>
      </c>
      <c r="C663" t="s">
        <v>20</v>
      </c>
      <c r="D663" s="3" t="s">
        <v>879</v>
      </c>
      <c r="E663">
        <v>-73.980292168173804</v>
      </c>
      <c r="F663" t="s">
        <v>18</v>
      </c>
      <c r="G663">
        <v>4</v>
      </c>
      <c r="H663">
        <v>2</v>
      </c>
      <c r="I663">
        <v>1</v>
      </c>
      <c r="J663">
        <v>2</v>
      </c>
      <c r="K663">
        <v>1</v>
      </c>
      <c r="L663">
        <v>348</v>
      </c>
      <c r="M663">
        <v>16</v>
      </c>
      <c r="N663">
        <v>0.63</v>
      </c>
      <c r="O663">
        <f>IF(F663="Private room",1,0)</f>
        <v>1</v>
      </c>
      <c r="P663">
        <f>IF(C663="Manhattan",4,IF(C663="Brooklyn",2,0))</f>
        <v>4</v>
      </c>
      <c r="Q663" s="2">
        <v>291</v>
      </c>
      <c r="R663" s="1">
        <v>45731</v>
      </c>
      <c r="S663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253.82000000000005</v>
      </c>
    </row>
    <row r="664" spans="1:19" x14ac:dyDescent="0.3">
      <c r="A664" t="s">
        <v>880</v>
      </c>
      <c r="B664" t="s">
        <v>28</v>
      </c>
      <c r="C664" t="s">
        <v>20</v>
      </c>
      <c r="D664" s="3" t="s">
        <v>881</v>
      </c>
      <c r="E664">
        <v>-73.942094301736603</v>
      </c>
      <c r="F664" t="s">
        <v>21</v>
      </c>
      <c r="G664">
        <v>4</v>
      </c>
      <c r="H664">
        <v>1</v>
      </c>
      <c r="I664">
        <v>2</v>
      </c>
      <c r="J664">
        <v>3</v>
      </c>
      <c r="K664">
        <v>30</v>
      </c>
      <c r="L664">
        <v>312</v>
      </c>
      <c r="M664">
        <v>48</v>
      </c>
      <c r="N664">
        <v>1.79</v>
      </c>
      <c r="O664">
        <f>IF(F664="Private room",1,0)</f>
        <v>0</v>
      </c>
      <c r="P664">
        <f>IF(C664="Manhattan",4,IF(C664="Brooklyn",2,0))</f>
        <v>4</v>
      </c>
      <c r="Q664" s="2">
        <v>110</v>
      </c>
      <c r="R664" s="1">
        <v>45742</v>
      </c>
      <c r="S664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190.19000000000005</v>
      </c>
    </row>
    <row r="665" spans="1:19" x14ac:dyDescent="0.3">
      <c r="A665" t="s">
        <v>882</v>
      </c>
      <c r="B665" t="s">
        <v>23</v>
      </c>
      <c r="C665" t="s">
        <v>17</v>
      </c>
      <c r="D665" s="3" t="s">
        <v>883</v>
      </c>
      <c r="E665">
        <v>-73.964573356554595</v>
      </c>
      <c r="F665" t="s">
        <v>21</v>
      </c>
      <c r="G665">
        <v>2</v>
      </c>
      <c r="H665">
        <v>1</v>
      </c>
      <c r="I665">
        <v>1</v>
      </c>
      <c r="J665">
        <v>1</v>
      </c>
      <c r="K665">
        <v>30</v>
      </c>
      <c r="L665">
        <v>262</v>
      </c>
      <c r="M665">
        <v>7</v>
      </c>
      <c r="N665">
        <v>0.38</v>
      </c>
      <c r="O665">
        <f>IF(F665="Private room",1,0)</f>
        <v>0</v>
      </c>
      <c r="P665">
        <f>IF(C665="Manhattan",4,IF(C665="Brooklyn",2,0))</f>
        <v>2</v>
      </c>
      <c r="Q665" s="2">
        <v>221</v>
      </c>
      <c r="R665" s="1">
        <v>45719</v>
      </c>
      <c r="S665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123.77000000000001</v>
      </c>
    </row>
    <row r="666" spans="1:19" x14ac:dyDescent="0.3">
      <c r="A666" t="s">
        <v>884</v>
      </c>
      <c r="B666" t="s">
        <v>27</v>
      </c>
      <c r="C666" t="s">
        <v>17</v>
      </c>
      <c r="D666">
        <v>40.683129999999998</v>
      </c>
      <c r="E666">
        <v>-73.914850000000001</v>
      </c>
      <c r="F666" t="s">
        <v>18</v>
      </c>
      <c r="G666">
        <v>2</v>
      </c>
      <c r="H666">
        <v>1</v>
      </c>
      <c r="I666">
        <v>1</v>
      </c>
      <c r="J666">
        <v>1</v>
      </c>
      <c r="K666">
        <v>2</v>
      </c>
      <c r="L666">
        <v>77</v>
      </c>
      <c r="M666">
        <v>22</v>
      </c>
      <c r="N666">
        <v>0.88</v>
      </c>
      <c r="O666">
        <f>IF(F666="Private room",1,0)</f>
        <v>1</v>
      </c>
      <c r="P666">
        <f>IF(C666="Manhattan",4,IF(C666="Brooklyn",2,0))</f>
        <v>2</v>
      </c>
      <c r="Q666" s="2">
        <v>169</v>
      </c>
      <c r="R666" s="1">
        <v>45740</v>
      </c>
      <c r="S666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181.67000000000004</v>
      </c>
    </row>
    <row r="667" spans="1:19" x14ac:dyDescent="0.3">
      <c r="A667" t="s">
        <v>885</v>
      </c>
      <c r="B667" t="s">
        <v>38</v>
      </c>
      <c r="C667" t="s">
        <v>20</v>
      </c>
      <c r="D667" s="3" t="s">
        <v>886</v>
      </c>
      <c r="E667">
        <v>-73.995894165908595</v>
      </c>
      <c r="F667" t="s">
        <v>21</v>
      </c>
      <c r="G667">
        <v>2</v>
      </c>
      <c r="H667">
        <v>1</v>
      </c>
      <c r="I667">
        <v>0</v>
      </c>
      <c r="J667">
        <v>1</v>
      </c>
      <c r="K667">
        <v>30</v>
      </c>
      <c r="L667">
        <v>305</v>
      </c>
      <c r="M667">
        <v>1</v>
      </c>
      <c r="N667">
        <v>0.57999999999999996</v>
      </c>
      <c r="O667">
        <f>IF(F667="Private room",1,0)</f>
        <v>0</v>
      </c>
      <c r="P667">
        <f>IF(C667="Manhattan",4,IF(C667="Brooklyn",2,0))</f>
        <v>4</v>
      </c>
      <c r="Q667" s="2">
        <v>132</v>
      </c>
      <c r="R667" s="1">
        <v>45727</v>
      </c>
      <c r="S667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152.51000000000002</v>
      </c>
    </row>
    <row r="668" spans="1:19" x14ac:dyDescent="0.3">
      <c r="A668" t="s">
        <v>887</v>
      </c>
      <c r="B668" t="s">
        <v>27</v>
      </c>
      <c r="C668" t="s">
        <v>17</v>
      </c>
      <c r="D668" s="3" t="s">
        <v>888</v>
      </c>
      <c r="E668">
        <v>-73.935486874475302</v>
      </c>
      <c r="F668" t="s">
        <v>21</v>
      </c>
      <c r="G668">
        <v>3</v>
      </c>
      <c r="H668">
        <v>1</v>
      </c>
      <c r="I668">
        <v>1</v>
      </c>
      <c r="J668">
        <v>2</v>
      </c>
      <c r="K668">
        <v>30</v>
      </c>
      <c r="L668">
        <v>214</v>
      </c>
      <c r="M668">
        <v>25</v>
      </c>
      <c r="N668">
        <v>0.94</v>
      </c>
      <c r="O668">
        <f>IF(F668="Private room",1,0)</f>
        <v>0</v>
      </c>
      <c r="P668">
        <f>IF(C668="Manhattan",4,IF(C668="Brooklyn",2,0))</f>
        <v>2</v>
      </c>
      <c r="Q668" s="2">
        <v>100</v>
      </c>
      <c r="R668" s="1">
        <v>45717</v>
      </c>
      <c r="S668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144.67000000000002</v>
      </c>
    </row>
    <row r="669" spans="1:19" x14ac:dyDescent="0.3">
      <c r="A669" t="s">
        <v>889</v>
      </c>
      <c r="B669" t="s">
        <v>149</v>
      </c>
      <c r="C669" t="s">
        <v>30</v>
      </c>
      <c r="D669" s="3" t="s">
        <v>890</v>
      </c>
      <c r="E669">
        <v>-73.862410474009707</v>
      </c>
      <c r="F669" t="s">
        <v>18</v>
      </c>
      <c r="G669">
        <v>1</v>
      </c>
      <c r="H669">
        <v>1</v>
      </c>
      <c r="I669">
        <v>1</v>
      </c>
      <c r="J669">
        <v>1</v>
      </c>
      <c r="K669">
        <v>30</v>
      </c>
      <c r="L669">
        <v>190</v>
      </c>
      <c r="M669">
        <v>1</v>
      </c>
      <c r="N669">
        <v>0.53</v>
      </c>
      <c r="O669">
        <f>IF(F669="Private room",1,0)</f>
        <v>1</v>
      </c>
      <c r="P669">
        <f>IF(C669="Manhattan",4,IF(C669="Brooklyn",2,0))</f>
        <v>0</v>
      </c>
      <c r="Q669" s="2">
        <v>55</v>
      </c>
      <c r="R669" s="1">
        <v>45723</v>
      </c>
      <c r="S669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33.910000000000011</v>
      </c>
    </row>
    <row r="670" spans="1:19" x14ac:dyDescent="0.3">
      <c r="A670" t="s">
        <v>891</v>
      </c>
      <c r="B670" t="s">
        <v>50</v>
      </c>
      <c r="C670" t="s">
        <v>20</v>
      </c>
      <c r="D670" s="3" t="s">
        <v>892</v>
      </c>
      <c r="E670">
        <v>-74.000969710007197</v>
      </c>
      <c r="F670" t="s">
        <v>21</v>
      </c>
      <c r="G670">
        <v>2</v>
      </c>
      <c r="H670">
        <v>1</v>
      </c>
      <c r="I670">
        <v>1</v>
      </c>
      <c r="J670">
        <v>1</v>
      </c>
      <c r="K670">
        <v>30</v>
      </c>
      <c r="L670">
        <v>259</v>
      </c>
      <c r="M670">
        <v>6</v>
      </c>
      <c r="N670">
        <v>0.25</v>
      </c>
      <c r="O670">
        <f>IF(F670="Private room",1,0)</f>
        <v>0</v>
      </c>
      <c r="P670">
        <f>IF(C670="Manhattan",4,IF(C670="Brooklyn",2,0))</f>
        <v>4</v>
      </c>
      <c r="Q670" s="2">
        <v>149</v>
      </c>
      <c r="R670" s="1">
        <v>45721</v>
      </c>
      <c r="S670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154.35000000000002</v>
      </c>
    </row>
    <row r="671" spans="1:19" x14ac:dyDescent="0.3">
      <c r="A671" t="s">
        <v>893</v>
      </c>
      <c r="B671" t="s">
        <v>60</v>
      </c>
      <c r="C671" t="s">
        <v>17</v>
      </c>
      <c r="D671">
        <v>40.636637899999997</v>
      </c>
      <c r="E671">
        <v>-73.949767399999999</v>
      </c>
      <c r="F671" t="s">
        <v>21</v>
      </c>
      <c r="G671">
        <v>2</v>
      </c>
      <c r="H671">
        <v>1</v>
      </c>
      <c r="I671">
        <v>1</v>
      </c>
      <c r="J671">
        <v>1</v>
      </c>
      <c r="K671">
        <v>30</v>
      </c>
      <c r="L671">
        <v>271</v>
      </c>
      <c r="M671">
        <v>36</v>
      </c>
      <c r="N671">
        <v>1.37</v>
      </c>
      <c r="O671">
        <f>IF(F671="Private room",1,0)</f>
        <v>0</v>
      </c>
      <c r="P671">
        <f>IF(C671="Manhattan",4,IF(C671="Brooklyn",2,0))</f>
        <v>2</v>
      </c>
      <c r="Q671" s="2">
        <v>126</v>
      </c>
      <c r="R671" s="1">
        <v>45744</v>
      </c>
      <c r="S671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123.41000000000003</v>
      </c>
    </row>
    <row r="672" spans="1:19" x14ac:dyDescent="0.3">
      <c r="A672" t="s">
        <v>894</v>
      </c>
      <c r="B672" t="s">
        <v>134</v>
      </c>
      <c r="C672" t="s">
        <v>30</v>
      </c>
      <c r="D672">
        <v>40.710129999999999</v>
      </c>
      <c r="E672">
        <v>-73.749939999999995</v>
      </c>
      <c r="F672" t="s">
        <v>18</v>
      </c>
      <c r="G672">
        <v>3</v>
      </c>
      <c r="H672">
        <v>1</v>
      </c>
      <c r="I672">
        <v>1</v>
      </c>
      <c r="J672">
        <v>2</v>
      </c>
      <c r="K672">
        <v>30</v>
      </c>
      <c r="L672">
        <v>265</v>
      </c>
      <c r="M672">
        <v>72</v>
      </c>
      <c r="N672">
        <v>2.71</v>
      </c>
      <c r="O672">
        <f>IF(F672="Private room",1,0)</f>
        <v>1</v>
      </c>
      <c r="P672">
        <f>IF(C672="Manhattan",4,IF(C672="Brooklyn",2,0))</f>
        <v>0</v>
      </c>
      <c r="Q672" s="2">
        <v>80</v>
      </c>
      <c r="R672" s="1">
        <v>45733</v>
      </c>
      <c r="S672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68.870000000000019</v>
      </c>
    </row>
    <row r="673" spans="1:19" x14ac:dyDescent="0.3">
      <c r="A673" t="s">
        <v>895</v>
      </c>
      <c r="B673" t="s">
        <v>89</v>
      </c>
      <c r="C673" t="s">
        <v>30</v>
      </c>
      <c r="D673">
        <v>40.747970000000002</v>
      </c>
      <c r="E673">
        <v>-73.873589999999993</v>
      </c>
      <c r="F673" t="s">
        <v>18</v>
      </c>
      <c r="G673">
        <v>2</v>
      </c>
      <c r="H673">
        <v>1</v>
      </c>
      <c r="I673">
        <v>1</v>
      </c>
      <c r="J673">
        <v>1</v>
      </c>
      <c r="K673">
        <v>30</v>
      </c>
      <c r="L673">
        <v>327</v>
      </c>
      <c r="M673">
        <v>11</v>
      </c>
      <c r="N673">
        <v>0.45</v>
      </c>
      <c r="O673">
        <f>IF(F673="Private room",1,0)</f>
        <v>1</v>
      </c>
      <c r="P673">
        <f>IF(C673="Manhattan",4,IF(C673="Brooklyn",2,0))</f>
        <v>0</v>
      </c>
      <c r="Q673" s="2">
        <v>70</v>
      </c>
      <c r="R673" s="1">
        <v>45726</v>
      </c>
      <c r="S673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47.410000000000025</v>
      </c>
    </row>
    <row r="674" spans="1:19" x14ac:dyDescent="0.3">
      <c r="A674" t="s">
        <v>896</v>
      </c>
      <c r="B674" t="s">
        <v>27</v>
      </c>
      <c r="C674" t="s">
        <v>17</v>
      </c>
      <c r="D674">
        <v>40.691680499999997</v>
      </c>
      <c r="E674">
        <v>-73.950149299999893</v>
      </c>
      <c r="F674" t="s">
        <v>21</v>
      </c>
      <c r="G674">
        <v>4</v>
      </c>
      <c r="H674">
        <v>1</v>
      </c>
      <c r="I674">
        <v>2</v>
      </c>
      <c r="J674">
        <v>2</v>
      </c>
      <c r="K674">
        <v>30</v>
      </c>
      <c r="L674">
        <v>109</v>
      </c>
      <c r="M674">
        <v>19</v>
      </c>
      <c r="N674">
        <v>0.74</v>
      </c>
      <c r="O674">
        <f>IF(F674="Private room",1,0)</f>
        <v>0</v>
      </c>
      <c r="P674">
        <f>IF(C674="Manhattan",4,IF(C674="Brooklyn",2,0))</f>
        <v>2</v>
      </c>
      <c r="Q674" s="2">
        <v>158</v>
      </c>
      <c r="R674" s="1">
        <v>45718</v>
      </c>
      <c r="S674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167.85000000000002</v>
      </c>
    </row>
    <row r="675" spans="1:19" x14ac:dyDescent="0.3">
      <c r="A675" t="s">
        <v>897</v>
      </c>
      <c r="B675" t="s">
        <v>219</v>
      </c>
      <c r="C675" t="s">
        <v>30</v>
      </c>
      <c r="D675" s="3" t="s">
        <v>898</v>
      </c>
      <c r="E675">
        <v>-73.777792328046104</v>
      </c>
      <c r="F675" t="s">
        <v>21</v>
      </c>
      <c r="G675">
        <v>2</v>
      </c>
      <c r="H675">
        <v>1</v>
      </c>
      <c r="I675">
        <v>1</v>
      </c>
      <c r="J675">
        <v>2</v>
      </c>
      <c r="K675">
        <v>30</v>
      </c>
      <c r="L675">
        <v>248</v>
      </c>
      <c r="M675">
        <v>23</v>
      </c>
      <c r="N675">
        <v>0.88</v>
      </c>
      <c r="O675">
        <f>IF(F675="Private room",1,0)</f>
        <v>0</v>
      </c>
      <c r="P675">
        <f>IF(C675="Manhattan",4,IF(C675="Brooklyn",2,0))</f>
        <v>0</v>
      </c>
      <c r="Q675" s="2">
        <v>71</v>
      </c>
      <c r="R675" s="1">
        <v>45741</v>
      </c>
      <c r="S675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93.870000000000019</v>
      </c>
    </row>
    <row r="676" spans="1:19" x14ac:dyDescent="0.3">
      <c r="A676" t="s">
        <v>899</v>
      </c>
      <c r="B676" t="s">
        <v>38</v>
      </c>
      <c r="C676" t="s">
        <v>20</v>
      </c>
      <c r="D676">
        <v>40.7630537</v>
      </c>
      <c r="E676">
        <v>-73.9903446</v>
      </c>
      <c r="F676" t="s">
        <v>21</v>
      </c>
      <c r="G676">
        <v>2</v>
      </c>
      <c r="H676">
        <v>1</v>
      </c>
      <c r="I676">
        <v>1</v>
      </c>
      <c r="J676">
        <v>1</v>
      </c>
      <c r="K676">
        <v>30</v>
      </c>
      <c r="L676">
        <v>305</v>
      </c>
      <c r="M676">
        <v>5</v>
      </c>
      <c r="N676">
        <v>0.2</v>
      </c>
      <c r="O676">
        <f>IF(F676="Private room",1,0)</f>
        <v>0</v>
      </c>
      <c r="P676">
        <f>IF(C676="Manhattan",4,IF(C676="Brooklyn",2,0))</f>
        <v>4</v>
      </c>
      <c r="Q676" s="2">
        <v>120</v>
      </c>
      <c r="R676" s="1">
        <v>45719</v>
      </c>
      <c r="S676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152.51000000000002</v>
      </c>
    </row>
    <row r="677" spans="1:19" x14ac:dyDescent="0.3">
      <c r="A677" t="s">
        <v>900</v>
      </c>
      <c r="B677" t="s">
        <v>481</v>
      </c>
      <c r="C677" t="s">
        <v>91</v>
      </c>
      <c r="D677" s="3" t="s">
        <v>901</v>
      </c>
      <c r="E677">
        <v>-74.1657963954991</v>
      </c>
      <c r="F677" t="s">
        <v>18</v>
      </c>
      <c r="G677">
        <v>2</v>
      </c>
      <c r="H677">
        <v>1</v>
      </c>
      <c r="I677">
        <v>1</v>
      </c>
      <c r="J677">
        <v>2</v>
      </c>
      <c r="K677">
        <v>3</v>
      </c>
      <c r="L677">
        <v>358</v>
      </c>
      <c r="M677">
        <v>28</v>
      </c>
      <c r="N677">
        <v>1.1100000000000001</v>
      </c>
      <c r="O677">
        <f>IF(F677="Private room",1,0)</f>
        <v>1</v>
      </c>
      <c r="P677">
        <f>IF(C677="Manhattan",4,IF(C677="Brooklyn",2,0))</f>
        <v>0</v>
      </c>
      <c r="Q677" s="2">
        <v>86</v>
      </c>
      <c r="R677" s="1">
        <v>45745</v>
      </c>
      <c r="S677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136.62</v>
      </c>
    </row>
    <row r="678" spans="1:19" x14ac:dyDescent="0.3">
      <c r="A678" t="s">
        <v>902</v>
      </c>
      <c r="B678" t="s">
        <v>44</v>
      </c>
      <c r="C678" t="s">
        <v>30</v>
      </c>
      <c r="D678">
        <v>40.668940999999997</v>
      </c>
      <c r="E678">
        <v>-73.779067999999995</v>
      </c>
      <c r="F678" t="s">
        <v>18</v>
      </c>
      <c r="G678">
        <v>2</v>
      </c>
      <c r="H678">
        <v>1</v>
      </c>
      <c r="I678">
        <v>1</v>
      </c>
      <c r="J678">
        <v>1</v>
      </c>
      <c r="K678">
        <v>3</v>
      </c>
      <c r="L678">
        <v>364</v>
      </c>
      <c r="M678">
        <v>25</v>
      </c>
      <c r="N678">
        <v>1.1100000000000001</v>
      </c>
      <c r="O678">
        <f>IF(F678="Private room",1,0)</f>
        <v>1</v>
      </c>
      <c r="P678">
        <f>IF(C678="Manhattan",4,IF(C678="Brooklyn",2,0))</f>
        <v>0</v>
      </c>
      <c r="Q678" s="2">
        <v>130</v>
      </c>
      <c r="R678" s="1">
        <v>45719</v>
      </c>
      <c r="S678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136.38</v>
      </c>
    </row>
    <row r="679" spans="1:19" x14ac:dyDescent="0.3">
      <c r="A679" t="s">
        <v>903</v>
      </c>
      <c r="B679" t="s">
        <v>27</v>
      </c>
      <c r="C679" t="s">
        <v>17</v>
      </c>
      <c r="D679" s="3" t="s">
        <v>904</v>
      </c>
      <c r="E679">
        <v>-73.933061067265498</v>
      </c>
      <c r="F679" t="s">
        <v>18</v>
      </c>
      <c r="G679">
        <v>1</v>
      </c>
      <c r="H679">
        <v>1</v>
      </c>
      <c r="I679">
        <v>1</v>
      </c>
      <c r="J679">
        <v>1</v>
      </c>
      <c r="K679">
        <v>30</v>
      </c>
      <c r="L679">
        <v>61</v>
      </c>
      <c r="M679">
        <v>2</v>
      </c>
      <c r="N679">
        <v>0.09</v>
      </c>
      <c r="O679">
        <f>IF(F679="Private room",1,0)</f>
        <v>1</v>
      </c>
      <c r="P679">
        <f>IF(C679="Manhattan",4,IF(C679="Brooklyn",2,0))</f>
        <v>2</v>
      </c>
      <c r="Q679" s="2">
        <v>57</v>
      </c>
      <c r="R679" s="1">
        <v>45717</v>
      </c>
      <c r="S679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69.53</v>
      </c>
    </row>
    <row r="680" spans="1:19" x14ac:dyDescent="0.3">
      <c r="A680" t="s">
        <v>905</v>
      </c>
      <c r="B680" t="s">
        <v>50</v>
      </c>
      <c r="C680" t="s">
        <v>20</v>
      </c>
      <c r="D680">
        <v>40.7399737</v>
      </c>
      <c r="E680">
        <v>-74.003553799999906</v>
      </c>
      <c r="F680" t="s">
        <v>21</v>
      </c>
      <c r="G680">
        <v>2</v>
      </c>
      <c r="H680">
        <v>1</v>
      </c>
      <c r="I680">
        <v>0</v>
      </c>
      <c r="J680">
        <v>1</v>
      </c>
      <c r="K680">
        <v>30</v>
      </c>
      <c r="L680">
        <v>335</v>
      </c>
      <c r="M680">
        <v>8</v>
      </c>
      <c r="N680">
        <v>0.36</v>
      </c>
      <c r="O680">
        <f>IF(F680="Private room",1,0)</f>
        <v>0</v>
      </c>
      <c r="P680">
        <f>IF(C680="Manhattan",4,IF(C680="Brooklyn",2,0))</f>
        <v>4</v>
      </c>
      <c r="Q680" s="2">
        <v>155</v>
      </c>
      <c r="R680" s="1">
        <v>45717</v>
      </c>
      <c r="S680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151.31</v>
      </c>
    </row>
    <row r="681" spans="1:19" x14ac:dyDescent="0.3">
      <c r="A681" t="s">
        <v>906</v>
      </c>
      <c r="B681" t="s">
        <v>132</v>
      </c>
      <c r="C681" t="s">
        <v>17</v>
      </c>
      <c r="D681" s="3" t="s">
        <v>907</v>
      </c>
      <c r="E681">
        <v>-73.908955388282493</v>
      </c>
      <c r="F681" t="s">
        <v>21</v>
      </c>
      <c r="G681">
        <v>4</v>
      </c>
      <c r="H681">
        <v>1.5</v>
      </c>
      <c r="I681">
        <v>2</v>
      </c>
      <c r="J681">
        <v>2</v>
      </c>
      <c r="K681">
        <v>2</v>
      </c>
      <c r="L681">
        <v>348</v>
      </c>
      <c r="M681">
        <v>71</v>
      </c>
      <c r="N681">
        <v>2.8</v>
      </c>
      <c r="O681">
        <f>IF(F681="Private room",1,0)</f>
        <v>0</v>
      </c>
      <c r="P681">
        <f>IF(C681="Manhattan",4,IF(C681="Brooklyn",2,0))</f>
        <v>2</v>
      </c>
      <c r="Q681" s="2">
        <v>342</v>
      </c>
      <c r="R681" s="1">
        <v>45746</v>
      </c>
      <c r="S681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257.70000000000005</v>
      </c>
    </row>
    <row r="682" spans="1:19" x14ac:dyDescent="0.3">
      <c r="A682" t="s">
        <v>834</v>
      </c>
      <c r="B682" t="s">
        <v>68</v>
      </c>
      <c r="C682" t="s">
        <v>20</v>
      </c>
      <c r="D682">
        <v>40.838741629000602</v>
      </c>
      <c r="E682">
        <v>-73.938241552341793</v>
      </c>
      <c r="F682" t="s">
        <v>18</v>
      </c>
      <c r="G682">
        <v>1</v>
      </c>
      <c r="H682">
        <v>1</v>
      </c>
      <c r="I682">
        <v>1</v>
      </c>
      <c r="J682">
        <v>1</v>
      </c>
      <c r="K682">
        <v>30</v>
      </c>
      <c r="L682">
        <v>360</v>
      </c>
      <c r="M682">
        <v>14</v>
      </c>
      <c r="N682">
        <v>0.54</v>
      </c>
      <c r="O682">
        <f>IF(F682="Private room",1,0)</f>
        <v>1</v>
      </c>
      <c r="P682">
        <f>IF(C682="Manhattan",4,IF(C682="Brooklyn",2,0))</f>
        <v>4</v>
      </c>
      <c r="Q682" s="2">
        <v>60</v>
      </c>
      <c r="R682" s="1">
        <v>45736</v>
      </c>
      <c r="S682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88.03</v>
      </c>
    </row>
    <row r="683" spans="1:19" x14ac:dyDescent="0.3">
      <c r="A683" t="s">
        <v>908</v>
      </c>
      <c r="B683" t="s">
        <v>19</v>
      </c>
      <c r="C683" t="s">
        <v>20</v>
      </c>
      <c r="D683">
        <v>40.755077499999999</v>
      </c>
      <c r="E683">
        <v>-73.981057100000001</v>
      </c>
      <c r="F683" t="s">
        <v>18</v>
      </c>
      <c r="G683">
        <v>2</v>
      </c>
      <c r="H683">
        <v>1</v>
      </c>
      <c r="I683">
        <v>1</v>
      </c>
      <c r="J683">
        <v>1</v>
      </c>
      <c r="K683">
        <v>30</v>
      </c>
      <c r="L683">
        <v>239</v>
      </c>
      <c r="M683">
        <v>5</v>
      </c>
      <c r="N683">
        <v>0.19</v>
      </c>
      <c r="O683">
        <f>IF(F683="Private room",1,0)</f>
        <v>1</v>
      </c>
      <c r="P683">
        <f>IF(C683="Manhattan",4,IF(C683="Brooklyn",2,0))</f>
        <v>4</v>
      </c>
      <c r="Q683" s="2">
        <v>137</v>
      </c>
      <c r="R683" s="1">
        <v>45741</v>
      </c>
      <c r="S683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111.85000000000002</v>
      </c>
    </row>
    <row r="684" spans="1:19" x14ac:dyDescent="0.3">
      <c r="A684" t="s">
        <v>909</v>
      </c>
      <c r="B684" t="s">
        <v>38</v>
      </c>
      <c r="C684" t="s">
        <v>20</v>
      </c>
      <c r="D684">
        <v>40.763770000000001</v>
      </c>
      <c r="E684">
        <v>-73.995679999999993</v>
      </c>
      <c r="F684" t="s">
        <v>18</v>
      </c>
      <c r="G684">
        <v>2</v>
      </c>
      <c r="H684">
        <v>1</v>
      </c>
      <c r="I684">
        <v>0</v>
      </c>
      <c r="J684">
        <v>1</v>
      </c>
      <c r="K684">
        <v>1</v>
      </c>
      <c r="L684">
        <v>142</v>
      </c>
      <c r="M684">
        <v>18</v>
      </c>
      <c r="N684">
        <v>0.32</v>
      </c>
      <c r="O684">
        <f>IF(F684="Private room",1,0)</f>
        <v>1</v>
      </c>
      <c r="P684">
        <f>IF(C684="Manhattan",4,IF(C684="Brooklyn",2,0))</f>
        <v>4</v>
      </c>
      <c r="Q684" s="2">
        <v>229</v>
      </c>
      <c r="R684" s="1">
        <v>45720</v>
      </c>
      <c r="S684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212.88000000000005</v>
      </c>
    </row>
    <row r="685" spans="1:19" x14ac:dyDescent="0.3">
      <c r="A685" t="s">
        <v>910</v>
      </c>
      <c r="B685" t="s">
        <v>28</v>
      </c>
      <c r="C685" t="s">
        <v>20</v>
      </c>
      <c r="D685">
        <v>40.817473300000003</v>
      </c>
      <c r="E685">
        <v>-73.944190899999995</v>
      </c>
      <c r="F685" t="s">
        <v>21</v>
      </c>
      <c r="G685">
        <v>7</v>
      </c>
      <c r="H685">
        <v>1</v>
      </c>
      <c r="I685">
        <v>3</v>
      </c>
      <c r="J685">
        <v>4</v>
      </c>
      <c r="K685">
        <v>1</v>
      </c>
      <c r="L685">
        <v>332</v>
      </c>
      <c r="M685">
        <v>75</v>
      </c>
      <c r="N685">
        <v>2.96</v>
      </c>
      <c r="O685">
        <f>IF(F685="Private room",1,0)</f>
        <v>0</v>
      </c>
      <c r="P685">
        <f>IF(C685="Manhattan",4,IF(C685="Brooklyn",2,0))</f>
        <v>4</v>
      </c>
      <c r="Q685" s="2">
        <v>403</v>
      </c>
      <c r="R685" s="1">
        <v>45726</v>
      </c>
      <c r="S685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343.48000000000008</v>
      </c>
    </row>
    <row r="686" spans="1:19" x14ac:dyDescent="0.3">
      <c r="A686" t="s">
        <v>911</v>
      </c>
      <c r="B686" t="s">
        <v>73</v>
      </c>
      <c r="C686" t="s">
        <v>30</v>
      </c>
      <c r="D686">
        <v>40.752299353384899</v>
      </c>
      <c r="E686">
        <v>-73.932129888984093</v>
      </c>
      <c r="F686" t="s">
        <v>18</v>
      </c>
      <c r="G686">
        <v>2</v>
      </c>
      <c r="H686">
        <v>2</v>
      </c>
      <c r="I686">
        <v>1</v>
      </c>
      <c r="J686">
        <v>1</v>
      </c>
      <c r="K686">
        <v>30</v>
      </c>
      <c r="L686">
        <v>57</v>
      </c>
      <c r="M686">
        <v>23</v>
      </c>
      <c r="N686">
        <v>0.89</v>
      </c>
      <c r="O686">
        <f>IF(F686="Private room",1,0)</f>
        <v>1</v>
      </c>
      <c r="P686">
        <f>IF(C686="Manhattan",4,IF(C686="Brooklyn",2,0))</f>
        <v>0</v>
      </c>
      <c r="Q686" s="2">
        <v>68</v>
      </c>
      <c r="R686" s="1">
        <v>45720</v>
      </c>
      <c r="S686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69.430000000000021</v>
      </c>
    </row>
    <row r="687" spans="1:19" x14ac:dyDescent="0.3">
      <c r="A687" t="s">
        <v>912</v>
      </c>
      <c r="B687" t="s">
        <v>29</v>
      </c>
      <c r="C687" t="s">
        <v>30</v>
      </c>
      <c r="D687" s="3" t="s">
        <v>913</v>
      </c>
      <c r="E687">
        <v>-73.902009556233395</v>
      </c>
      <c r="F687" t="s">
        <v>21</v>
      </c>
      <c r="G687">
        <v>2</v>
      </c>
      <c r="H687">
        <v>1</v>
      </c>
      <c r="I687">
        <v>1</v>
      </c>
      <c r="J687">
        <v>1</v>
      </c>
      <c r="K687">
        <v>30</v>
      </c>
      <c r="L687">
        <v>118</v>
      </c>
      <c r="M687">
        <v>3</v>
      </c>
      <c r="N687">
        <v>0.13</v>
      </c>
      <c r="O687">
        <f>IF(F687="Private room",1,0)</f>
        <v>0</v>
      </c>
      <c r="P687">
        <f>IF(C687="Manhattan",4,IF(C687="Brooklyn",2,0))</f>
        <v>0</v>
      </c>
      <c r="Q687" s="2">
        <v>115</v>
      </c>
      <c r="R687" s="1">
        <v>45724</v>
      </c>
      <c r="S687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99.070000000000022</v>
      </c>
    </row>
    <row r="688" spans="1:19" x14ac:dyDescent="0.3">
      <c r="A688" t="s">
        <v>914</v>
      </c>
      <c r="B688" t="s">
        <v>38</v>
      </c>
      <c r="C688" t="s">
        <v>20</v>
      </c>
      <c r="D688">
        <v>40.766351</v>
      </c>
      <c r="E688">
        <v>-73.987112099999905</v>
      </c>
      <c r="F688" t="s">
        <v>21</v>
      </c>
      <c r="G688">
        <v>3</v>
      </c>
      <c r="H688">
        <v>1</v>
      </c>
      <c r="I688">
        <v>1</v>
      </c>
      <c r="J688">
        <v>1</v>
      </c>
      <c r="K688">
        <v>30</v>
      </c>
      <c r="L688">
        <v>310</v>
      </c>
      <c r="M688">
        <v>10</v>
      </c>
      <c r="N688">
        <v>0.41</v>
      </c>
      <c r="O688">
        <f>IF(F688="Private room",1,0)</f>
        <v>0</v>
      </c>
      <c r="P688">
        <f>IF(C688="Manhattan",4,IF(C688="Brooklyn",2,0))</f>
        <v>4</v>
      </c>
      <c r="Q688" s="2">
        <v>130</v>
      </c>
      <c r="R688" s="1">
        <v>45719</v>
      </c>
      <c r="S688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171.29000000000002</v>
      </c>
    </row>
    <row r="689" spans="1:19" x14ac:dyDescent="0.3">
      <c r="A689" t="s">
        <v>915</v>
      </c>
      <c r="B689" t="s">
        <v>43</v>
      </c>
      <c r="C689" t="s">
        <v>20</v>
      </c>
      <c r="D689">
        <v>40.712670000000003</v>
      </c>
      <c r="E689">
        <v>-73.980689999999996</v>
      </c>
      <c r="F689" t="s">
        <v>21</v>
      </c>
      <c r="G689">
        <v>3</v>
      </c>
      <c r="H689">
        <v>1</v>
      </c>
      <c r="I689">
        <v>2</v>
      </c>
      <c r="J689">
        <v>2</v>
      </c>
      <c r="K689">
        <v>30</v>
      </c>
      <c r="L689">
        <v>112</v>
      </c>
      <c r="M689">
        <v>9</v>
      </c>
      <c r="N689">
        <v>0.35</v>
      </c>
      <c r="O689">
        <f>IF(F689="Private room",1,0)</f>
        <v>0</v>
      </c>
      <c r="P689">
        <f>IF(C689="Manhattan",4,IF(C689="Brooklyn",2,0))</f>
        <v>4</v>
      </c>
      <c r="Q689" s="2">
        <v>272</v>
      </c>
      <c r="R689" s="1">
        <v>45731</v>
      </c>
      <c r="S689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179.21</v>
      </c>
    </row>
    <row r="690" spans="1:19" x14ac:dyDescent="0.3">
      <c r="A690" t="s">
        <v>916</v>
      </c>
      <c r="B690" t="s">
        <v>86</v>
      </c>
      <c r="C690" t="s">
        <v>20</v>
      </c>
      <c r="D690" s="3" t="s">
        <v>917</v>
      </c>
      <c r="E690">
        <v>-74.001136289867603</v>
      </c>
      <c r="F690" t="s">
        <v>18</v>
      </c>
      <c r="G690">
        <v>4</v>
      </c>
      <c r="H690">
        <v>1</v>
      </c>
      <c r="I690">
        <v>0</v>
      </c>
      <c r="J690">
        <v>2</v>
      </c>
      <c r="K690">
        <v>1</v>
      </c>
      <c r="L690">
        <v>198</v>
      </c>
      <c r="M690">
        <v>11</v>
      </c>
      <c r="N690">
        <v>0.46</v>
      </c>
      <c r="O690">
        <f>IF(F690="Private room",1,0)</f>
        <v>1</v>
      </c>
      <c r="P690">
        <f>IF(C690="Manhattan",4,IF(C690="Brooklyn",2,0))</f>
        <v>4</v>
      </c>
      <c r="Q690" s="2">
        <v>286</v>
      </c>
      <c r="R690" s="1">
        <v>45740</v>
      </c>
      <c r="S690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248.60000000000008</v>
      </c>
    </row>
    <row r="691" spans="1:19" x14ac:dyDescent="0.3">
      <c r="A691" t="s">
        <v>918</v>
      </c>
      <c r="B691" t="s">
        <v>86</v>
      </c>
      <c r="C691" t="s">
        <v>20</v>
      </c>
      <c r="D691" s="3" t="s">
        <v>919</v>
      </c>
      <c r="E691">
        <v>-73.999591281912203</v>
      </c>
      <c r="F691" t="s">
        <v>18</v>
      </c>
      <c r="G691">
        <v>2</v>
      </c>
      <c r="H691">
        <v>1</v>
      </c>
      <c r="I691">
        <v>0</v>
      </c>
      <c r="J691">
        <v>1</v>
      </c>
      <c r="K691">
        <v>1</v>
      </c>
      <c r="L691">
        <v>204</v>
      </c>
      <c r="M691">
        <v>30</v>
      </c>
      <c r="N691">
        <v>1.38</v>
      </c>
      <c r="O691">
        <f>IF(F691="Private room",1,0)</f>
        <v>1</v>
      </c>
      <c r="P691">
        <f>IF(C691="Manhattan",4,IF(C691="Brooklyn",2,0))</f>
        <v>4</v>
      </c>
      <c r="Q691" s="2">
        <v>238</v>
      </c>
      <c r="R691" s="1">
        <v>45739</v>
      </c>
      <c r="S691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210.40000000000003</v>
      </c>
    </row>
    <row r="692" spans="1:19" x14ac:dyDescent="0.3">
      <c r="A692" t="s">
        <v>920</v>
      </c>
      <c r="B692" t="s">
        <v>33</v>
      </c>
      <c r="C692" t="s">
        <v>17</v>
      </c>
      <c r="D692" s="3" t="s">
        <v>921</v>
      </c>
      <c r="E692">
        <v>-73.979206105227803</v>
      </c>
      <c r="F692" t="s">
        <v>21</v>
      </c>
      <c r="G692">
        <v>4</v>
      </c>
      <c r="H692">
        <v>1</v>
      </c>
      <c r="I692">
        <v>2</v>
      </c>
      <c r="J692">
        <v>2</v>
      </c>
      <c r="K692">
        <v>30</v>
      </c>
      <c r="L692">
        <v>225</v>
      </c>
      <c r="M692">
        <v>2</v>
      </c>
      <c r="N692">
        <v>0.17</v>
      </c>
      <c r="O692">
        <f>IF(F692="Private room",1,0)</f>
        <v>0</v>
      </c>
      <c r="P692">
        <f>IF(C692="Manhattan",4,IF(C692="Brooklyn",2,0))</f>
        <v>2</v>
      </c>
      <c r="Q692" s="2">
        <v>272</v>
      </c>
      <c r="R692" s="1">
        <v>45724</v>
      </c>
      <c r="S692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163.21000000000004</v>
      </c>
    </row>
    <row r="693" spans="1:19" x14ac:dyDescent="0.3">
      <c r="A693" t="s">
        <v>922</v>
      </c>
      <c r="B693" t="s">
        <v>241</v>
      </c>
      <c r="C693" t="s">
        <v>31</v>
      </c>
      <c r="D693">
        <v>40.872296300000002</v>
      </c>
      <c r="E693">
        <v>-73.848212399999994</v>
      </c>
      <c r="F693" t="s">
        <v>21</v>
      </c>
      <c r="G693">
        <v>4</v>
      </c>
      <c r="H693">
        <v>1</v>
      </c>
      <c r="I693">
        <v>1</v>
      </c>
      <c r="J693">
        <v>1</v>
      </c>
      <c r="K693">
        <v>30</v>
      </c>
      <c r="L693">
        <v>75</v>
      </c>
      <c r="M693">
        <v>29</v>
      </c>
      <c r="N693">
        <v>1.1399999999999999</v>
      </c>
      <c r="O693">
        <f>IF(F693="Private room",1,0)</f>
        <v>0</v>
      </c>
      <c r="P693">
        <f>IF(C693="Manhattan",4,IF(C693="Brooklyn",2,0))</f>
        <v>0</v>
      </c>
      <c r="Q693" s="2">
        <v>100</v>
      </c>
      <c r="R693" s="1">
        <v>45731</v>
      </c>
      <c r="S693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138.75000000000003</v>
      </c>
    </row>
    <row r="694" spans="1:19" x14ac:dyDescent="0.3">
      <c r="A694" t="s">
        <v>923</v>
      </c>
      <c r="B694" t="s">
        <v>72</v>
      </c>
      <c r="C694" t="s">
        <v>20</v>
      </c>
      <c r="D694" s="3" t="s">
        <v>924</v>
      </c>
      <c r="E694">
        <v>-73.980339485147894</v>
      </c>
      <c r="F694" t="s">
        <v>21</v>
      </c>
      <c r="G694">
        <v>3</v>
      </c>
      <c r="H694">
        <v>1</v>
      </c>
      <c r="I694">
        <v>1</v>
      </c>
      <c r="J694">
        <v>3</v>
      </c>
      <c r="K694">
        <v>30</v>
      </c>
      <c r="L694">
        <v>117</v>
      </c>
      <c r="M694">
        <v>5</v>
      </c>
      <c r="N694">
        <v>0.21</v>
      </c>
      <c r="O694">
        <f>IF(F694="Private room",1,0)</f>
        <v>0</v>
      </c>
      <c r="P694">
        <f>IF(C694="Manhattan",4,IF(C694="Brooklyn",2,0))</f>
        <v>4</v>
      </c>
      <c r="Q694" s="2">
        <v>380</v>
      </c>
      <c r="R694" s="1">
        <v>45724</v>
      </c>
      <c r="S694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179.01</v>
      </c>
    </row>
    <row r="695" spans="1:19" x14ac:dyDescent="0.3">
      <c r="A695" t="s">
        <v>925</v>
      </c>
      <c r="B695" t="s">
        <v>202</v>
      </c>
      <c r="C695" t="s">
        <v>20</v>
      </c>
      <c r="D695" s="3" t="s">
        <v>926</v>
      </c>
      <c r="E695">
        <v>-73.9100468000467</v>
      </c>
      <c r="F695" t="s">
        <v>21</v>
      </c>
      <c r="G695">
        <v>2</v>
      </c>
      <c r="H695">
        <v>1</v>
      </c>
      <c r="I695">
        <v>0</v>
      </c>
      <c r="J695">
        <v>1</v>
      </c>
      <c r="K695">
        <v>30</v>
      </c>
      <c r="L695">
        <v>117</v>
      </c>
      <c r="M695">
        <v>3</v>
      </c>
      <c r="N695">
        <v>0.14000000000000001</v>
      </c>
      <c r="O695">
        <f>IF(F695="Private room",1,0)</f>
        <v>0</v>
      </c>
      <c r="P695">
        <f>IF(C695="Manhattan",4,IF(C695="Brooklyn",2,0))</f>
        <v>4</v>
      </c>
      <c r="Q695" s="2">
        <v>92</v>
      </c>
      <c r="R695" s="1">
        <v>45730</v>
      </c>
      <c r="S695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160.03000000000003</v>
      </c>
    </row>
    <row r="696" spans="1:19" x14ac:dyDescent="0.3">
      <c r="A696" t="s">
        <v>927</v>
      </c>
      <c r="B696" t="s">
        <v>36</v>
      </c>
      <c r="C696" t="s">
        <v>20</v>
      </c>
      <c r="D696" s="3" t="s">
        <v>928</v>
      </c>
      <c r="E696">
        <v>-73.945527780233803</v>
      </c>
      <c r="F696" t="s">
        <v>21</v>
      </c>
      <c r="G696">
        <v>4</v>
      </c>
      <c r="H696">
        <v>1</v>
      </c>
      <c r="I696">
        <v>2</v>
      </c>
      <c r="J696">
        <v>3</v>
      </c>
      <c r="K696">
        <v>30</v>
      </c>
      <c r="L696">
        <v>262</v>
      </c>
      <c r="M696">
        <v>4</v>
      </c>
      <c r="N696">
        <v>0.24</v>
      </c>
      <c r="O696">
        <f>IF(F696="Private room",1,0)</f>
        <v>0</v>
      </c>
      <c r="P696">
        <f>IF(C696="Manhattan",4,IF(C696="Brooklyn",2,0))</f>
        <v>4</v>
      </c>
      <c r="Q696" s="2">
        <v>155</v>
      </c>
      <c r="R696" s="1">
        <v>45726</v>
      </c>
      <c r="S696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192.19000000000005</v>
      </c>
    </row>
    <row r="697" spans="1:19" x14ac:dyDescent="0.3">
      <c r="A697" t="s">
        <v>240</v>
      </c>
      <c r="B697" t="s">
        <v>60</v>
      </c>
      <c r="C697" t="s">
        <v>17</v>
      </c>
      <c r="D697" s="3" t="s">
        <v>929</v>
      </c>
      <c r="E697">
        <v>-73.934788097324002</v>
      </c>
      <c r="F697" t="s">
        <v>18</v>
      </c>
      <c r="G697">
        <v>1</v>
      </c>
      <c r="H697">
        <v>2</v>
      </c>
      <c r="I697">
        <v>1</v>
      </c>
      <c r="J697">
        <v>1</v>
      </c>
      <c r="K697">
        <v>2</v>
      </c>
      <c r="L697">
        <v>314</v>
      </c>
      <c r="M697">
        <v>48</v>
      </c>
      <c r="N697">
        <v>2.0299999999999998</v>
      </c>
      <c r="O697">
        <f>IF(F697="Private room",1,0)</f>
        <v>1</v>
      </c>
      <c r="P697">
        <f>IF(C697="Manhattan",4,IF(C697="Brooklyn",2,0))</f>
        <v>2</v>
      </c>
      <c r="Q697" s="2">
        <v>84</v>
      </c>
      <c r="R697" s="1">
        <v>45739</v>
      </c>
      <c r="S697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164.43000000000004</v>
      </c>
    </row>
    <row r="698" spans="1:19" x14ac:dyDescent="0.3">
      <c r="A698" t="s">
        <v>930</v>
      </c>
      <c r="B698" t="s">
        <v>189</v>
      </c>
      <c r="C698" t="s">
        <v>30</v>
      </c>
      <c r="D698">
        <v>40.676932299999997</v>
      </c>
      <c r="E698">
        <v>-73.804835599999905</v>
      </c>
      <c r="F698" t="s">
        <v>21</v>
      </c>
      <c r="G698">
        <v>4</v>
      </c>
      <c r="H698">
        <v>1</v>
      </c>
      <c r="I698">
        <v>2</v>
      </c>
      <c r="J698">
        <v>3</v>
      </c>
      <c r="K698">
        <v>2</v>
      </c>
      <c r="L698">
        <v>354</v>
      </c>
      <c r="M698">
        <v>35</v>
      </c>
      <c r="N698">
        <v>1.5</v>
      </c>
      <c r="O698">
        <f>IF(F698="Private room",1,0)</f>
        <v>0</v>
      </c>
      <c r="P698">
        <f>IF(C698="Manhattan",4,IF(C698="Brooklyn",2,0))</f>
        <v>0</v>
      </c>
      <c r="Q698" s="2">
        <v>245</v>
      </c>
      <c r="R698" s="1">
        <v>45746</v>
      </c>
      <c r="S698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221.39000000000004</v>
      </c>
    </row>
    <row r="699" spans="1:19" x14ac:dyDescent="0.3">
      <c r="A699" t="s">
        <v>931</v>
      </c>
      <c r="B699" t="s">
        <v>41</v>
      </c>
      <c r="C699" t="s">
        <v>20</v>
      </c>
      <c r="D699">
        <v>40.722189999999998</v>
      </c>
      <c r="E699">
        <v>-73.979410000000001</v>
      </c>
      <c r="F699" t="s">
        <v>21</v>
      </c>
      <c r="G699">
        <v>6</v>
      </c>
      <c r="H699">
        <v>1</v>
      </c>
      <c r="I699">
        <v>2</v>
      </c>
      <c r="J699">
        <v>4</v>
      </c>
      <c r="K699">
        <v>30</v>
      </c>
      <c r="L699">
        <v>70</v>
      </c>
      <c r="M699">
        <v>28</v>
      </c>
      <c r="N699">
        <v>1.1499999999999999</v>
      </c>
      <c r="O699">
        <f>IF(F699="Private room",1,0)</f>
        <v>0</v>
      </c>
      <c r="P699">
        <f>IF(C699="Manhattan",4,IF(C699="Brooklyn",2,0))</f>
        <v>4</v>
      </c>
      <c r="Q699" s="2">
        <v>150</v>
      </c>
      <c r="R699" s="1">
        <v>45736</v>
      </c>
      <c r="S699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237.83000000000004</v>
      </c>
    </row>
    <row r="700" spans="1:19" x14ac:dyDescent="0.3">
      <c r="A700" t="s">
        <v>932</v>
      </c>
      <c r="B700" t="s">
        <v>68</v>
      </c>
      <c r="C700" t="s">
        <v>20</v>
      </c>
      <c r="D700">
        <v>40.845660000000002</v>
      </c>
      <c r="E700">
        <v>-73.940380000000005</v>
      </c>
      <c r="F700" t="s">
        <v>18</v>
      </c>
      <c r="G700">
        <v>2</v>
      </c>
      <c r="H700">
        <v>1</v>
      </c>
      <c r="I700">
        <v>1</v>
      </c>
      <c r="J700">
        <v>1</v>
      </c>
      <c r="K700">
        <v>30</v>
      </c>
      <c r="L700">
        <v>195</v>
      </c>
      <c r="M700">
        <v>12</v>
      </c>
      <c r="N700">
        <v>0.52</v>
      </c>
      <c r="O700">
        <f>IF(F700="Private room",1,0)</f>
        <v>1</v>
      </c>
      <c r="P700">
        <f>IF(C700="Manhattan",4,IF(C700="Brooklyn",2,0))</f>
        <v>4</v>
      </c>
      <c r="Q700" s="2">
        <v>60</v>
      </c>
      <c r="R700" s="1">
        <v>45717</v>
      </c>
      <c r="S700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113.61000000000003</v>
      </c>
    </row>
    <row r="701" spans="1:19" x14ac:dyDescent="0.3">
      <c r="A701" t="s">
        <v>933</v>
      </c>
      <c r="B701" t="s">
        <v>72</v>
      </c>
      <c r="C701" t="s">
        <v>20</v>
      </c>
      <c r="D701">
        <v>40.734720000000003</v>
      </c>
      <c r="E701">
        <v>-73.986969999999999</v>
      </c>
      <c r="F701" t="s">
        <v>21</v>
      </c>
      <c r="G701">
        <v>3</v>
      </c>
      <c r="H701">
        <v>1</v>
      </c>
      <c r="I701">
        <v>1</v>
      </c>
      <c r="J701">
        <v>2</v>
      </c>
      <c r="K701">
        <v>1</v>
      </c>
      <c r="L701">
        <v>92</v>
      </c>
      <c r="M701">
        <v>68</v>
      </c>
      <c r="N701">
        <v>2.72</v>
      </c>
      <c r="O701">
        <f>IF(F701="Private room",1,0)</f>
        <v>0</v>
      </c>
      <c r="P701">
        <f>IF(C701="Manhattan",4,IF(C701="Brooklyn",2,0))</f>
        <v>4</v>
      </c>
      <c r="Q701" s="2">
        <v>148</v>
      </c>
      <c r="R701" s="1">
        <v>45739</v>
      </c>
      <c r="S701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277.16000000000003</v>
      </c>
    </row>
    <row r="702" spans="1:19" x14ac:dyDescent="0.3">
      <c r="A702" t="s">
        <v>934</v>
      </c>
      <c r="B702" t="s">
        <v>49</v>
      </c>
      <c r="C702" t="s">
        <v>20</v>
      </c>
      <c r="D702">
        <v>40.739738799999998</v>
      </c>
      <c r="E702">
        <v>-73.984338899999997</v>
      </c>
      <c r="F702" t="s">
        <v>18</v>
      </c>
      <c r="G702">
        <v>3</v>
      </c>
      <c r="H702">
        <v>1</v>
      </c>
      <c r="I702">
        <v>1</v>
      </c>
      <c r="J702">
        <v>2</v>
      </c>
      <c r="K702">
        <v>1</v>
      </c>
      <c r="L702">
        <v>327</v>
      </c>
      <c r="M702">
        <v>213</v>
      </c>
      <c r="N702">
        <v>9.09</v>
      </c>
      <c r="O702">
        <f>IF(F702="Private room",1,0)</f>
        <v>1</v>
      </c>
      <c r="P702">
        <f>IF(C702="Manhattan",4,IF(C702="Brooklyn",2,0))</f>
        <v>4</v>
      </c>
      <c r="Q702" s="2">
        <v>363</v>
      </c>
      <c r="R702" s="1">
        <v>45743</v>
      </c>
      <c r="S702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224.46000000000004</v>
      </c>
    </row>
    <row r="703" spans="1:19" x14ac:dyDescent="0.3">
      <c r="A703" t="s">
        <v>935</v>
      </c>
      <c r="B703" t="s">
        <v>36</v>
      </c>
      <c r="C703" t="s">
        <v>20</v>
      </c>
      <c r="D703">
        <v>40.774768600000002</v>
      </c>
      <c r="E703">
        <v>-73.949965599999999</v>
      </c>
      <c r="F703" t="s">
        <v>21</v>
      </c>
      <c r="G703">
        <v>3</v>
      </c>
      <c r="H703">
        <v>1</v>
      </c>
      <c r="I703">
        <v>1</v>
      </c>
      <c r="J703">
        <v>1</v>
      </c>
      <c r="K703">
        <v>30</v>
      </c>
      <c r="L703">
        <v>293</v>
      </c>
      <c r="M703">
        <v>7</v>
      </c>
      <c r="N703">
        <v>0.31</v>
      </c>
      <c r="O703">
        <f>IF(F703="Private room",1,0)</f>
        <v>0</v>
      </c>
      <c r="P703">
        <f>IF(C703="Manhattan",4,IF(C703="Brooklyn",2,0))</f>
        <v>4</v>
      </c>
      <c r="Q703" s="2">
        <v>160</v>
      </c>
      <c r="R703" s="1">
        <v>45732</v>
      </c>
      <c r="S703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171.97000000000003</v>
      </c>
    </row>
    <row r="704" spans="1:19" x14ac:dyDescent="0.3">
      <c r="A704" t="s">
        <v>936</v>
      </c>
      <c r="B704" t="s">
        <v>27</v>
      </c>
      <c r="C704" t="s">
        <v>17</v>
      </c>
      <c r="D704" s="3" t="s">
        <v>937</v>
      </c>
      <c r="E704">
        <v>-73.935354394073201</v>
      </c>
      <c r="F704" t="s">
        <v>18</v>
      </c>
      <c r="G704">
        <v>1</v>
      </c>
      <c r="H704">
        <v>1</v>
      </c>
      <c r="I704">
        <v>1</v>
      </c>
      <c r="J704">
        <v>1</v>
      </c>
      <c r="K704">
        <v>30</v>
      </c>
      <c r="L704">
        <v>211</v>
      </c>
      <c r="M704">
        <v>2</v>
      </c>
      <c r="N704">
        <v>0.09</v>
      </c>
      <c r="O704">
        <f>IF(F704="Private room",1,0)</f>
        <v>1</v>
      </c>
      <c r="P704">
        <f>IF(C704="Manhattan",4,IF(C704="Brooklyn",2,0))</f>
        <v>2</v>
      </c>
      <c r="Q704" s="2">
        <v>57</v>
      </c>
      <c r="R704" s="1">
        <v>45746</v>
      </c>
      <c r="S704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63.530000000000008</v>
      </c>
    </row>
    <row r="705" spans="1:19" x14ac:dyDescent="0.3">
      <c r="A705" t="s">
        <v>939</v>
      </c>
      <c r="B705" t="s">
        <v>28</v>
      </c>
      <c r="C705" t="s">
        <v>20</v>
      </c>
      <c r="D705" s="3" t="s">
        <v>940</v>
      </c>
      <c r="E705">
        <v>-73.958456214933406</v>
      </c>
      <c r="F705" t="s">
        <v>18</v>
      </c>
      <c r="G705">
        <v>1</v>
      </c>
      <c r="H705">
        <v>1</v>
      </c>
      <c r="I705">
        <v>1</v>
      </c>
      <c r="J705">
        <v>1</v>
      </c>
      <c r="K705">
        <v>5</v>
      </c>
      <c r="L705">
        <v>36</v>
      </c>
      <c r="M705">
        <v>30</v>
      </c>
      <c r="N705">
        <v>1.31</v>
      </c>
      <c r="O705">
        <f>IF(F705="Private room",1,0)</f>
        <v>1</v>
      </c>
      <c r="P705">
        <f>IF(C705="Manhattan",4,IF(C705="Brooklyn",2,0))</f>
        <v>4</v>
      </c>
      <c r="Q705" s="2">
        <v>80</v>
      </c>
      <c r="R705" s="1">
        <v>45744</v>
      </c>
      <c r="S705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184.74</v>
      </c>
    </row>
    <row r="706" spans="1:19" x14ac:dyDescent="0.3">
      <c r="A706" t="s">
        <v>941</v>
      </c>
      <c r="B706" t="s">
        <v>46</v>
      </c>
      <c r="C706" t="s">
        <v>17</v>
      </c>
      <c r="D706">
        <v>40.692970000000003</v>
      </c>
      <c r="E706">
        <v>-73.99427</v>
      </c>
      <c r="F706" t="s">
        <v>21</v>
      </c>
      <c r="G706">
        <v>2</v>
      </c>
      <c r="H706">
        <v>1</v>
      </c>
      <c r="I706">
        <v>1</v>
      </c>
      <c r="J706">
        <v>1</v>
      </c>
      <c r="K706">
        <v>30</v>
      </c>
      <c r="L706">
        <v>30</v>
      </c>
      <c r="M706">
        <v>6</v>
      </c>
      <c r="N706">
        <v>0.26</v>
      </c>
      <c r="O706">
        <f>IF(F706="Private room",1,0)</f>
        <v>0</v>
      </c>
      <c r="P706">
        <f>IF(C706="Manhattan",4,IF(C706="Brooklyn",2,0))</f>
        <v>2</v>
      </c>
      <c r="Q706" s="2">
        <v>125</v>
      </c>
      <c r="R706" s="1">
        <v>45731</v>
      </c>
      <c r="S706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133.05000000000001</v>
      </c>
    </row>
    <row r="707" spans="1:19" x14ac:dyDescent="0.3">
      <c r="A707" t="s">
        <v>942</v>
      </c>
      <c r="B707" t="s">
        <v>23</v>
      </c>
      <c r="C707" t="s">
        <v>17</v>
      </c>
      <c r="D707" s="3" t="s">
        <v>943</v>
      </c>
      <c r="E707">
        <v>-73.941421785263003</v>
      </c>
      <c r="F707" t="s">
        <v>21</v>
      </c>
      <c r="G707">
        <v>2</v>
      </c>
      <c r="H707">
        <v>1</v>
      </c>
      <c r="I707">
        <v>1</v>
      </c>
      <c r="J707">
        <v>1</v>
      </c>
      <c r="K707">
        <v>30</v>
      </c>
      <c r="L707">
        <v>121</v>
      </c>
      <c r="M707">
        <v>17</v>
      </c>
      <c r="N707">
        <v>0.71</v>
      </c>
      <c r="O707">
        <f>IF(F707="Private room",1,0)</f>
        <v>0</v>
      </c>
      <c r="P707">
        <f>IF(C707="Manhattan",4,IF(C707="Brooklyn",2,0))</f>
        <v>2</v>
      </c>
      <c r="Q707" s="2">
        <v>79</v>
      </c>
      <c r="R707" s="1">
        <v>45744</v>
      </c>
      <c r="S707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129.41000000000003</v>
      </c>
    </row>
    <row r="708" spans="1:19" x14ac:dyDescent="0.3">
      <c r="A708" t="s">
        <v>944</v>
      </c>
      <c r="B708" t="s">
        <v>27</v>
      </c>
      <c r="C708" t="s">
        <v>17</v>
      </c>
      <c r="D708" s="3" t="s">
        <v>945</v>
      </c>
      <c r="E708">
        <v>-73.9131007519576</v>
      </c>
      <c r="F708" t="s">
        <v>18</v>
      </c>
      <c r="G708">
        <v>1</v>
      </c>
      <c r="H708">
        <v>2</v>
      </c>
      <c r="I708">
        <v>1</v>
      </c>
      <c r="J708">
        <v>2</v>
      </c>
      <c r="K708">
        <v>30</v>
      </c>
      <c r="L708">
        <v>59</v>
      </c>
      <c r="M708">
        <v>4</v>
      </c>
      <c r="N708">
        <v>0.26</v>
      </c>
      <c r="O708">
        <f>IF(F708="Private room",1,0)</f>
        <v>1</v>
      </c>
      <c r="P708">
        <f>IF(C708="Manhattan",4,IF(C708="Brooklyn",2,0))</f>
        <v>2</v>
      </c>
      <c r="Q708" s="2">
        <v>67</v>
      </c>
      <c r="R708" s="1">
        <v>45747</v>
      </c>
      <c r="S708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80.830000000000013</v>
      </c>
    </row>
    <row r="709" spans="1:19" x14ac:dyDescent="0.3">
      <c r="A709" t="s">
        <v>946</v>
      </c>
      <c r="B709" t="s">
        <v>68</v>
      </c>
      <c r="C709" t="s">
        <v>20</v>
      </c>
      <c r="D709" s="3" t="s">
        <v>947</v>
      </c>
      <c r="E709">
        <v>-73.933513858347297</v>
      </c>
      <c r="F709" t="s">
        <v>21</v>
      </c>
      <c r="G709">
        <v>4</v>
      </c>
      <c r="H709">
        <v>1</v>
      </c>
      <c r="I709">
        <v>2</v>
      </c>
      <c r="J709">
        <v>2</v>
      </c>
      <c r="K709">
        <v>30</v>
      </c>
      <c r="L709">
        <v>153</v>
      </c>
      <c r="M709">
        <v>7</v>
      </c>
      <c r="N709">
        <v>0.33</v>
      </c>
      <c r="O709">
        <f>IF(F709="Private room",1,0)</f>
        <v>0</v>
      </c>
      <c r="P709">
        <f>IF(C709="Manhattan",4,IF(C709="Brooklyn",2,0))</f>
        <v>4</v>
      </c>
      <c r="Q709" s="2">
        <v>135</v>
      </c>
      <c r="R709" s="1">
        <v>45718</v>
      </c>
      <c r="S709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196.55</v>
      </c>
    </row>
    <row r="710" spans="1:19" x14ac:dyDescent="0.3">
      <c r="A710" t="s">
        <v>948</v>
      </c>
      <c r="B710" t="s">
        <v>37</v>
      </c>
      <c r="C710" t="s">
        <v>30</v>
      </c>
      <c r="D710">
        <v>40.772170000000003</v>
      </c>
      <c r="E710">
        <v>-73.903729999999996</v>
      </c>
      <c r="F710" t="s">
        <v>21</v>
      </c>
      <c r="G710">
        <v>4</v>
      </c>
      <c r="H710">
        <v>1</v>
      </c>
      <c r="I710">
        <v>1</v>
      </c>
      <c r="J710">
        <v>2</v>
      </c>
      <c r="K710">
        <v>30</v>
      </c>
      <c r="L710">
        <v>300</v>
      </c>
      <c r="M710">
        <v>19</v>
      </c>
      <c r="N710">
        <v>0.8</v>
      </c>
      <c r="O710">
        <f>IF(F710="Private room",1,0)</f>
        <v>0</v>
      </c>
      <c r="P710">
        <f>IF(C710="Manhattan",4,IF(C710="Brooklyn",2,0))</f>
        <v>0</v>
      </c>
      <c r="Q710" s="2">
        <v>119</v>
      </c>
      <c r="R710" s="1">
        <v>45745</v>
      </c>
      <c r="S710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129.75000000000003</v>
      </c>
    </row>
    <row r="711" spans="1:19" x14ac:dyDescent="0.3">
      <c r="A711" t="s">
        <v>949</v>
      </c>
      <c r="B711" t="s">
        <v>50</v>
      </c>
      <c r="C711" t="s">
        <v>20</v>
      </c>
      <c r="D711" s="3" t="s">
        <v>950</v>
      </c>
      <c r="E711">
        <v>-74.0047311142105</v>
      </c>
      <c r="F711" t="s">
        <v>21</v>
      </c>
      <c r="G711">
        <v>2</v>
      </c>
      <c r="H711">
        <v>1</v>
      </c>
      <c r="I711">
        <v>1</v>
      </c>
      <c r="J711">
        <v>1</v>
      </c>
      <c r="K711">
        <v>8</v>
      </c>
      <c r="L711">
        <v>59</v>
      </c>
      <c r="M711">
        <v>65</v>
      </c>
      <c r="N711">
        <v>2.77</v>
      </c>
      <c r="O711">
        <f>IF(F711="Private room",1,0)</f>
        <v>0</v>
      </c>
      <c r="P711">
        <f>IF(C711="Manhattan",4,IF(C711="Brooklyn",2,0))</f>
        <v>4</v>
      </c>
      <c r="Q711" s="2">
        <v>378</v>
      </c>
      <c r="R711" s="1">
        <v>45735</v>
      </c>
      <c r="S711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236.05</v>
      </c>
    </row>
    <row r="712" spans="1:19" x14ac:dyDescent="0.3">
      <c r="A712" t="s">
        <v>951</v>
      </c>
      <c r="B712" t="s">
        <v>19</v>
      </c>
      <c r="C712" t="s">
        <v>20</v>
      </c>
      <c r="D712" s="3" t="s">
        <v>952</v>
      </c>
      <c r="E712">
        <v>-73.987102978053997</v>
      </c>
      <c r="F712" t="s">
        <v>21</v>
      </c>
      <c r="G712">
        <v>5</v>
      </c>
      <c r="H712">
        <v>1</v>
      </c>
      <c r="I712">
        <v>1</v>
      </c>
      <c r="J712">
        <v>3</v>
      </c>
      <c r="K712">
        <v>1</v>
      </c>
      <c r="L712">
        <v>314</v>
      </c>
      <c r="M712">
        <v>35</v>
      </c>
      <c r="N712">
        <v>1.5</v>
      </c>
      <c r="O712">
        <f>IF(F712="Private room",1,0)</f>
        <v>0</v>
      </c>
      <c r="P712">
        <f>IF(C712="Manhattan",4,IF(C712="Brooklyn",2,0))</f>
        <v>4</v>
      </c>
      <c r="Q712" s="2">
        <v>322</v>
      </c>
      <c r="R712" s="1">
        <v>45732</v>
      </c>
      <c r="S712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306.24</v>
      </c>
    </row>
    <row r="713" spans="1:19" x14ac:dyDescent="0.3">
      <c r="A713" t="s">
        <v>953</v>
      </c>
      <c r="B713" t="s">
        <v>56</v>
      </c>
      <c r="C713" t="s">
        <v>17</v>
      </c>
      <c r="D713">
        <v>40.672519999999999</v>
      </c>
      <c r="E713">
        <v>-73.932239999999993</v>
      </c>
      <c r="F713" t="s">
        <v>21</v>
      </c>
      <c r="G713">
        <v>6</v>
      </c>
      <c r="H713">
        <v>1</v>
      </c>
      <c r="I713">
        <v>3</v>
      </c>
      <c r="J713">
        <v>3</v>
      </c>
      <c r="K713">
        <v>2</v>
      </c>
      <c r="L713">
        <v>112</v>
      </c>
      <c r="M713">
        <v>40</v>
      </c>
      <c r="N713">
        <v>1.77</v>
      </c>
      <c r="O713">
        <f>IF(F713="Private room",1,0)</f>
        <v>0</v>
      </c>
      <c r="P713">
        <f>IF(C713="Manhattan",4,IF(C713="Brooklyn",2,0))</f>
        <v>2</v>
      </c>
      <c r="Q713" s="2">
        <v>268</v>
      </c>
      <c r="R713" s="1">
        <v>45746</v>
      </c>
      <c r="S713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299.49</v>
      </c>
    </row>
    <row r="714" spans="1:19" x14ac:dyDescent="0.3">
      <c r="A714" t="s">
        <v>954</v>
      </c>
      <c r="B714" t="s">
        <v>27</v>
      </c>
      <c r="C714" t="s">
        <v>17</v>
      </c>
      <c r="D714">
        <v>40.689590000000003</v>
      </c>
      <c r="E714">
        <v>-73.944900000000004</v>
      </c>
      <c r="F714" t="s">
        <v>18</v>
      </c>
      <c r="G714">
        <v>2</v>
      </c>
      <c r="H714">
        <v>1</v>
      </c>
      <c r="I714">
        <v>1</v>
      </c>
      <c r="J714">
        <v>1</v>
      </c>
      <c r="K714">
        <v>30</v>
      </c>
      <c r="L714">
        <v>102</v>
      </c>
      <c r="M714">
        <v>8</v>
      </c>
      <c r="N714">
        <v>0.34</v>
      </c>
      <c r="O714">
        <f>IF(F714="Private room",1,0)</f>
        <v>1</v>
      </c>
      <c r="P714">
        <f>IF(C714="Manhattan",4,IF(C714="Brooklyn",2,0))</f>
        <v>2</v>
      </c>
      <c r="Q714" s="2">
        <v>85</v>
      </c>
      <c r="R714" s="1">
        <v>45747</v>
      </c>
      <c r="S714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86.870000000000033</v>
      </c>
    </row>
    <row r="715" spans="1:19" x14ac:dyDescent="0.3">
      <c r="A715" t="s">
        <v>955</v>
      </c>
      <c r="B715" t="s">
        <v>28</v>
      </c>
      <c r="C715" t="s">
        <v>20</v>
      </c>
      <c r="D715" s="3" t="s">
        <v>956</v>
      </c>
      <c r="E715">
        <v>-73.948745120028903</v>
      </c>
      <c r="F715" t="s">
        <v>21</v>
      </c>
      <c r="G715">
        <v>2</v>
      </c>
      <c r="H715">
        <v>1</v>
      </c>
      <c r="I715">
        <v>1</v>
      </c>
      <c r="J715">
        <v>1</v>
      </c>
      <c r="K715">
        <v>30</v>
      </c>
      <c r="L715">
        <v>242</v>
      </c>
      <c r="M715">
        <v>4</v>
      </c>
      <c r="N715">
        <v>0.19</v>
      </c>
      <c r="O715">
        <f>IF(F715="Private room",1,0)</f>
        <v>0</v>
      </c>
      <c r="P715">
        <f>IF(C715="Manhattan",4,IF(C715="Brooklyn",2,0))</f>
        <v>4</v>
      </c>
      <c r="Q715" s="2">
        <v>115</v>
      </c>
      <c r="R715" s="1">
        <v>45747</v>
      </c>
      <c r="S715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155.03000000000003</v>
      </c>
    </row>
    <row r="716" spans="1:19" x14ac:dyDescent="0.3">
      <c r="A716" t="s">
        <v>957</v>
      </c>
      <c r="B716" t="s">
        <v>28</v>
      </c>
      <c r="C716" t="s">
        <v>20</v>
      </c>
      <c r="D716">
        <v>40.808070000000001</v>
      </c>
      <c r="E716">
        <v>-73.952439999999996</v>
      </c>
      <c r="F716" t="s">
        <v>18</v>
      </c>
      <c r="G716">
        <v>2</v>
      </c>
      <c r="H716">
        <v>1</v>
      </c>
      <c r="I716">
        <v>1</v>
      </c>
      <c r="J716">
        <v>1</v>
      </c>
      <c r="K716">
        <v>30</v>
      </c>
      <c r="L716">
        <v>269</v>
      </c>
      <c r="M716">
        <v>4</v>
      </c>
      <c r="N716">
        <v>0.39</v>
      </c>
      <c r="O716">
        <f>IF(F716="Private room",1,0)</f>
        <v>1</v>
      </c>
      <c r="P716">
        <f>IF(C716="Manhattan",4,IF(C716="Brooklyn",2,0))</f>
        <v>4</v>
      </c>
      <c r="Q716" s="2">
        <v>51</v>
      </c>
      <c r="R716" s="1">
        <v>45717</v>
      </c>
      <c r="S716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110.65000000000002</v>
      </c>
    </row>
    <row r="717" spans="1:19" x14ac:dyDescent="0.3">
      <c r="A717" t="s">
        <v>958</v>
      </c>
      <c r="B717" t="s">
        <v>37</v>
      </c>
      <c r="C717" t="s">
        <v>30</v>
      </c>
      <c r="D717" s="3" t="s">
        <v>959</v>
      </c>
      <c r="E717">
        <v>-73.904080830960993</v>
      </c>
      <c r="F717" t="s">
        <v>18</v>
      </c>
      <c r="G717">
        <v>1</v>
      </c>
      <c r="H717">
        <v>1</v>
      </c>
      <c r="I717">
        <v>1</v>
      </c>
      <c r="J717">
        <v>1</v>
      </c>
      <c r="K717">
        <v>5</v>
      </c>
      <c r="L717">
        <v>169</v>
      </c>
      <c r="M717">
        <v>43</v>
      </c>
      <c r="N717">
        <v>2.14</v>
      </c>
      <c r="O717">
        <f>IF(F717="Private room",1,0)</f>
        <v>1</v>
      </c>
      <c r="P717">
        <f>IF(C717="Manhattan",4,IF(C717="Brooklyn",2,0))</f>
        <v>0</v>
      </c>
      <c r="Q717" s="2">
        <v>127</v>
      </c>
      <c r="R717" s="1">
        <v>45744</v>
      </c>
      <c r="S717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118.50000000000001</v>
      </c>
    </row>
    <row r="718" spans="1:19" x14ac:dyDescent="0.3">
      <c r="A718" t="s">
        <v>960</v>
      </c>
      <c r="B718" t="s">
        <v>64</v>
      </c>
      <c r="C718" t="s">
        <v>17</v>
      </c>
      <c r="D718" s="3" t="s">
        <v>961</v>
      </c>
      <c r="E718">
        <v>-73.963425576044898</v>
      </c>
      <c r="F718" t="s">
        <v>21</v>
      </c>
      <c r="G718">
        <v>2</v>
      </c>
      <c r="H718">
        <v>1</v>
      </c>
      <c r="I718">
        <v>1</v>
      </c>
      <c r="J718">
        <v>1</v>
      </c>
      <c r="K718">
        <v>30</v>
      </c>
      <c r="L718">
        <v>212</v>
      </c>
      <c r="M718">
        <v>8</v>
      </c>
      <c r="N718">
        <v>0.51</v>
      </c>
      <c r="O718">
        <f>IF(F718="Private room",1,0)</f>
        <v>0</v>
      </c>
      <c r="P718">
        <f>IF(C718="Manhattan",4,IF(C718="Brooklyn",2,0))</f>
        <v>2</v>
      </c>
      <c r="Q718" s="2">
        <v>175</v>
      </c>
      <c r="R718" s="1">
        <v>45719</v>
      </c>
      <c r="S718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125.77000000000001</v>
      </c>
    </row>
    <row r="719" spans="1:19" x14ac:dyDescent="0.3">
      <c r="A719" t="s">
        <v>962</v>
      </c>
      <c r="B719" t="s">
        <v>45</v>
      </c>
      <c r="C719" t="s">
        <v>20</v>
      </c>
      <c r="D719">
        <v>40.745370000000001</v>
      </c>
      <c r="E719">
        <v>-74.003200000000007</v>
      </c>
      <c r="F719" t="s">
        <v>21</v>
      </c>
      <c r="G719">
        <v>2</v>
      </c>
      <c r="H719">
        <v>1</v>
      </c>
      <c r="I719">
        <v>1</v>
      </c>
      <c r="J719">
        <v>1</v>
      </c>
      <c r="K719">
        <v>30</v>
      </c>
      <c r="L719">
        <v>280</v>
      </c>
      <c r="M719">
        <v>4</v>
      </c>
      <c r="N719">
        <v>0.45</v>
      </c>
      <c r="O719">
        <f>IF(F719="Private room",1,0)</f>
        <v>0</v>
      </c>
      <c r="P719">
        <f>IF(C719="Manhattan",4,IF(C719="Brooklyn",2,0))</f>
        <v>4</v>
      </c>
      <c r="Q719" s="2">
        <v>227</v>
      </c>
      <c r="R719" s="1">
        <v>45747</v>
      </c>
      <c r="S719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153.51000000000002</v>
      </c>
    </row>
    <row r="720" spans="1:19" x14ac:dyDescent="0.3">
      <c r="A720" t="s">
        <v>963</v>
      </c>
      <c r="B720" t="s">
        <v>56</v>
      </c>
      <c r="C720" t="s">
        <v>17</v>
      </c>
      <c r="D720" s="3" t="s">
        <v>964</v>
      </c>
      <c r="E720">
        <v>-73.961492191640303</v>
      </c>
      <c r="F720" t="s">
        <v>21</v>
      </c>
      <c r="G720">
        <v>4</v>
      </c>
      <c r="H720">
        <v>1</v>
      </c>
      <c r="I720">
        <v>2</v>
      </c>
      <c r="J720">
        <v>2</v>
      </c>
      <c r="K720">
        <v>30</v>
      </c>
      <c r="L720">
        <v>304</v>
      </c>
      <c r="M720">
        <v>3</v>
      </c>
      <c r="N720">
        <v>0.27</v>
      </c>
      <c r="O720">
        <f>IF(F720="Private room",1,0)</f>
        <v>0</v>
      </c>
      <c r="P720">
        <f>IF(C720="Manhattan",4,IF(C720="Brooklyn",2,0))</f>
        <v>2</v>
      </c>
      <c r="Q720" s="2">
        <v>222</v>
      </c>
      <c r="R720" s="1">
        <v>45721</v>
      </c>
      <c r="S720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160.05000000000004</v>
      </c>
    </row>
    <row r="721" spans="1:19" x14ac:dyDescent="0.3">
      <c r="A721" t="s">
        <v>965</v>
      </c>
      <c r="B721" t="s">
        <v>28</v>
      </c>
      <c r="C721" t="s">
        <v>20</v>
      </c>
      <c r="D721" s="3" t="s">
        <v>966</v>
      </c>
      <c r="E721">
        <v>-73.943140103540401</v>
      </c>
      <c r="F721" t="s">
        <v>18</v>
      </c>
      <c r="G721">
        <v>1</v>
      </c>
      <c r="H721">
        <v>1</v>
      </c>
      <c r="I721">
        <v>1</v>
      </c>
      <c r="J721">
        <v>1</v>
      </c>
      <c r="K721">
        <v>30</v>
      </c>
      <c r="L721">
        <v>364</v>
      </c>
      <c r="M721">
        <v>3</v>
      </c>
      <c r="N721">
        <v>0.14000000000000001</v>
      </c>
      <c r="O721">
        <f>IF(F721="Private room",1,0)</f>
        <v>1</v>
      </c>
      <c r="P721">
        <f>IF(C721="Manhattan",4,IF(C721="Brooklyn",2,0))</f>
        <v>4</v>
      </c>
      <c r="Q721" s="2">
        <v>54</v>
      </c>
      <c r="R721" s="1">
        <v>45729</v>
      </c>
      <c r="S721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87.87</v>
      </c>
    </row>
    <row r="722" spans="1:19" x14ac:dyDescent="0.3">
      <c r="A722" t="s">
        <v>967</v>
      </c>
      <c r="B722" t="s">
        <v>196</v>
      </c>
      <c r="C722" t="s">
        <v>17</v>
      </c>
      <c r="D722" s="3" t="s">
        <v>968</v>
      </c>
      <c r="E722">
        <v>-73.871630765497599</v>
      </c>
      <c r="F722" t="s">
        <v>18</v>
      </c>
      <c r="G722">
        <v>2</v>
      </c>
      <c r="H722">
        <v>1</v>
      </c>
      <c r="I722">
        <v>1</v>
      </c>
      <c r="J722">
        <v>1</v>
      </c>
      <c r="K722">
        <v>2</v>
      </c>
      <c r="L722">
        <v>163</v>
      </c>
      <c r="M722">
        <v>53</v>
      </c>
      <c r="N722">
        <v>2.39</v>
      </c>
      <c r="O722">
        <f>IF(F722="Private room",1,0)</f>
        <v>1</v>
      </c>
      <c r="P722">
        <f>IF(C722="Manhattan",4,IF(C722="Brooklyn",2,0))</f>
        <v>2</v>
      </c>
      <c r="Q722" s="2">
        <v>85</v>
      </c>
      <c r="R722" s="1">
        <v>45739</v>
      </c>
      <c r="S722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178.23000000000005</v>
      </c>
    </row>
    <row r="723" spans="1:19" x14ac:dyDescent="0.3">
      <c r="A723" t="s">
        <v>969</v>
      </c>
      <c r="B723" t="s">
        <v>24</v>
      </c>
      <c r="C723" t="s">
        <v>20</v>
      </c>
      <c r="D723" s="3" t="s">
        <v>970</v>
      </c>
      <c r="E723">
        <v>-73.943708853970605</v>
      </c>
      <c r="F723" t="s">
        <v>21</v>
      </c>
      <c r="G723">
        <v>4</v>
      </c>
      <c r="H723">
        <v>1</v>
      </c>
      <c r="I723">
        <v>2</v>
      </c>
      <c r="J723">
        <v>2</v>
      </c>
      <c r="K723">
        <v>30</v>
      </c>
      <c r="L723">
        <v>269</v>
      </c>
      <c r="M723">
        <v>3</v>
      </c>
      <c r="N723">
        <v>0.16</v>
      </c>
      <c r="O723">
        <f>IF(F723="Private room",1,0)</f>
        <v>0</v>
      </c>
      <c r="P723">
        <f>IF(C723="Manhattan",4,IF(C723="Brooklyn",2,0))</f>
        <v>4</v>
      </c>
      <c r="Q723" s="2">
        <v>110</v>
      </c>
      <c r="R723" s="1">
        <v>45729</v>
      </c>
      <c r="S723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191.91000000000003</v>
      </c>
    </row>
    <row r="724" spans="1:19" x14ac:dyDescent="0.3">
      <c r="A724" t="s">
        <v>971</v>
      </c>
      <c r="B724" t="s">
        <v>45</v>
      </c>
      <c r="C724" t="s">
        <v>20</v>
      </c>
      <c r="D724" s="3" t="s">
        <v>972</v>
      </c>
      <c r="E724">
        <v>-74.005361299999905</v>
      </c>
      <c r="F724" t="s">
        <v>21</v>
      </c>
      <c r="G724">
        <v>2</v>
      </c>
      <c r="H724">
        <v>1</v>
      </c>
      <c r="I724">
        <v>0</v>
      </c>
      <c r="J724">
        <v>1</v>
      </c>
      <c r="K724">
        <v>30</v>
      </c>
      <c r="L724">
        <v>345</v>
      </c>
      <c r="M724">
        <v>9</v>
      </c>
      <c r="N724">
        <v>0.52</v>
      </c>
      <c r="O724">
        <f>IF(F724="Private room",1,0)</f>
        <v>0</v>
      </c>
      <c r="P724">
        <f>IF(C724="Manhattan",4,IF(C724="Brooklyn",2,0))</f>
        <v>4</v>
      </c>
      <c r="Q724" s="2">
        <v>192</v>
      </c>
      <c r="R724" s="1">
        <v>45728</v>
      </c>
      <c r="S724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150.91000000000003</v>
      </c>
    </row>
    <row r="725" spans="1:19" x14ac:dyDescent="0.3">
      <c r="A725" t="s">
        <v>973</v>
      </c>
      <c r="B725" t="s">
        <v>36</v>
      </c>
      <c r="C725" t="s">
        <v>20</v>
      </c>
      <c r="D725">
        <v>40.7708224</v>
      </c>
      <c r="E725">
        <v>-73.957562600000003</v>
      </c>
      <c r="F725" t="s">
        <v>21</v>
      </c>
      <c r="G725">
        <v>2</v>
      </c>
      <c r="H725">
        <v>1</v>
      </c>
      <c r="I725">
        <v>0</v>
      </c>
      <c r="J725">
        <v>1</v>
      </c>
      <c r="K725">
        <v>30</v>
      </c>
      <c r="L725">
        <v>260</v>
      </c>
      <c r="M725">
        <v>6</v>
      </c>
      <c r="N725">
        <v>0.42</v>
      </c>
      <c r="O725">
        <f>IF(F725="Private room",1,0)</f>
        <v>0</v>
      </c>
      <c r="P725">
        <f>IF(C725="Manhattan",4,IF(C725="Brooklyn",2,0))</f>
        <v>4</v>
      </c>
      <c r="Q725" s="2">
        <v>118</v>
      </c>
      <c r="R725" s="1">
        <v>45741</v>
      </c>
      <c r="S725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154.31</v>
      </c>
    </row>
    <row r="726" spans="1:19" x14ac:dyDescent="0.3">
      <c r="A726" t="s">
        <v>974</v>
      </c>
      <c r="B726" t="s">
        <v>19</v>
      </c>
      <c r="C726" t="s">
        <v>20</v>
      </c>
      <c r="D726" s="3" t="s">
        <v>975</v>
      </c>
      <c r="E726">
        <v>-73.988705845210902</v>
      </c>
      <c r="F726" t="s">
        <v>21</v>
      </c>
      <c r="G726">
        <v>5</v>
      </c>
      <c r="H726">
        <v>1</v>
      </c>
      <c r="I726">
        <v>1</v>
      </c>
      <c r="J726">
        <v>3</v>
      </c>
      <c r="K726">
        <v>1</v>
      </c>
      <c r="L726">
        <v>290</v>
      </c>
      <c r="M726">
        <v>20</v>
      </c>
      <c r="N726">
        <v>0.89</v>
      </c>
      <c r="O726">
        <f>IF(F726="Private room",1,0)</f>
        <v>0</v>
      </c>
      <c r="P726">
        <f>IF(C726="Manhattan",4,IF(C726="Brooklyn",2,0))</f>
        <v>4</v>
      </c>
      <c r="Q726" s="2">
        <v>264</v>
      </c>
      <c r="R726" s="1">
        <v>45744</v>
      </c>
      <c r="S726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307.2</v>
      </c>
    </row>
    <row r="727" spans="1:19" x14ac:dyDescent="0.3">
      <c r="A727" t="s">
        <v>976</v>
      </c>
      <c r="B727" t="s">
        <v>38</v>
      </c>
      <c r="C727" t="s">
        <v>20</v>
      </c>
      <c r="D727">
        <v>40.759960900000003</v>
      </c>
      <c r="E727">
        <v>-73.990870999999999</v>
      </c>
      <c r="F727" t="s">
        <v>21</v>
      </c>
      <c r="G727">
        <v>1</v>
      </c>
      <c r="H727">
        <v>1</v>
      </c>
      <c r="I727">
        <v>1</v>
      </c>
      <c r="J727">
        <v>1</v>
      </c>
      <c r="K727">
        <v>30</v>
      </c>
      <c r="L727">
        <v>247</v>
      </c>
      <c r="M727">
        <v>2</v>
      </c>
      <c r="N727">
        <v>0.83</v>
      </c>
      <c r="O727">
        <f>IF(F727="Private room",1,0)</f>
        <v>0</v>
      </c>
      <c r="P727">
        <f>IF(C727="Manhattan",4,IF(C727="Brooklyn",2,0))</f>
        <v>4</v>
      </c>
      <c r="Q727" s="2">
        <v>53</v>
      </c>
      <c r="R727" s="1">
        <v>45747</v>
      </c>
      <c r="S727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135.85000000000002</v>
      </c>
    </row>
    <row r="728" spans="1:19" x14ac:dyDescent="0.3">
      <c r="A728" t="s">
        <v>977</v>
      </c>
      <c r="B728" t="s">
        <v>131</v>
      </c>
      <c r="C728" t="s">
        <v>20</v>
      </c>
      <c r="D728">
        <v>40.704644500000001</v>
      </c>
      <c r="E728">
        <v>-74.010319299999907</v>
      </c>
      <c r="F728" t="s">
        <v>18</v>
      </c>
      <c r="G728">
        <v>5</v>
      </c>
      <c r="H728">
        <v>1</v>
      </c>
      <c r="I728">
        <v>1</v>
      </c>
      <c r="J728">
        <v>3</v>
      </c>
      <c r="K728">
        <v>1</v>
      </c>
      <c r="L728">
        <v>73</v>
      </c>
      <c r="M728">
        <v>62</v>
      </c>
      <c r="N728">
        <v>2.94</v>
      </c>
      <c r="O728">
        <f>IF(F728="Private room",1,0)</f>
        <v>1</v>
      </c>
      <c r="P728">
        <f>IF(C728="Manhattan",4,IF(C728="Brooklyn",2,0))</f>
        <v>4</v>
      </c>
      <c r="Q728" s="2">
        <v>412</v>
      </c>
      <c r="R728" s="1">
        <v>45744</v>
      </c>
      <c r="S728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272.58000000000004</v>
      </c>
    </row>
    <row r="729" spans="1:19" x14ac:dyDescent="0.3">
      <c r="A729" t="s">
        <v>978</v>
      </c>
      <c r="B729" t="s">
        <v>85</v>
      </c>
      <c r="C729" t="s">
        <v>20</v>
      </c>
      <c r="D729">
        <v>40.718910000000001</v>
      </c>
      <c r="E729">
        <v>-73.996070000000003</v>
      </c>
      <c r="F729" t="s">
        <v>21</v>
      </c>
      <c r="G729">
        <v>2</v>
      </c>
      <c r="H729">
        <v>1</v>
      </c>
      <c r="I729">
        <v>1</v>
      </c>
      <c r="J729">
        <v>1</v>
      </c>
      <c r="K729">
        <v>30</v>
      </c>
      <c r="L729">
        <v>223</v>
      </c>
      <c r="M729">
        <v>2</v>
      </c>
      <c r="N729">
        <v>0.28000000000000003</v>
      </c>
      <c r="O729">
        <f>IF(F729="Private room",1,0)</f>
        <v>0</v>
      </c>
      <c r="P729">
        <f>IF(C729="Manhattan",4,IF(C729="Brooklyn",2,0))</f>
        <v>4</v>
      </c>
      <c r="Q729" s="2">
        <v>150</v>
      </c>
      <c r="R729" s="1">
        <v>45746</v>
      </c>
      <c r="S729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155.79000000000002</v>
      </c>
    </row>
    <row r="730" spans="1:19" x14ac:dyDescent="0.3">
      <c r="A730" t="s">
        <v>979</v>
      </c>
      <c r="B730" t="s">
        <v>142</v>
      </c>
      <c r="C730" t="s">
        <v>17</v>
      </c>
      <c r="D730" s="3" t="s">
        <v>980</v>
      </c>
      <c r="E730">
        <v>-73.926041857262106</v>
      </c>
      <c r="F730" t="s">
        <v>21</v>
      </c>
      <c r="G730">
        <v>4</v>
      </c>
      <c r="H730">
        <v>1</v>
      </c>
      <c r="I730">
        <v>2</v>
      </c>
      <c r="J730">
        <v>2</v>
      </c>
      <c r="K730">
        <v>30</v>
      </c>
      <c r="L730">
        <v>151</v>
      </c>
      <c r="M730">
        <v>28</v>
      </c>
      <c r="N730">
        <v>1.28</v>
      </c>
      <c r="O730">
        <f>IF(F730="Private room",1,0)</f>
        <v>0</v>
      </c>
      <c r="P730">
        <f>IF(C730="Manhattan",4,IF(C730="Brooklyn",2,0))</f>
        <v>2</v>
      </c>
      <c r="Q730" s="2">
        <v>99</v>
      </c>
      <c r="R730" s="1">
        <v>45723</v>
      </c>
      <c r="S730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166.17000000000004</v>
      </c>
    </row>
    <row r="731" spans="1:19" x14ac:dyDescent="0.3">
      <c r="A731" t="s">
        <v>981</v>
      </c>
      <c r="B731" t="s">
        <v>27</v>
      </c>
      <c r="C731" t="s">
        <v>17</v>
      </c>
      <c r="D731" s="3" t="s">
        <v>982</v>
      </c>
      <c r="E731">
        <v>-73.952988258065602</v>
      </c>
      <c r="F731" t="s">
        <v>21</v>
      </c>
      <c r="G731">
        <v>3</v>
      </c>
      <c r="H731">
        <v>1.5</v>
      </c>
      <c r="I731">
        <v>1</v>
      </c>
      <c r="J731">
        <v>2</v>
      </c>
      <c r="K731">
        <v>30</v>
      </c>
      <c r="L731">
        <v>137</v>
      </c>
      <c r="M731">
        <v>6</v>
      </c>
      <c r="N731">
        <v>0.28999999999999998</v>
      </c>
      <c r="O731">
        <f>IF(F731="Private room",1,0)</f>
        <v>0</v>
      </c>
      <c r="P731">
        <f>IF(C731="Manhattan",4,IF(C731="Brooklyn",2,0))</f>
        <v>2</v>
      </c>
      <c r="Q731" s="2">
        <v>131</v>
      </c>
      <c r="R731" s="1">
        <v>45740</v>
      </c>
      <c r="S731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153.36000000000001</v>
      </c>
    </row>
    <row r="732" spans="1:19" x14ac:dyDescent="0.3">
      <c r="A732" t="s">
        <v>983</v>
      </c>
      <c r="B732" t="s">
        <v>19</v>
      </c>
      <c r="C732" t="s">
        <v>20</v>
      </c>
      <c r="D732">
        <v>40.746279999999999</v>
      </c>
      <c r="E732">
        <v>-73.988209999999995</v>
      </c>
      <c r="F732" t="s">
        <v>21</v>
      </c>
      <c r="G732">
        <v>5</v>
      </c>
      <c r="H732">
        <v>1</v>
      </c>
      <c r="I732">
        <v>1</v>
      </c>
      <c r="J732">
        <v>3</v>
      </c>
      <c r="K732">
        <v>1</v>
      </c>
      <c r="L732">
        <v>242</v>
      </c>
      <c r="M732">
        <v>26</v>
      </c>
      <c r="N732">
        <v>1.29</v>
      </c>
      <c r="O732">
        <f>IF(F732="Private room",1,0)</f>
        <v>0</v>
      </c>
      <c r="P732">
        <f>IF(C732="Manhattan",4,IF(C732="Brooklyn",2,0))</f>
        <v>4</v>
      </c>
      <c r="Q732" s="2">
        <v>296</v>
      </c>
      <c r="R732" s="1">
        <v>45719</v>
      </c>
      <c r="S732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309.12</v>
      </c>
    </row>
    <row r="733" spans="1:19" x14ac:dyDescent="0.3">
      <c r="A733" t="s">
        <v>984</v>
      </c>
      <c r="B733" t="s">
        <v>272</v>
      </c>
      <c r="C733" t="s">
        <v>91</v>
      </c>
      <c r="D733">
        <v>40.582840027981298</v>
      </c>
      <c r="E733">
        <v>-74.082380641192998</v>
      </c>
      <c r="F733" t="s">
        <v>21</v>
      </c>
      <c r="G733">
        <v>2</v>
      </c>
      <c r="H733">
        <v>1</v>
      </c>
      <c r="I733">
        <v>1</v>
      </c>
      <c r="J733">
        <v>2</v>
      </c>
      <c r="K733">
        <v>30</v>
      </c>
      <c r="L733">
        <v>240</v>
      </c>
      <c r="M733">
        <v>6</v>
      </c>
      <c r="N733">
        <v>0.36</v>
      </c>
      <c r="O733">
        <f>IF(F733="Private room",1,0)</f>
        <v>0</v>
      </c>
      <c r="P733">
        <f>IF(C733="Manhattan",4,IF(C733="Brooklyn",2,0))</f>
        <v>0</v>
      </c>
      <c r="Q733" s="2">
        <v>109</v>
      </c>
      <c r="R733" s="1">
        <v>45747</v>
      </c>
      <c r="S733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94.190000000000026</v>
      </c>
    </row>
    <row r="734" spans="1:19" x14ac:dyDescent="0.3">
      <c r="A734" t="s">
        <v>985</v>
      </c>
      <c r="B734" t="s">
        <v>49</v>
      </c>
      <c r="C734" t="s">
        <v>20</v>
      </c>
      <c r="D734" s="3" t="s">
        <v>986</v>
      </c>
      <c r="E734">
        <v>-73.978966037735603</v>
      </c>
      <c r="F734" t="s">
        <v>21</v>
      </c>
      <c r="G734">
        <v>3</v>
      </c>
      <c r="H734">
        <v>1</v>
      </c>
      <c r="I734">
        <v>1</v>
      </c>
      <c r="J734">
        <v>1</v>
      </c>
      <c r="K734">
        <v>30</v>
      </c>
      <c r="L734">
        <v>236</v>
      </c>
      <c r="M734">
        <v>2</v>
      </c>
      <c r="N734">
        <v>0.33</v>
      </c>
      <c r="O734">
        <f>IF(F734="Private room",1,0)</f>
        <v>0</v>
      </c>
      <c r="P734">
        <f>IF(C734="Manhattan",4,IF(C734="Brooklyn",2,0))</f>
        <v>4</v>
      </c>
      <c r="Q734" s="2">
        <v>175</v>
      </c>
      <c r="R734" s="1">
        <v>45719</v>
      </c>
      <c r="S734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174.25</v>
      </c>
    </row>
    <row r="735" spans="1:19" x14ac:dyDescent="0.3">
      <c r="A735" t="s">
        <v>987</v>
      </c>
      <c r="B735" t="s">
        <v>23</v>
      </c>
      <c r="C735" t="s">
        <v>17</v>
      </c>
      <c r="D735" s="3" t="s">
        <v>988</v>
      </c>
      <c r="E735">
        <v>-73.950715791614797</v>
      </c>
      <c r="F735" t="s">
        <v>21</v>
      </c>
      <c r="G735">
        <v>2</v>
      </c>
      <c r="H735">
        <v>1</v>
      </c>
      <c r="I735">
        <v>2</v>
      </c>
      <c r="J735">
        <v>1</v>
      </c>
      <c r="K735">
        <v>30</v>
      </c>
      <c r="L735">
        <v>39</v>
      </c>
      <c r="M735">
        <v>10</v>
      </c>
      <c r="N735">
        <v>0.5</v>
      </c>
      <c r="O735">
        <f>IF(F735="Private room",1,0)</f>
        <v>0</v>
      </c>
      <c r="P735">
        <f>IF(C735="Manhattan",4,IF(C735="Brooklyn",2,0))</f>
        <v>2</v>
      </c>
      <c r="Q735" s="2">
        <v>240</v>
      </c>
      <c r="R735" s="1">
        <v>45732</v>
      </c>
      <c r="S735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132.69000000000003</v>
      </c>
    </row>
    <row r="736" spans="1:19" x14ac:dyDescent="0.3">
      <c r="A736" t="s">
        <v>989</v>
      </c>
      <c r="B736" t="s">
        <v>278</v>
      </c>
      <c r="C736" t="s">
        <v>17</v>
      </c>
      <c r="D736">
        <v>40.625140000000002</v>
      </c>
      <c r="E736">
        <v>-74.0047</v>
      </c>
      <c r="F736" t="s">
        <v>18</v>
      </c>
      <c r="G736">
        <v>2</v>
      </c>
      <c r="H736">
        <v>1</v>
      </c>
      <c r="I736">
        <v>1</v>
      </c>
      <c r="J736">
        <v>1</v>
      </c>
      <c r="K736">
        <v>30</v>
      </c>
      <c r="L736">
        <v>107</v>
      </c>
      <c r="M736">
        <v>20</v>
      </c>
      <c r="N736">
        <v>0.96</v>
      </c>
      <c r="O736">
        <f>IF(F736="Private room",1,0)</f>
        <v>1</v>
      </c>
      <c r="P736">
        <f>IF(C736="Manhattan",4,IF(C736="Brooklyn",2,0))</f>
        <v>2</v>
      </c>
      <c r="Q736" s="2">
        <v>77</v>
      </c>
      <c r="R736" s="1">
        <v>45741</v>
      </c>
      <c r="S736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86.670000000000016</v>
      </c>
    </row>
    <row r="737" spans="1:19" x14ac:dyDescent="0.3">
      <c r="A737" t="s">
        <v>990</v>
      </c>
      <c r="B737" t="s">
        <v>278</v>
      </c>
      <c r="C737" t="s">
        <v>17</v>
      </c>
      <c r="D737" s="3" t="s">
        <v>991</v>
      </c>
      <c r="E737">
        <v>-74.0028086937631</v>
      </c>
      <c r="F737" t="s">
        <v>18</v>
      </c>
      <c r="G737">
        <v>2</v>
      </c>
      <c r="H737">
        <v>1</v>
      </c>
      <c r="I737">
        <v>1</v>
      </c>
      <c r="J737">
        <v>1</v>
      </c>
      <c r="K737">
        <v>30</v>
      </c>
      <c r="L737">
        <v>213</v>
      </c>
      <c r="M737">
        <v>13</v>
      </c>
      <c r="N737">
        <v>0.62</v>
      </c>
      <c r="O737">
        <f>IF(F737="Private room",1,0)</f>
        <v>1</v>
      </c>
      <c r="P737">
        <f>IF(C737="Manhattan",4,IF(C737="Brooklyn",2,0))</f>
        <v>2</v>
      </c>
      <c r="Q737" s="2">
        <v>81</v>
      </c>
      <c r="R737" s="1">
        <v>45747</v>
      </c>
      <c r="S737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82.430000000000035</v>
      </c>
    </row>
    <row r="738" spans="1:19" x14ac:dyDescent="0.3">
      <c r="A738" t="s">
        <v>992</v>
      </c>
      <c r="B738" t="s">
        <v>205</v>
      </c>
      <c r="C738" t="s">
        <v>17</v>
      </c>
      <c r="D738">
        <v>40.666459099999997</v>
      </c>
      <c r="E738">
        <v>-73.920424599999905</v>
      </c>
      <c r="F738" t="s">
        <v>21</v>
      </c>
      <c r="G738">
        <v>4</v>
      </c>
      <c r="H738">
        <v>1</v>
      </c>
      <c r="I738">
        <v>2</v>
      </c>
      <c r="J738">
        <v>2</v>
      </c>
      <c r="K738">
        <v>30</v>
      </c>
      <c r="L738">
        <v>285</v>
      </c>
      <c r="M738">
        <v>34</v>
      </c>
      <c r="N738">
        <v>1.6</v>
      </c>
      <c r="O738">
        <f>IF(F738="Private room",1,0)</f>
        <v>0</v>
      </c>
      <c r="P738">
        <f>IF(C738="Manhattan",4,IF(C738="Brooklyn",2,0))</f>
        <v>2</v>
      </c>
      <c r="Q738" s="2">
        <v>90</v>
      </c>
      <c r="R738" s="1">
        <v>45739</v>
      </c>
      <c r="S738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160.81000000000003</v>
      </c>
    </row>
    <row r="739" spans="1:19" x14ac:dyDescent="0.3">
      <c r="A739" t="s">
        <v>993</v>
      </c>
      <c r="B739" t="s">
        <v>19</v>
      </c>
      <c r="C739" t="s">
        <v>20</v>
      </c>
      <c r="D739">
        <v>40.746393500000003</v>
      </c>
      <c r="E739">
        <v>-73.986457799999997</v>
      </c>
      <c r="F739" t="s">
        <v>21</v>
      </c>
      <c r="G739">
        <v>2</v>
      </c>
      <c r="H739">
        <v>1</v>
      </c>
      <c r="I739">
        <v>1</v>
      </c>
      <c r="J739">
        <v>1</v>
      </c>
      <c r="K739">
        <v>30</v>
      </c>
      <c r="L739">
        <v>337</v>
      </c>
      <c r="M739">
        <v>2</v>
      </c>
      <c r="N739">
        <v>0.8</v>
      </c>
      <c r="O739">
        <f>IF(F739="Private room",1,0)</f>
        <v>0</v>
      </c>
      <c r="P739">
        <f>IF(C739="Manhattan",4,IF(C739="Brooklyn",2,0))</f>
        <v>4</v>
      </c>
      <c r="Q739" s="2">
        <v>146</v>
      </c>
      <c r="R739" s="1">
        <v>45746</v>
      </c>
      <c r="S739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151.23000000000002</v>
      </c>
    </row>
    <row r="740" spans="1:19" x14ac:dyDescent="0.3">
      <c r="A740" t="s">
        <v>994</v>
      </c>
      <c r="B740" t="s">
        <v>19</v>
      </c>
      <c r="C740" t="s">
        <v>20</v>
      </c>
      <c r="D740">
        <v>40.746393500000003</v>
      </c>
      <c r="E740">
        <v>-73.986457799999997</v>
      </c>
      <c r="F740" t="s">
        <v>21</v>
      </c>
      <c r="G740">
        <v>2</v>
      </c>
      <c r="H740">
        <v>1</v>
      </c>
      <c r="I740">
        <v>1</v>
      </c>
      <c r="J740">
        <v>1</v>
      </c>
      <c r="K740">
        <v>30</v>
      </c>
      <c r="L740">
        <v>310</v>
      </c>
      <c r="M740">
        <v>2</v>
      </c>
      <c r="N740">
        <v>0.49</v>
      </c>
      <c r="O740">
        <f>IF(F740="Private room",1,0)</f>
        <v>0</v>
      </c>
      <c r="P740">
        <f>IF(C740="Manhattan",4,IF(C740="Brooklyn",2,0))</f>
        <v>4</v>
      </c>
      <c r="Q740" s="2">
        <v>150</v>
      </c>
      <c r="R740" s="1">
        <v>45725</v>
      </c>
      <c r="S740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152.31</v>
      </c>
    </row>
    <row r="741" spans="1:19" x14ac:dyDescent="0.3">
      <c r="A741" t="s">
        <v>995</v>
      </c>
      <c r="B741" t="s">
        <v>36</v>
      </c>
      <c r="C741" t="s">
        <v>20</v>
      </c>
      <c r="D741" s="3" t="s">
        <v>996</v>
      </c>
      <c r="E741">
        <v>-73.945037768136899</v>
      </c>
      <c r="F741" t="s">
        <v>21</v>
      </c>
      <c r="G741">
        <v>8</v>
      </c>
      <c r="H741">
        <v>2</v>
      </c>
      <c r="I741">
        <v>4</v>
      </c>
      <c r="J741">
        <v>4</v>
      </c>
      <c r="K741">
        <v>30</v>
      </c>
      <c r="L741">
        <v>43</v>
      </c>
      <c r="M741">
        <v>4</v>
      </c>
      <c r="N741">
        <v>0.21</v>
      </c>
      <c r="O741">
        <f>IF(F741="Private room",1,0)</f>
        <v>0</v>
      </c>
      <c r="P741">
        <f>IF(C741="Manhattan",4,IF(C741="Brooklyn",2,0))</f>
        <v>4</v>
      </c>
      <c r="Q741" s="2">
        <v>200</v>
      </c>
      <c r="R741" s="1">
        <v>45722</v>
      </c>
      <c r="S741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288.09000000000003</v>
      </c>
    </row>
    <row r="742" spans="1:19" x14ac:dyDescent="0.3">
      <c r="A742" t="s">
        <v>997</v>
      </c>
      <c r="B742" t="s">
        <v>19</v>
      </c>
      <c r="C742" t="s">
        <v>20</v>
      </c>
      <c r="D742">
        <v>40.746393500000003</v>
      </c>
      <c r="E742">
        <v>-73.986457799999997</v>
      </c>
      <c r="F742" t="s">
        <v>21</v>
      </c>
      <c r="G742">
        <v>2</v>
      </c>
      <c r="H742">
        <v>1</v>
      </c>
      <c r="I742">
        <v>1</v>
      </c>
      <c r="J742">
        <v>1</v>
      </c>
      <c r="K742">
        <v>30</v>
      </c>
      <c r="L742">
        <v>329</v>
      </c>
      <c r="M742">
        <v>1</v>
      </c>
      <c r="N742">
        <v>0.68</v>
      </c>
      <c r="O742">
        <f>IF(F742="Private room",1,0)</f>
        <v>0</v>
      </c>
      <c r="P742">
        <f>IF(C742="Manhattan",4,IF(C742="Brooklyn",2,0))</f>
        <v>4</v>
      </c>
      <c r="Q742" s="2">
        <v>88</v>
      </c>
      <c r="R742" s="1">
        <v>45736</v>
      </c>
      <c r="S742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151.55000000000001</v>
      </c>
    </row>
    <row r="743" spans="1:19" x14ac:dyDescent="0.3">
      <c r="A743" t="s">
        <v>998</v>
      </c>
      <c r="B743" t="s">
        <v>19</v>
      </c>
      <c r="C743" t="s">
        <v>20</v>
      </c>
      <c r="D743">
        <v>40.746383100000003</v>
      </c>
      <c r="E743">
        <v>-73.986426799999904</v>
      </c>
      <c r="F743" t="s">
        <v>21</v>
      </c>
      <c r="G743">
        <v>2</v>
      </c>
      <c r="H743">
        <v>1</v>
      </c>
      <c r="I743">
        <v>1</v>
      </c>
      <c r="J743">
        <v>1</v>
      </c>
      <c r="K743">
        <v>30</v>
      </c>
      <c r="L743">
        <v>189</v>
      </c>
      <c r="M743">
        <v>3</v>
      </c>
      <c r="N743">
        <v>0.86</v>
      </c>
      <c r="O743">
        <f>IF(F743="Private room",1,0)</f>
        <v>0</v>
      </c>
      <c r="P743">
        <f>IF(C743="Manhattan",4,IF(C743="Brooklyn",2,0))</f>
        <v>4</v>
      </c>
      <c r="Q743" s="2">
        <v>140</v>
      </c>
      <c r="R743" s="1">
        <v>45740</v>
      </c>
      <c r="S743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157.15000000000003</v>
      </c>
    </row>
    <row r="744" spans="1:19" x14ac:dyDescent="0.3">
      <c r="A744" t="s">
        <v>999</v>
      </c>
      <c r="B744" t="s">
        <v>19</v>
      </c>
      <c r="C744" t="s">
        <v>20</v>
      </c>
      <c r="D744">
        <v>40.746393500000003</v>
      </c>
      <c r="E744">
        <v>-73.986457799999997</v>
      </c>
      <c r="F744" t="s">
        <v>21</v>
      </c>
      <c r="G744">
        <v>2</v>
      </c>
      <c r="H744">
        <v>1</v>
      </c>
      <c r="I744">
        <v>1</v>
      </c>
      <c r="J744">
        <v>1</v>
      </c>
      <c r="K744">
        <v>30</v>
      </c>
      <c r="L744">
        <v>337</v>
      </c>
      <c r="M744">
        <v>1</v>
      </c>
      <c r="N744">
        <v>0.91</v>
      </c>
      <c r="O744">
        <f>IF(F744="Private room",1,0)</f>
        <v>0</v>
      </c>
      <c r="P744">
        <f>IF(C744="Manhattan",4,IF(C744="Brooklyn",2,0))</f>
        <v>4</v>
      </c>
      <c r="Q744" s="2">
        <v>112</v>
      </c>
      <c r="R744" s="1">
        <v>45747</v>
      </c>
      <c r="S744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151.23000000000002</v>
      </c>
    </row>
    <row r="745" spans="1:19" x14ac:dyDescent="0.3">
      <c r="A745" t="s">
        <v>1000</v>
      </c>
      <c r="B745" t="s">
        <v>53</v>
      </c>
      <c r="C745" t="s">
        <v>20</v>
      </c>
      <c r="D745" s="3" t="s">
        <v>1001</v>
      </c>
      <c r="E745">
        <v>-73.965923820440693</v>
      </c>
      <c r="F745" t="s">
        <v>18</v>
      </c>
      <c r="G745">
        <v>2</v>
      </c>
      <c r="H745">
        <v>2</v>
      </c>
      <c r="I745">
        <v>1</v>
      </c>
      <c r="J745">
        <v>1</v>
      </c>
      <c r="K745">
        <v>2</v>
      </c>
      <c r="L745">
        <v>237</v>
      </c>
      <c r="M745">
        <v>47</v>
      </c>
      <c r="N745">
        <v>3.58</v>
      </c>
      <c r="O745">
        <f>IF(F745="Private room",1,0)</f>
        <v>1</v>
      </c>
      <c r="P745">
        <f>IF(C745="Manhattan",4,IF(C745="Brooklyn",2,0))</f>
        <v>4</v>
      </c>
      <c r="Q745" s="2">
        <v>147</v>
      </c>
      <c r="R745" s="1">
        <v>45736</v>
      </c>
      <c r="S745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216.95000000000005</v>
      </c>
    </row>
    <row r="746" spans="1:19" x14ac:dyDescent="0.3">
      <c r="A746" t="s">
        <v>1002</v>
      </c>
      <c r="B746" t="s">
        <v>19</v>
      </c>
      <c r="C746" t="s">
        <v>20</v>
      </c>
      <c r="D746">
        <v>40.752839999999999</v>
      </c>
      <c r="E746">
        <v>-73.971850000000003</v>
      </c>
      <c r="F746" t="s">
        <v>18</v>
      </c>
      <c r="G746">
        <v>4</v>
      </c>
      <c r="H746">
        <v>1</v>
      </c>
      <c r="I746">
        <v>1</v>
      </c>
      <c r="J746">
        <v>2</v>
      </c>
      <c r="K746">
        <v>1</v>
      </c>
      <c r="L746">
        <v>314</v>
      </c>
      <c r="M746">
        <v>13</v>
      </c>
      <c r="N746">
        <v>0.73</v>
      </c>
      <c r="O746">
        <f>IF(F746="Private room",1,0)</f>
        <v>1</v>
      </c>
      <c r="P746">
        <f>IF(C746="Manhattan",4,IF(C746="Brooklyn",2,0))</f>
        <v>4</v>
      </c>
      <c r="Q746" s="2">
        <v>442</v>
      </c>
      <c r="R746" s="1">
        <v>45724</v>
      </c>
      <c r="S746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243.96000000000004</v>
      </c>
    </row>
    <row r="747" spans="1:19" x14ac:dyDescent="0.3">
      <c r="A747" t="s">
        <v>1003</v>
      </c>
      <c r="B747" t="s">
        <v>19</v>
      </c>
      <c r="C747" t="s">
        <v>20</v>
      </c>
      <c r="D747">
        <v>40.75553</v>
      </c>
      <c r="E747">
        <v>-73.982990000000001</v>
      </c>
      <c r="F747" t="s">
        <v>21</v>
      </c>
      <c r="G747">
        <v>4</v>
      </c>
      <c r="H747">
        <v>1</v>
      </c>
      <c r="I747">
        <v>2</v>
      </c>
      <c r="J747">
        <v>2</v>
      </c>
      <c r="K747">
        <v>30</v>
      </c>
      <c r="L747">
        <v>184</v>
      </c>
      <c r="M747">
        <v>1</v>
      </c>
      <c r="N747">
        <v>0.71</v>
      </c>
      <c r="O747">
        <f>IF(F747="Private room",1,0)</f>
        <v>0</v>
      </c>
      <c r="P747">
        <f>IF(C747="Manhattan",4,IF(C747="Brooklyn",2,0))</f>
        <v>4</v>
      </c>
      <c r="Q747" s="2">
        <v>288</v>
      </c>
      <c r="R747" s="1">
        <v>45738</v>
      </c>
      <c r="S747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195.31</v>
      </c>
    </row>
    <row r="748" spans="1:19" x14ac:dyDescent="0.3">
      <c r="A748" t="s">
        <v>1004</v>
      </c>
      <c r="B748" t="s">
        <v>23</v>
      </c>
      <c r="C748" t="s">
        <v>17</v>
      </c>
      <c r="D748">
        <v>40.718240000000002</v>
      </c>
      <c r="E748">
        <v>-73.942149999999998</v>
      </c>
      <c r="F748" t="s">
        <v>21</v>
      </c>
      <c r="G748">
        <v>3</v>
      </c>
      <c r="H748">
        <v>1</v>
      </c>
      <c r="I748">
        <v>1</v>
      </c>
      <c r="J748">
        <v>1</v>
      </c>
      <c r="K748">
        <v>30</v>
      </c>
      <c r="L748">
        <v>184</v>
      </c>
      <c r="M748">
        <v>6</v>
      </c>
      <c r="N748">
        <v>0.45</v>
      </c>
      <c r="O748">
        <f>IF(F748="Private room",1,0)</f>
        <v>0</v>
      </c>
      <c r="P748">
        <f>IF(C748="Manhattan",4,IF(C748="Brooklyn",2,0))</f>
        <v>2</v>
      </c>
      <c r="Q748" s="2">
        <v>201</v>
      </c>
      <c r="R748" s="1">
        <v>45717</v>
      </c>
      <c r="S748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145.87</v>
      </c>
    </row>
    <row r="749" spans="1:19" x14ac:dyDescent="0.3">
      <c r="A749" t="s">
        <v>1005</v>
      </c>
      <c r="B749" t="s">
        <v>27</v>
      </c>
      <c r="C749" t="s">
        <v>17</v>
      </c>
      <c r="D749" s="3" t="s">
        <v>1006</v>
      </c>
      <c r="E749">
        <v>-73.947090846306693</v>
      </c>
      <c r="F749" t="s">
        <v>18</v>
      </c>
      <c r="G749">
        <v>2</v>
      </c>
      <c r="H749">
        <v>2</v>
      </c>
      <c r="I749">
        <v>1</v>
      </c>
      <c r="J749">
        <v>1</v>
      </c>
      <c r="K749">
        <v>30</v>
      </c>
      <c r="L749">
        <v>82</v>
      </c>
      <c r="M749">
        <v>10</v>
      </c>
      <c r="N749">
        <v>0.54</v>
      </c>
      <c r="O749">
        <f>IF(F749="Private room",1,0)</f>
        <v>1</v>
      </c>
      <c r="P749">
        <f>IF(C749="Manhattan",4,IF(C749="Brooklyn",2,0))</f>
        <v>2</v>
      </c>
      <c r="Q749" s="2">
        <v>52</v>
      </c>
      <c r="R749" s="1">
        <v>45719</v>
      </c>
      <c r="S749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98.890000000000015</v>
      </c>
    </row>
    <row r="750" spans="1:19" x14ac:dyDescent="0.3">
      <c r="A750" t="s">
        <v>1007</v>
      </c>
      <c r="B750" t="s">
        <v>296</v>
      </c>
      <c r="C750" t="s">
        <v>17</v>
      </c>
      <c r="D750" s="3" t="s">
        <v>1008</v>
      </c>
      <c r="E750">
        <v>-74.007609641071298</v>
      </c>
      <c r="F750" t="s">
        <v>18</v>
      </c>
      <c r="G750">
        <v>2</v>
      </c>
      <c r="H750">
        <v>1</v>
      </c>
      <c r="I750">
        <v>1</v>
      </c>
      <c r="J750">
        <v>1</v>
      </c>
      <c r="K750">
        <v>1</v>
      </c>
      <c r="L750">
        <v>223</v>
      </c>
      <c r="M750">
        <v>27</v>
      </c>
      <c r="N750">
        <v>1.32</v>
      </c>
      <c r="O750">
        <f>IF(F750="Private room",1,0)</f>
        <v>1</v>
      </c>
      <c r="P750">
        <f>IF(C750="Manhattan",4,IF(C750="Brooklyn",2,0))</f>
        <v>2</v>
      </c>
      <c r="Q750" s="2">
        <v>90</v>
      </c>
      <c r="R750" s="1">
        <v>45747</v>
      </c>
      <c r="S750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179.18000000000004</v>
      </c>
    </row>
    <row r="751" spans="1:19" x14ac:dyDescent="0.3">
      <c r="A751" t="s">
        <v>1009</v>
      </c>
      <c r="B751" t="s">
        <v>19</v>
      </c>
      <c r="C751" t="s">
        <v>20</v>
      </c>
      <c r="D751" s="3" t="s">
        <v>1010</v>
      </c>
      <c r="E751">
        <v>-73.988983738494895</v>
      </c>
      <c r="F751" t="s">
        <v>18</v>
      </c>
      <c r="G751">
        <v>3</v>
      </c>
      <c r="H751">
        <v>2</v>
      </c>
      <c r="I751">
        <v>1</v>
      </c>
      <c r="J751">
        <v>2</v>
      </c>
      <c r="K751">
        <v>1</v>
      </c>
      <c r="L751">
        <v>291</v>
      </c>
      <c r="M751">
        <v>29</v>
      </c>
      <c r="N751">
        <v>1.49</v>
      </c>
      <c r="O751">
        <f>IF(F751="Private room",1,0)</f>
        <v>1</v>
      </c>
      <c r="P751">
        <f>IF(C751="Manhattan",4,IF(C751="Brooklyn",2,0))</f>
        <v>4</v>
      </c>
      <c r="Q751" s="2">
        <v>192</v>
      </c>
      <c r="R751" s="1">
        <v>45747</v>
      </c>
      <c r="S751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237.12</v>
      </c>
    </row>
    <row r="752" spans="1:19" x14ac:dyDescent="0.3">
      <c r="A752" t="s">
        <v>1011</v>
      </c>
      <c r="B752" t="s">
        <v>129</v>
      </c>
      <c r="C752" t="s">
        <v>31</v>
      </c>
      <c r="D752">
        <v>40.818489999999997</v>
      </c>
      <c r="E752">
        <v>-73.908479999999997</v>
      </c>
      <c r="F752" t="s">
        <v>18</v>
      </c>
      <c r="G752">
        <v>2</v>
      </c>
      <c r="H752">
        <v>1</v>
      </c>
      <c r="I752">
        <v>1</v>
      </c>
      <c r="J752">
        <v>2</v>
      </c>
      <c r="K752">
        <v>2</v>
      </c>
      <c r="L752">
        <v>189</v>
      </c>
      <c r="M752">
        <v>25</v>
      </c>
      <c r="N752">
        <v>3.36</v>
      </c>
      <c r="O752">
        <f>IF(F752="Private room",1,0)</f>
        <v>1</v>
      </c>
      <c r="P752">
        <f>IF(C752="Manhattan",4,IF(C752="Brooklyn",2,0))</f>
        <v>0</v>
      </c>
      <c r="Q752" s="2">
        <v>116</v>
      </c>
      <c r="R752" s="1">
        <v>45746</v>
      </c>
      <c r="S752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146.73000000000002</v>
      </c>
    </row>
    <row r="753" spans="1:19" x14ac:dyDescent="0.3">
      <c r="A753" t="s">
        <v>1012</v>
      </c>
      <c r="B753" t="s">
        <v>178</v>
      </c>
      <c r="C753" t="s">
        <v>30</v>
      </c>
      <c r="D753" s="3" t="s">
        <v>1013</v>
      </c>
      <c r="E753">
        <v>-73.730316032866398</v>
      </c>
      <c r="F753" t="s">
        <v>21</v>
      </c>
      <c r="G753">
        <v>2</v>
      </c>
      <c r="H753">
        <v>1</v>
      </c>
      <c r="I753">
        <v>1</v>
      </c>
      <c r="J753">
        <v>1</v>
      </c>
      <c r="K753">
        <v>1</v>
      </c>
      <c r="L753">
        <v>257</v>
      </c>
      <c r="M753">
        <v>48</v>
      </c>
      <c r="N753">
        <v>3.63</v>
      </c>
      <c r="O753">
        <f>IF(F753="Private room",1,0)</f>
        <v>0</v>
      </c>
      <c r="P753">
        <f>IF(C753="Manhattan",4,IF(C753="Brooklyn",2,0))</f>
        <v>0</v>
      </c>
      <c r="Q753" s="2">
        <v>127</v>
      </c>
      <c r="R753" s="1">
        <v>45730</v>
      </c>
      <c r="S753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190.66000000000003</v>
      </c>
    </row>
    <row r="754" spans="1:19" x14ac:dyDescent="0.3">
      <c r="A754" t="s">
        <v>1014</v>
      </c>
      <c r="B754" t="s">
        <v>38</v>
      </c>
      <c r="C754" t="s">
        <v>20</v>
      </c>
      <c r="D754" s="3" t="s">
        <v>1015</v>
      </c>
      <c r="E754">
        <v>-73.990803415343805</v>
      </c>
      <c r="F754" t="s">
        <v>18</v>
      </c>
      <c r="G754">
        <v>1</v>
      </c>
      <c r="H754">
        <v>1</v>
      </c>
      <c r="I754">
        <v>1</v>
      </c>
      <c r="J754">
        <v>1</v>
      </c>
      <c r="K754">
        <v>30</v>
      </c>
      <c r="L754">
        <v>175</v>
      </c>
      <c r="M754">
        <v>7</v>
      </c>
      <c r="N754">
        <v>0.4</v>
      </c>
      <c r="O754">
        <f>IF(F754="Private room",1,0)</f>
        <v>1</v>
      </c>
      <c r="P754">
        <f>IF(C754="Manhattan",4,IF(C754="Brooklyn",2,0))</f>
        <v>4</v>
      </c>
      <c r="Q754" s="2">
        <v>85</v>
      </c>
      <c r="R754" s="1">
        <v>45745</v>
      </c>
      <c r="S754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95.43</v>
      </c>
    </row>
    <row r="755" spans="1:19" x14ac:dyDescent="0.3">
      <c r="A755" t="s">
        <v>1016</v>
      </c>
      <c r="B755" t="s">
        <v>27</v>
      </c>
      <c r="C755" t="s">
        <v>17</v>
      </c>
      <c r="D755">
        <v>40.692279999999997</v>
      </c>
      <c r="E755">
        <v>-73.942779999999999</v>
      </c>
      <c r="F755" t="s">
        <v>18</v>
      </c>
      <c r="G755">
        <v>2</v>
      </c>
      <c r="H755">
        <v>2</v>
      </c>
      <c r="I755">
        <v>1</v>
      </c>
      <c r="J755">
        <v>1</v>
      </c>
      <c r="K755">
        <v>1</v>
      </c>
      <c r="L755">
        <v>264</v>
      </c>
      <c r="M755">
        <v>18</v>
      </c>
      <c r="N755">
        <v>1.68</v>
      </c>
      <c r="O755">
        <f>IF(F755="Private room",1,0)</f>
        <v>1</v>
      </c>
      <c r="P755">
        <f>IF(C755="Manhattan",4,IF(C755="Brooklyn",2,0))</f>
        <v>2</v>
      </c>
      <c r="Q755" s="2">
        <v>115</v>
      </c>
      <c r="R755" s="1">
        <v>45719</v>
      </c>
      <c r="S755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188.76000000000002</v>
      </c>
    </row>
    <row r="756" spans="1:19" x14ac:dyDescent="0.3">
      <c r="A756" t="s">
        <v>1017</v>
      </c>
      <c r="B756" t="s">
        <v>36</v>
      </c>
      <c r="C756" t="s">
        <v>20</v>
      </c>
      <c r="D756">
        <v>40.771900000000002</v>
      </c>
      <c r="E756">
        <v>-73.957049999999995</v>
      </c>
      <c r="F756" t="s">
        <v>21</v>
      </c>
      <c r="G756">
        <v>6</v>
      </c>
      <c r="H756">
        <v>2</v>
      </c>
      <c r="I756">
        <v>3</v>
      </c>
      <c r="J756">
        <v>3</v>
      </c>
      <c r="K756">
        <v>30</v>
      </c>
      <c r="L756">
        <v>270</v>
      </c>
      <c r="M756">
        <v>5</v>
      </c>
      <c r="N756">
        <v>0.48</v>
      </c>
      <c r="O756">
        <f>IF(F756="Private room",1,0)</f>
        <v>0</v>
      </c>
      <c r="P756">
        <f>IF(C756="Manhattan",4,IF(C756="Brooklyn",2,0))</f>
        <v>4</v>
      </c>
      <c r="Q756" s="2">
        <v>350</v>
      </c>
      <c r="R756" s="1">
        <v>45747</v>
      </c>
      <c r="S756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241.05</v>
      </c>
    </row>
    <row r="757" spans="1:19" x14ac:dyDescent="0.3">
      <c r="A757" t="s">
        <v>1018</v>
      </c>
      <c r="B757" t="s">
        <v>27</v>
      </c>
      <c r="C757" t="s">
        <v>17</v>
      </c>
      <c r="D757">
        <v>40.6937</v>
      </c>
      <c r="E757">
        <v>-73.941410000000005</v>
      </c>
      <c r="F757" t="s">
        <v>18</v>
      </c>
      <c r="G757">
        <v>2</v>
      </c>
      <c r="H757">
        <v>1</v>
      </c>
      <c r="I757">
        <v>1</v>
      </c>
      <c r="J757">
        <v>1</v>
      </c>
      <c r="K757">
        <v>1</v>
      </c>
      <c r="L757">
        <v>254</v>
      </c>
      <c r="M757">
        <v>13</v>
      </c>
      <c r="N757">
        <v>1.4</v>
      </c>
      <c r="O757">
        <f>IF(F757="Private room",1,0)</f>
        <v>1</v>
      </c>
      <c r="P757">
        <f>IF(C757="Manhattan",4,IF(C757="Brooklyn",2,0))</f>
        <v>2</v>
      </c>
      <c r="Q757" s="2">
        <v>121</v>
      </c>
      <c r="R757" s="1">
        <v>45745</v>
      </c>
      <c r="S757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177.94000000000003</v>
      </c>
    </row>
    <row r="758" spans="1:19" x14ac:dyDescent="0.3">
      <c r="A758" t="s">
        <v>1019</v>
      </c>
      <c r="B758" t="s">
        <v>113</v>
      </c>
      <c r="C758" t="s">
        <v>30</v>
      </c>
      <c r="D758" s="3" t="s">
        <v>1020</v>
      </c>
      <c r="E758">
        <v>-73.793529818226304</v>
      </c>
      <c r="F758" t="s">
        <v>21</v>
      </c>
      <c r="G758">
        <v>4</v>
      </c>
      <c r="H758">
        <v>1</v>
      </c>
      <c r="I758">
        <v>1</v>
      </c>
      <c r="J758">
        <v>1</v>
      </c>
      <c r="K758">
        <v>30</v>
      </c>
      <c r="L758">
        <v>206</v>
      </c>
      <c r="M758">
        <v>3</v>
      </c>
      <c r="N758">
        <v>0.18</v>
      </c>
      <c r="O758">
        <f>IF(F758="Private room",1,0)</f>
        <v>0</v>
      </c>
      <c r="P758">
        <f>IF(C758="Manhattan",4,IF(C758="Brooklyn",2,0))</f>
        <v>0</v>
      </c>
      <c r="Q758" s="2">
        <v>99</v>
      </c>
      <c r="R758" s="1">
        <v>45719</v>
      </c>
      <c r="S758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133.51000000000002</v>
      </c>
    </row>
    <row r="759" spans="1:19" x14ac:dyDescent="0.3">
      <c r="A759" t="s">
        <v>1021</v>
      </c>
      <c r="B759" t="s">
        <v>24</v>
      </c>
      <c r="C759" t="s">
        <v>20</v>
      </c>
      <c r="D759">
        <v>40.7929341708195</v>
      </c>
      <c r="E759">
        <v>-73.942119510818898</v>
      </c>
      <c r="F759" t="s">
        <v>21</v>
      </c>
      <c r="G759">
        <v>4</v>
      </c>
      <c r="H759">
        <v>2</v>
      </c>
      <c r="I759">
        <v>2</v>
      </c>
      <c r="J759">
        <v>2</v>
      </c>
      <c r="K759">
        <v>7</v>
      </c>
      <c r="L759">
        <v>235</v>
      </c>
      <c r="M759">
        <v>30</v>
      </c>
      <c r="N759">
        <v>1.52</v>
      </c>
      <c r="O759">
        <f>IF(F759="Private room",1,0)</f>
        <v>0</v>
      </c>
      <c r="P759">
        <f>IF(C759="Manhattan",4,IF(C759="Brooklyn",2,0))</f>
        <v>4</v>
      </c>
      <c r="Q759" s="2">
        <v>280</v>
      </c>
      <c r="R759" s="1">
        <v>45738</v>
      </c>
      <c r="S759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281.54000000000002</v>
      </c>
    </row>
    <row r="760" spans="1:19" x14ac:dyDescent="0.3">
      <c r="A760" t="s">
        <v>1022</v>
      </c>
      <c r="B760" t="s">
        <v>95</v>
      </c>
      <c r="C760" t="s">
        <v>20</v>
      </c>
      <c r="D760">
        <v>40.748398288597897</v>
      </c>
      <c r="E760">
        <v>-73.973231837138201</v>
      </c>
      <c r="F760" t="s">
        <v>18</v>
      </c>
      <c r="G760">
        <v>4</v>
      </c>
      <c r="H760">
        <v>1</v>
      </c>
      <c r="I760">
        <v>1</v>
      </c>
      <c r="J760">
        <v>2</v>
      </c>
      <c r="K760">
        <v>1</v>
      </c>
      <c r="L760">
        <v>213</v>
      </c>
      <c r="M760">
        <v>21</v>
      </c>
      <c r="N760">
        <v>1.1000000000000001</v>
      </c>
      <c r="O760">
        <f>IF(F760="Private room",1,0)</f>
        <v>1</v>
      </c>
      <c r="P760">
        <f>IF(C760="Manhattan",4,IF(C760="Brooklyn",2,0))</f>
        <v>4</v>
      </c>
      <c r="Q760" s="2">
        <v>449</v>
      </c>
      <c r="R760" s="1">
        <v>45739</v>
      </c>
      <c r="S760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248.00000000000006</v>
      </c>
    </row>
    <row r="761" spans="1:19" x14ac:dyDescent="0.3">
      <c r="A761" t="s">
        <v>1023</v>
      </c>
      <c r="B761" t="s">
        <v>56</v>
      </c>
      <c r="C761" t="s">
        <v>17</v>
      </c>
      <c r="D761" s="3" t="s">
        <v>1024</v>
      </c>
      <c r="E761">
        <v>-73.956003211435004</v>
      </c>
      <c r="F761" t="s">
        <v>21</v>
      </c>
      <c r="G761">
        <v>4</v>
      </c>
      <c r="H761">
        <v>1</v>
      </c>
      <c r="I761">
        <v>2</v>
      </c>
      <c r="J761">
        <v>2</v>
      </c>
      <c r="K761">
        <v>30</v>
      </c>
      <c r="L761">
        <v>339</v>
      </c>
      <c r="M761">
        <v>8</v>
      </c>
      <c r="N761">
        <v>0.45</v>
      </c>
      <c r="O761">
        <f>IF(F761="Private room",1,0)</f>
        <v>0</v>
      </c>
      <c r="P761">
        <f>IF(C761="Manhattan",4,IF(C761="Brooklyn",2,0))</f>
        <v>2</v>
      </c>
      <c r="Q761" s="2">
        <v>178</v>
      </c>
      <c r="R761" s="1">
        <v>45720</v>
      </c>
      <c r="S761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158.65000000000003</v>
      </c>
    </row>
    <row r="762" spans="1:19" x14ac:dyDescent="0.3">
      <c r="A762" t="s">
        <v>1025</v>
      </c>
      <c r="B762" t="s">
        <v>28</v>
      </c>
      <c r="C762" t="s">
        <v>20</v>
      </c>
      <c r="D762">
        <v>40.8306957</v>
      </c>
      <c r="E762">
        <v>-73.946372199999999</v>
      </c>
      <c r="F762" t="s">
        <v>21</v>
      </c>
      <c r="G762">
        <v>2</v>
      </c>
      <c r="H762">
        <v>1</v>
      </c>
      <c r="I762">
        <v>1</v>
      </c>
      <c r="J762">
        <v>1</v>
      </c>
      <c r="K762">
        <v>30</v>
      </c>
      <c r="L762">
        <v>84</v>
      </c>
      <c r="M762">
        <v>3</v>
      </c>
      <c r="N762">
        <v>0.3</v>
      </c>
      <c r="O762">
        <f>IF(F762="Private room",1,0)</f>
        <v>0</v>
      </c>
      <c r="P762">
        <f>IF(C762="Manhattan",4,IF(C762="Brooklyn",2,0))</f>
        <v>4</v>
      </c>
      <c r="Q762" s="2">
        <v>150</v>
      </c>
      <c r="R762" s="1">
        <v>45717</v>
      </c>
      <c r="S762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161.35000000000002</v>
      </c>
    </row>
    <row r="763" spans="1:19" x14ac:dyDescent="0.3">
      <c r="A763" t="s">
        <v>1026</v>
      </c>
      <c r="B763" t="s">
        <v>19</v>
      </c>
      <c r="C763" t="s">
        <v>20</v>
      </c>
      <c r="D763">
        <v>40.746130000000001</v>
      </c>
      <c r="E763">
        <v>-73.988600000000005</v>
      </c>
      <c r="F763" t="s">
        <v>21</v>
      </c>
      <c r="G763">
        <v>7</v>
      </c>
      <c r="H763">
        <v>1</v>
      </c>
      <c r="I763">
        <v>1</v>
      </c>
      <c r="J763">
        <v>4</v>
      </c>
      <c r="K763">
        <v>1</v>
      </c>
      <c r="L763">
        <v>229</v>
      </c>
      <c r="M763">
        <v>31</v>
      </c>
      <c r="N763">
        <v>1.65</v>
      </c>
      <c r="O763">
        <f>IF(F763="Private room",1,0)</f>
        <v>0</v>
      </c>
      <c r="P763">
        <f>IF(C763="Manhattan",4,IF(C763="Brooklyn",2,0))</f>
        <v>4</v>
      </c>
      <c r="Q763" s="2">
        <v>378</v>
      </c>
      <c r="R763" s="1">
        <v>45744</v>
      </c>
      <c r="S763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347.6</v>
      </c>
    </row>
    <row r="764" spans="1:19" x14ac:dyDescent="0.3">
      <c r="A764" t="s">
        <v>1027</v>
      </c>
      <c r="B764" t="s">
        <v>66</v>
      </c>
      <c r="C764" t="s">
        <v>30</v>
      </c>
      <c r="D764">
        <v>40.745452100000001</v>
      </c>
      <c r="E764">
        <v>-73.920790400000001</v>
      </c>
      <c r="F764" t="s">
        <v>21</v>
      </c>
      <c r="G764">
        <v>3</v>
      </c>
      <c r="H764">
        <v>1</v>
      </c>
      <c r="I764">
        <v>1</v>
      </c>
      <c r="J764">
        <v>1</v>
      </c>
      <c r="K764">
        <v>30</v>
      </c>
      <c r="L764">
        <v>308</v>
      </c>
      <c r="M764">
        <v>6</v>
      </c>
      <c r="N764">
        <v>0.54</v>
      </c>
      <c r="O764">
        <f>IF(F764="Private room",1,0)</f>
        <v>0</v>
      </c>
      <c r="P764">
        <f>IF(C764="Manhattan",4,IF(C764="Brooklyn",2,0))</f>
        <v>0</v>
      </c>
      <c r="Q764" s="2">
        <v>160</v>
      </c>
      <c r="R764" s="1">
        <v>45739</v>
      </c>
      <c r="S764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110.45000000000002</v>
      </c>
    </row>
    <row r="765" spans="1:19" x14ac:dyDescent="0.3">
      <c r="A765" t="s">
        <v>1028</v>
      </c>
      <c r="B765" t="s">
        <v>82</v>
      </c>
      <c r="C765" t="s">
        <v>30</v>
      </c>
      <c r="D765">
        <v>40.744120000000002</v>
      </c>
      <c r="E765">
        <v>-73.911429999999996</v>
      </c>
      <c r="F765" t="s">
        <v>21</v>
      </c>
      <c r="G765">
        <v>4</v>
      </c>
      <c r="H765">
        <v>1</v>
      </c>
      <c r="I765">
        <v>1</v>
      </c>
      <c r="J765">
        <v>2</v>
      </c>
      <c r="K765">
        <v>1</v>
      </c>
      <c r="L765">
        <v>264</v>
      </c>
      <c r="M765">
        <v>14</v>
      </c>
      <c r="N765">
        <v>0.83</v>
      </c>
      <c r="O765">
        <f>IF(F765="Private room",1,0)</f>
        <v>0</v>
      </c>
      <c r="P765">
        <f>IF(C765="Manhattan",4,IF(C765="Brooklyn",2,0))</f>
        <v>0</v>
      </c>
      <c r="Q765" s="2">
        <v>247</v>
      </c>
      <c r="R765" s="1">
        <v>45743</v>
      </c>
      <c r="S765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228.34000000000003</v>
      </c>
    </row>
    <row r="766" spans="1:19" x14ac:dyDescent="0.3">
      <c r="A766" t="s">
        <v>1029</v>
      </c>
      <c r="B766" t="s">
        <v>50</v>
      </c>
      <c r="C766" t="s">
        <v>20</v>
      </c>
      <c r="D766">
        <v>40.731575100000001</v>
      </c>
      <c r="E766">
        <v>-74.002159199999994</v>
      </c>
      <c r="F766" t="s">
        <v>21</v>
      </c>
      <c r="G766">
        <v>2</v>
      </c>
      <c r="H766">
        <v>1</v>
      </c>
      <c r="I766">
        <v>1</v>
      </c>
      <c r="J766">
        <v>1</v>
      </c>
      <c r="K766">
        <v>30</v>
      </c>
      <c r="L766">
        <v>218</v>
      </c>
      <c r="M766">
        <v>8</v>
      </c>
      <c r="N766">
        <v>0.44</v>
      </c>
      <c r="O766">
        <f>IF(F766="Private room",1,0)</f>
        <v>0</v>
      </c>
      <c r="P766">
        <f>IF(C766="Manhattan",4,IF(C766="Brooklyn",2,0))</f>
        <v>4</v>
      </c>
      <c r="Q766" s="2">
        <v>410</v>
      </c>
      <c r="R766" s="1">
        <v>45719</v>
      </c>
      <c r="S766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155.99</v>
      </c>
    </row>
    <row r="767" spans="1:19" x14ac:dyDescent="0.3">
      <c r="A767" t="s">
        <v>1030</v>
      </c>
      <c r="B767" t="s">
        <v>49</v>
      </c>
      <c r="C767" t="s">
        <v>20</v>
      </c>
      <c r="D767">
        <v>40.742989999999999</v>
      </c>
      <c r="E767">
        <v>-73.982190000000003</v>
      </c>
      <c r="F767" t="s">
        <v>21</v>
      </c>
      <c r="G767">
        <v>3</v>
      </c>
      <c r="H767">
        <v>1</v>
      </c>
      <c r="I767">
        <v>1</v>
      </c>
      <c r="J767">
        <v>2</v>
      </c>
      <c r="K767">
        <v>2</v>
      </c>
      <c r="L767">
        <v>189</v>
      </c>
      <c r="M767">
        <v>40</v>
      </c>
      <c r="N767">
        <v>3.52</v>
      </c>
      <c r="O767">
        <f>IF(F767="Private room",1,0)</f>
        <v>0</v>
      </c>
      <c r="P767">
        <f>IF(C767="Manhattan",4,IF(C767="Brooklyn",2,0))</f>
        <v>4</v>
      </c>
      <c r="Q767" s="2">
        <v>220</v>
      </c>
      <c r="R767" s="1">
        <v>45739</v>
      </c>
      <c r="S767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269.93</v>
      </c>
    </row>
    <row r="768" spans="1:19" x14ac:dyDescent="0.3">
      <c r="A768" t="s">
        <v>1031</v>
      </c>
      <c r="B768" t="s">
        <v>205</v>
      </c>
      <c r="C768" t="s">
        <v>17</v>
      </c>
      <c r="D768">
        <v>40.657676000000002</v>
      </c>
      <c r="E768">
        <v>-73.908395099999893</v>
      </c>
      <c r="F768" t="s">
        <v>18</v>
      </c>
      <c r="G768">
        <v>5</v>
      </c>
      <c r="H768">
        <v>2</v>
      </c>
      <c r="I768">
        <v>3</v>
      </c>
      <c r="J768">
        <v>3</v>
      </c>
      <c r="K768">
        <v>3</v>
      </c>
      <c r="L768">
        <v>155</v>
      </c>
      <c r="M768">
        <v>25</v>
      </c>
      <c r="N768">
        <v>1.72</v>
      </c>
      <c r="O768">
        <f>IF(F768="Private room",1,0)</f>
        <v>1</v>
      </c>
      <c r="P768">
        <f>IF(C768="Manhattan",4,IF(C768="Brooklyn",2,0))</f>
        <v>2</v>
      </c>
      <c r="Q768" s="2">
        <v>295</v>
      </c>
      <c r="R768" s="1">
        <v>45727</v>
      </c>
      <c r="S768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243.36000000000004</v>
      </c>
    </row>
    <row r="769" spans="1:19" x14ac:dyDescent="0.3">
      <c r="A769" t="s">
        <v>1032</v>
      </c>
      <c r="B769" t="s">
        <v>94</v>
      </c>
      <c r="C769" t="s">
        <v>17</v>
      </c>
      <c r="D769" s="3" t="s">
        <v>1033</v>
      </c>
      <c r="E769">
        <v>-73.885390404084703</v>
      </c>
      <c r="F769" t="s">
        <v>21</v>
      </c>
      <c r="G769">
        <v>8</v>
      </c>
      <c r="H769">
        <v>2</v>
      </c>
      <c r="I769">
        <v>4</v>
      </c>
      <c r="J769">
        <v>4</v>
      </c>
      <c r="K769">
        <v>2</v>
      </c>
      <c r="L769">
        <v>32</v>
      </c>
      <c r="M769">
        <v>12</v>
      </c>
      <c r="N769">
        <v>0.68</v>
      </c>
      <c r="O769">
        <f>IF(F769="Private room",1,0)</f>
        <v>0</v>
      </c>
      <c r="P769">
        <f>IF(C769="Manhattan",4,IF(C769="Brooklyn",2,0))</f>
        <v>2</v>
      </c>
      <c r="Q769" s="2">
        <v>386</v>
      </c>
      <c r="R769" s="1">
        <v>45733</v>
      </c>
      <c r="S769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351.87000000000006</v>
      </c>
    </row>
    <row r="770" spans="1:19" x14ac:dyDescent="0.3">
      <c r="A770" t="s">
        <v>1034</v>
      </c>
      <c r="B770" t="s">
        <v>49</v>
      </c>
      <c r="C770" t="s">
        <v>20</v>
      </c>
      <c r="D770" s="3" t="s">
        <v>1035</v>
      </c>
      <c r="E770">
        <v>-73.982652614083307</v>
      </c>
      <c r="F770" t="s">
        <v>21</v>
      </c>
      <c r="G770">
        <v>4</v>
      </c>
      <c r="H770">
        <v>1</v>
      </c>
      <c r="I770">
        <v>1</v>
      </c>
      <c r="J770">
        <v>1</v>
      </c>
      <c r="K770">
        <v>4</v>
      </c>
      <c r="L770">
        <v>313</v>
      </c>
      <c r="M770">
        <v>29</v>
      </c>
      <c r="N770">
        <v>1.71</v>
      </c>
      <c r="O770">
        <f>IF(F770="Private room",1,0)</f>
        <v>0</v>
      </c>
      <c r="P770">
        <f>IF(C770="Manhattan",4,IF(C770="Brooklyn",2,0))</f>
        <v>4</v>
      </c>
      <c r="Q770" s="2">
        <v>294</v>
      </c>
      <c r="R770" s="1">
        <v>45747</v>
      </c>
      <c r="S770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277.25</v>
      </c>
    </row>
    <row r="771" spans="1:19" x14ac:dyDescent="0.3">
      <c r="A771" t="s">
        <v>1036</v>
      </c>
      <c r="B771" t="s">
        <v>23</v>
      </c>
      <c r="C771" t="s">
        <v>17</v>
      </c>
      <c r="D771" s="3" t="s">
        <v>1037</v>
      </c>
      <c r="E771">
        <v>-73.958002302346003</v>
      </c>
      <c r="F771" t="s">
        <v>18</v>
      </c>
      <c r="G771">
        <v>2</v>
      </c>
      <c r="H771">
        <v>1</v>
      </c>
      <c r="I771">
        <v>1</v>
      </c>
      <c r="J771">
        <v>1</v>
      </c>
      <c r="K771">
        <v>30</v>
      </c>
      <c r="L771">
        <v>123</v>
      </c>
      <c r="M771">
        <v>6</v>
      </c>
      <c r="N771">
        <v>0.35</v>
      </c>
      <c r="O771">
        <f>IF(F771="Private room",1,0)</f>
        <v>1</v>
      </c>
      <c r="P771">
        <f>IF(C771="Manhattan",4,IF(C771="Brooklyn",2,0))</f>
        <v>2</v>
      </c>
      <c r="Q771" s="2">
        <v>110</v>
      </c>
      <c r="R771" s="1">
        <v>45721</v>
      </c>
      <c r="S771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86.03000000000003</v>
      </c>
    </row>
    <row r="772" spans="1:19" x14ac:dyDescent="0.3">
      <c r="A772" t="s">
        <v>1038</v>
      </c>
      <c r="B772" t="s">
        <v>196</v>
      </c>
      <c r="C772" t="s">
        <v>17</v>
      </c>
      <c r="D772" s="3" t="s">
        <v>1039</v>
      </c>
      <c r="E772">
        <v>-73.894511190707405</v>
      </c>
      <c r="F772" t="s">
        <v>21</v>
      </c>
      <c r="G772">
        <v>14</v>
      </c>
      <c r="H772">
        <v>4</v>
      </c>
      <c r="I772">
        <v>6</v>
      </c>
      <c r="J772">
        <v>7</v>
      </c>
      <c r="K772">
        <v>1</v>
      </c>
      <c r="L772">
        <v>263</v>
      </c>
      <c r="M772">
        <v>6</v>
      </c>
      <c r="N772">
        <v>0.5</v>
      </c>
      <c r="O772">
        <f>IF(F772="Private room",1,0)</f>
        <v>0</v>
      </c>
      <c r="P772">
        <f>IF(C772="Manhattan",4,IF(C772="Brooklyn",2,0))</f>
        <v>2</v>
      </c>
      <c r="Q772" s="2">
        <v>406</v>
      </c>
      <c r="R772" s="1">
        <v>45746</v>
      </c>
      <c r="S772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482.3</v>
      </c>
    </row>
    <row r="773" spans="1:19" x14ac:dyDescent="0.3">
      <c r="A773" t="s">
        <v>1040</v>
      </c>
      <c r="B773" t="s">
        <v>23</v>
      </c>
      <c r="C773" t="s">
        <v>17</v>
      </c>
      <c r="D773">
        <v>40.715319999999998</v>
      </c>
      <c r="E773">
        <v>-73.941940000000002</v>
      </c>
      <c r="F773" t="s">
        <v>21</v>
      </c>
      <c r="G773">
        <v>3</v>
      </c>
      <c r="H773">
        <v>1</v>
      </c>
      <c r="I773">
        <v>1</v>
      </c>
      <c r="J773">
        <v>1</v>
      </c>
      <c r="K773">
        <v>30</v>
      </c>
      <c r="L773">
        <v>153</v>
      </c>
      <c r="M773">
        <v>7</v>
      </c>
      <c r="N773">
        <v>0.38</v>
      </c>
      <c r="O773">
        <f>IF(F773="Private room",1,0)</f>
        <v>0</v>
      </c>
      <c r="P773">
        <f>IF(C773="Manhattan",4,IF(C773="Brooklyn",2,0))</f>
        <v>2</v>
      </c>
      <c r="Q773" s="2">
        <v>151</v>
      </c>
      <c r="R773" s="1">
        <v>45717</v>
      </c>
      <c r="S773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147.11000000000001</v>
      </c>
    </row>
    <row r="774" spans="1:19" x14ac:dyDescent="0.3">
      <c r="A774" t="s">
        <v>1041</v>
      </c>
      <c r="B774" t="s">
        <v>38</v>
      </c>
      <c r="C774" t="s">
        <v>20</v>
      </c>
      <c r="D774">
        <v>40.764319999999998</v>
      </c>
      <c r="E774">
        <v>-73.992329999999995</v>
      </c>
      <c r="F774" t="s">
        <v>21</v>
      </c>
      <c r="G774">
        <v>2</v>
      </c>
      <c r="H774">
        <v>1</v>
      </c>
      <c r="I774">
        <v>1</v>
      </c>
      <c r="J774">
        <v>2</v>
      </c>
      <c r="K774">
        <v>30</v>
      </c>
      <c r="L774">
        <v>166</v>
      </c>
      <c r="M774">
        <v>5</v>
      </c>
      <c r="N774">
        <v>0.46</v>
      </c>
      <c r="O774">
        <f>IF(F774="Private room",1,0)</f>
        <v>0</v>
      </c>
      <c r="P774">
        <f>IF(C774="Manhattan",4,IF(C774="Brooklyn",2,0))</f>
        <v>4</v>
      </c>
      <c r="Q774" s="2">
        <v>127</v>
      </c>
      <c r="R774" s="1">
        <v>45729</v>
      </c>
      <c r="S774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158.07000000000002</v>
      </c>
    </row>
    <row r="775" spans="1:19" x14ac:dyDescent="0.3">
      <c r="A775" t="s">
        <v>1042</v>
      </c>
      <c r="B775" t="s">
        <v>149</v>
      </c>
      <c r="C775" t="s">
        <v>30</v>
      </c>
      <c r="D775">
        <v>40.697209999999998</v>
      </c>
      <c r="E775">
        <v>-73.849649999999997</v>
      </c>
      <c r="F775" t="s">
        <v>18</v>
      </c>
      <c r="G775">
        <v>2</v>
      </c>
      <c r="H775">
        <v>1</v>
      </c>
      <c r="I775">
        <v>1</v>
      </c>
      <c r="J775">
        <v>2</v>
      </c>
      <c r="K775">
        <v>30</v>
      </c>
      <c r="L775">
        <v>90</v>
      </c>
      <c r="M775">
        <v>4</v>
      </c>
      <c r="N775">
        <v>0.83</v>
      </c>
      <c r="O775">
        <f>IF(F775="Private room",1,0)</f>
        <v>1</v>
      </c>
      <c r="P775">
        <f>IF(C775="Manhattan",4,IF(C775="Brooklyn",2,0))</f>
        <v>0</v>
      </c>
      <c r="Q775" s="2">
        <v>55</v>
      </c>
      <c r="R775" s="1">
        <v>45747</v>
      </c>
      <c r="S775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56.890000000000029</v>
      </c>
    </row>
    <row r="776" spans="1:19" x14ac:dyDescent="0.3">
      <c r="A776" t="s">
        <v>1043</v>
      </c>
      <c r="B776" t="s">
        <v>49</v>
      </c>
      <c r="C776" t="s">
        <v>20</v>
      </c>
      <c r="D776" s="3" t="s">
        <v>1044</v>
      </c>
      <c r="E776">
        <v>-73.982402704217094</v>
      </c>
      <c r="F776" t="s">
        <v>21</v>
      </c>
      <c r="G776">
        <v>6</v>
      </c>
      <c r="H776">
        <v>1</v>
      </c>
      <c r="I776">
        <v>2</v>
      </c>
      <c r="J776">
        <v>2</v>
      </c>
      <c r="K776">
        <v>4</v>
      </c>
      <c r="L776">
        <v>258</v>
      </c>
      <c r="M776">
        <v>39</v>
      </c>
      <c r="N776">
        <v>2.13</v>
      </c>
      <c r="O776">
        <f>IF(F776="Private room",1,0)</f>
        <v>0</v>
      </c>
      <c r="P776">
        <f>IF(C776="Manhattan",4,IF(C776="Brooklyn",2,0))</f>
        <v>4</v>
      </c>
      <c r="Q776" s="2">
        <v>329</v>
      </c>
      <c r="R776" s="1">
        <v>45732</v>
      </c>
      <c r="S776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317.41000000000008</v>
      </c>
    </row>
    <row r="777" spans="1:19" x14ac:dyDescent="0.3">
      <c r="A777" t="s">
        <v>1045</v>
      </c>
      <c r="B777" t="s">
        <v>113</v>
      </c>
      <c r="C777" t="s">
        <v>30</v>
      </c>
      <c r="D777">
        <v>40.758830000000003</v>
      </c>
      <c r="E777">
        <v>-73.796629999999993</v>
      </c>
      <c r="F777" t="s">
        <v>18</v>
      </c>
      <c r="G777">
        <v>1</v>
      </c>
      <c r="H777">
        <v>1</v>
      </c>
      <c r="I777">
        <v>1</v>
      </c>
      <c r="J777">
        <v>1</v>
      </c>
      <c r="K777">
        <v>30</v>
      </c>
      <c r="L777">
        <v>364</v>
      </c>
      <c r="M777">
        <v>4</v>
      </c>
      <c r="N777">
        <v>0.26</v>
      </c>
      <c r="O777">
        <f>IF(F777="Private room",1,0)</f>
        <v>1</v>
      </c>
      <c r="P777">
        <f>IF(C777="Manhattan",4,IF(C777="Brooklyn",2,0))</f>
        <v>0</v>
      </c>
      <c r="Q777" s="2">
        <v>62</v>
      </c>
      <c r="R777" s="1">
        <v>45733</v>
      </c>
      <c r="S777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26.950000000000003</v>
      </c>
    </row>
    <row r="778" spans="1:19" x14ac:dyDescent="0.3">
      <c r="A778" t="s">
        <v>1046</v>
      </c>
      <c r="B778" t="s">
        <v>68</v>
      </c>
      <c r="C778" t="s">
        <v>20</v>
      </c>
      <c r="D778" s="3" t="s">
        <v>1047</v>
      </c>
      <c r="E778">
        <v>-73.932444253883801</v>
      </c>
      <c r="F778" t="s">
        <v>18</v>
      </c>
      <c r="G778">
        <v>2</v>
      </c>
      <c r="H778">
        <v>1</v>
      </c>
      <c r="I778">
        <v>1</v>
      </c>
      <c r="J778">
        <v>1</v>
      </c>
      <c r="K778">
        <v>30</v>
      </c>
      <c r="L778">
        <v>91</v>
      </c>
      <c r="M778">
        <v>2</v>
      </c>
      <c r="N778">
        <v>0.8</v>
      </c>
      <c r="O778">
        <f>IF(F778="Private room",1,0)</f>
        <v>1</v>
      </c>
      <c r="P778">
        <f>IF(C778="Manhattan",4,IF(C778="Brooklyn",2,0))</f>
        <v>4</v>
      </c>
      <c r="Q778" s="2">
        <v>52</v>
      </c>
      <c r="R778" s="1">
        <v>45747</v>
      </c>
      <c r="S778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117.77000000000002</v>
      </c>
    </row>
    <row r="779" spans="1:19" x14ac:dyDescent="0.3">
      <c r="A779" t="s">
        <v>1048</v>
      </c>
      <c r="B779" t="s">
        <v>42</v>
      </c>
      <c r="C779" t="s">
        <v>17</v>
      </c>
      <c r="D779">
        <v>40.730229999999999</v>
      </c>
      <c r="E779">
        <v>-73.955964499999993</v>
      </c>
      <c r="F779" t="s">
        <v>18</v>
      </c>
      <c r="G779">
        <v>2</v>
      </c>
      <c r="H779">
        <v>1</v>
      </c>
      <c r="I779">
        <v>1</v>
      </c>
      <c r="J779">
        <v>1</v>
      </c>
      <c r="K779">
        <v>30</v>
      </c>
      <c r="L779">
        <v>269</v>
      </c>
      <c r="M779">
        <v>3</v>
      </c>
      <c r="N779">
        <v>0.17</v>
      </c>
      <c r="O779">
        <f>IF(F779="Private room",1,0)</f>
        <v>1</v>
      </c>
      <c r="P779">
        <f>IF(C779="Manhattan",4,IF(C779="Brooklyn",2,0))</f>
        <v>2</v>
      </c>
      <c r="Q779" s="2">
        <v>74</v>
      </c>
      <c r="R779" s="1">
        <v>45745</v>
      </c>
      <c r="S779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80.190000000000026</v>
      </c>
    </row>
    <row r="780" spans="1:19" x14ac:dyDescent="0.3">
      <c r="A780" t="s">
        <v>1049</v>
      </c>
      <c r="B780" t="s">
        <v>19</v>
      </c>
      <c r="C780" t="s">
        <v>20</v>
      </c>
      <c r="D780" s="3" t="s">
        <v>1050</v>
      </c>
      <c r="E780">
        <v>-73.988724491209396</v>
      </c>
      <c r="F780" t="s">
        <v>18</v>
      </c>
      <c r="G780">
        <v>4</v>
      </c>
      <c r="H780">
        <v>0</v>
      </c>
      <c r="I780">
        <v>1</v>
      </c>
      <c r="J780">
        <v>2</v>
      </c>
      <c r="K780">
        <v>1</v>
      </c>
      <c r="L780">
        <v>293</v>
      </c>
      <c r="M780">
        <v>23</v>
      </c>
      <c r="N780">
        <v>1.3</v>
      </c>
      <c r="O780">
        <f>IF(F780="Private room",1,0)</f>
        <v>1</v>
      </c>
      <c r="P780">
        <f>IF(C780="Manhattan",4,IF(C780="Brooklyn",2,0))</f>
        <v>4</v>
      </c>
      <c r="Q780" s="2">
        <v>134</v>
      </c>
      <c r="R780" s="1">
        <v>45733</v>
      </c>
      <c r="S780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233.58000000000004</v>
      </c>
    </row>
    <row r="781" spans="1:19" x14ac:dyDescent="0.3">
      <c r="A781" t="s">
        <v>1051</v>
      </c>
      <c r="B781" t="s">
        <v>131</v>
      </c>
      <c r="C781" t="s">
        <v>20</v>
      </c>
      <c r="D781">
        <v>40.709029999999998</v>
      </c>
      <c r="E781">
        <v>-74.011920000000003</v>
      </c>
      <c r="F781" t="s">
        <v>21</v>
      </c>
      <c r="G781">
        <v>2</v>
      </c>
      <c r="H781">
        <v>1</v>
      </c>
      <c r="I781">
        <v>1</v>
      </c>
      <c r="J781">
        <v>1</v>
      </c>
      <c r="K781">
        <v>25</v>
      </c>
      <c r="L781">
        <v>210</v>
      </c>
      <c r="M781">
        <v>9</v>
      </c>
      <c r="N781">
        <v>0.51</v>
      </c>
      <c r="O781">
        <f>IF(F781="Private room",1,0)</f>
        <v>0</v>
      </c>
      <c r="P781">
        <f>IF(C781="Manhattan",4,IF(C781="Brooklyn",2,0))</f>
        <v>4</v>
      </c>
      <c r="Q781" s="2">
        <v>261</v>
      </c>
      <c r="R781" s="1">
        <v>45737</v>
      </c>
      <c r="S781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173.06</v>
      </c>
    </row>
    <row r="782" spans="1:19" x14ac:dyDescent="0.3">
      <c r="A782" t="s">
        <v>1052</v>
      </c>
      <c r="B782" t="s">
        <v>131</v>
      </c>
      <c r="C782" t="s">
        <v>20</v>
      </c>
      <c r="D782">
        <v>40.709219099999999</v>
      </c>
      <c r="E782">
        <v>-74.013753399999999</v>
      </c>
      <c r="F782" t="s">
        <v>21</v>
      </c>
      <c r="G782">
        <v>2</v>
      </c>
      <c r="H782">
        <v>1</v>
      </c>
      <c r="I782">
        <v>0</v>
      </c>
      <c r="J782">
        <v>1</v>
      </c>
      <c r="K782">
        <v>30</v>
      </c>
      <c r="L782">
        <v>318</v>
      </c>
      <c r="M782">
        <v>5</v>
      </c>
      <c r="N782">
        <v>0.31</v>
      </c>
      <c r="O782">
        <f>IF(F782="Private room",1,0)</f>
        <v>0</v>
      </c>
      <c r="P782">
        <f>IF(C782="Manhattan",4,IF(C782="Brooklyn",2,0))</f>
        <v>4</v>
      </c>
      <c r="Q782" s="2">
        <v>218</v>
      </c>
      <c r="R782" s="1">
        <v>45717</v>
      </c>
      <c r="S782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151.99</v>
      </c>
    </row>
    <row r="783" spans="1:19" x14ac:dyDescent="0.3">
      <c r="A783" t="s">
        <v>1053</v>
      </c>
      <c r="B783" t="s">
        <v>19</v>
      </c>
      <c r="C783" t="s">
        <v>20</v>
      </c>
      <c r="D783">
        <v>40.755399199999999</v>
      </c>
      <c r="E783">
        <v>-73.972626300000002</v>
      </c>
      <c r="F783" t="s">
        <v>21</v>
      </c>
      <c r="G783">
        <v>2</v>
      </c>
      <c r="H783">
        <v>1</v>
      </c>
      <c r="I783">
        <v>1</v>
      </c>
      <c r="J783">
        <v>1</v>
      </c>
      <c r="K783">
        <v>30</v>
      </c>
      <c r="L783">
        <v>262</v>
      </c>
      <c r="M783">
        <v>2</v>
      </c>
      <c r="N783">
        <v>0.41</v>
      </c>
      <c r="O783">
        <f>IF(F783="Private room",1,0)</f>
        <v>0</v>
      </c>
      <c r="P783">
        <f>IF(C783="Manhattan",4,IF(C783="Brooklyn",2,0))</f>
        <v>4</v>
      </c>
      <c r="Q783" s="2">
        <v>199</v>
      </c>
      <c r="R783" s="1">
        <v>45747</v>
      </c>
      <c r="S783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154.23000000000002</v>
      </c>
    </row>
    <row r="784" spans="1:19" x14ac:dyDescent="0.3">
      <c r="A784" t="s">
        <v>1054</v>
      </c>
      <c r="B784" t="s">
        <v>23</v>
      </c>
      <c r="C784" t="s">
        <v>17</v>
      </c>
      <c r="D784" s="3" t="s">
        <v>1055</v>
      </c>
      <c r="E784">
        <v>-73.9587772578585</v>
      </c>
      <c r="F784" t="s">
        <v>21</v>
      </c>
      <c r="G784">
        <v>3</v>
      </c>
      <c r="H784">
        <v>1</v>
      </c>
      <c r="I784">
        <v>1</v>
      </c>
      <c r="J784">
        <v>2</v>
      </c>
      <c r="K784">
        <v>30</v>
      </c>
      <c r="L784">
        <v>261</v>
      </c>
      <c r="M784">
        <v>8</v>
      </c>
      <c r="N784">
        <v>0.49</v>
      </c>
      <c r="O784">
        <f>IF(F784="Private room",1,0)</f>
        <v>0</v>
      </c>
      <c r="P784">
        <f>IF(C784="Manhattan",4,IF(C784="Brooklyn",2,0))</f>
        <v>2</v>
      </c>
      <c r="Q784" s="2">
        <v>150</v>
      </c>
      <c r="R784" s="1">
        <v>45747</v>
      </c>
      <c r="S784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142.79000000000002</v>
      </c>
    </row>
    <row r="785" spans="1:19" x14ac:dyDescent="0.3">
      <c r="A785" t="s">
        <v>1056</v>
      </c>
      <c r="B785" t="s">
        <v>67</v>
      </c>
      <c r="C785" t="s">
        <v>17</v>
      </c>
      <c r="D785">
        <v>40.705822099999999</v>
      </c>
      <c r="E785">
        <v>-73.922778399999999</v>
      </c>
      <c r="F785" t="s">
        <v>21</v>
      </c>
      <c r="G785">
        <v>4</v>
      </c>
      <c r="H785">
        <v>1.5</v>
      </c>
      <c r="I785">
        <v>2</v>
      </c>
      <c r="J785">
        <v>2</v>
      </c>
      <c r="K785">
        <v>30</v>
      </c>
      <c r="L785">
        <v>306</v>
      </c>
      <c r="M785">
        <v>1</v>
      </c>
      <c r="N785">
        <v>0.65</v>
      </c>
      <c r="O785">
        <f>IF(F785="Private room",1,0)</f>
        <v>0</v>
      </c>
      <c r="P785">
        <f>IF(C785="Manhattan",4,IF(C785="Brooklyn",2,0))</f>
        <v>2</v>
      </c>
      <c r="Q785" s="2">
        <v>228</v>
      </c>
      <c r="R785" s="1">
        <v>45734</v>
      </c>
      <c r="S785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165.58000000000004</v>
      </c>
    </row>
    <row r="786" spans="1:19" x14ac:dyDescent="0.3">
      <c r="A786" t="s">
        <v>1057</v>
      </c>
      <c r="B786" t="s">
        <v>36</v>
      </c>
      <c r="C786" t="s">
        <v>20</v>
      </c>
      <c r="D786">
        <v>40.7708224</v>
      </c>
      <c r="E786">
        <v>-73.957562600000003</v>
      </c>
      <c r="F786" t="s">
        <v>21</v>
      </c>
      <c r="G786">
        <v>2</v>
      </c>
      <c r="H786">
        <v>1</v>
      </c>
      <c r="I786">
        <v>0</v>
      </c>
      <c r="J786">
        <v>1</v>
      </c>
      <c r="K786">
        <v>30</v>
      </c>
      <c r="L786">
        <v>244</v>
      </c>
      <c r="M786">
        <v>7</v>
      </c>
      <c r="N786">
        <v>0.53</v>
      </c>
      <c r="O786">
        <f>IF(F786="Private room",1,0)</f>
        <v>0</v>
      </c>
      <c r="P786">
        <f>IF(C786="Manhattan",4,IF(C786="Brooklyn",2,0))</f>
        <v>4</v>
      </c>
      <c r="Q786" s="2">
        <v>118</v>
      </c>
      <c r="R786" s="1">
        <v>45717</v>
      </c>
      <c r="S786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154.95000000000002</v>
      </c>
    </row>
    <row r="787" spans="1:19" x14ac:dyDescent="0.3">
      <c r="A787" t="s">
        <v>1058</v>
      </c>
      <c r="B787" t="s">
        <v>53</v>
      </c>
      <c r="C787" t="s">
        <v>20</v>
      </c>
      <c r="D787" s="3" t="s">
        <v>1059</v>
      </c>
      <c r="E787">
        <v>-73.972668881764406</v>
      </c>
      <c r="F787" t="s">
        <v>21</v>
      </c>
      <c r="G787">
        <v>2</v>
      </c>
      <c r="H787">
        <v>1</v>
      </c>
      <c r="I787">
        <v>1</v>
      </c>
      <c r="J787">
        <v>1</v>
      </c>
      <c r="K787">
        <v>30</v>
      </c>
      <c r="L787">
        <v>240</v>
      </c>
      <c r="M787">
        <v>2</v>
      </c>
      <c r="N787">
        <v>0.14000000000000001</v>
      </c>
      <c r="O787">
        <f>IF(F787="Private room",1,0)</f>
        <v>0</v>
      </c>
      <c r="P787">
        <f>IF(C787="Manhattan",4,IF(C787="Brooklyn",2,0))</f>
        <v>4</v>
      </c>
      <c r="Q787" s="2">
        <v>150</v>
      </c>
      <c r="R787" s="1">
        <v>45747</v>
      </c>
      <c r="S787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155.11000000000001</v>
      </c>
    </row>
    <row r="788" spans="1:19" x14ac:dyDescent="0.3">
      <c r="A788" t="s">
        <v>1060</v>
      </c>
      <c r="B788" t="s">
        <v>45</v>
      </c>
      <c r="C788" t="s">
        <v>20</v>
      </c>
      <c r="D788" s="3" t="s">
        <v>972</v>
      </c>
      <c r="E788">
        <v>-74.005361299999905</v>
      </c>
      <c r="F788" t="s">
        <v>21</v>
      </c>
      <c r="G788">
        <v>4</v>
      </c>
      <c r="H788">
        <v>1</v>
      </c>
      <c r="I788">
        <v>2</v>
      </c>
      <c r="J788">
        <v>2</v>
      </c>
      <c r="K788">
        <v>30</v>
      </c>
      <c r="L788">
        <v>244</v>
      </c>
      <c r="M788">
        <v>3</v>
      </c>
      <c r="N788">
        <v>0.17</v>
      </c>
      <c r="O788">
        <f>IF(F788="Private room",1,0)</f>
        <v>0</v>
      </c>
      <c r="P788">
        <f>IF(C788="Manhattan",4,IF(C788="Brooklyn",2,0))</f>
        <v>4</v>
      </c>
      <c r="Q788" s="2">
        <v>433</v>
      </c>
      <c r="R788" s="1">
        <v>45730</v>
      </c>
      <c r="S788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192.91000000000003</v>
      </c>
    </row>
    <row r="789" spans="1:19" x14ac:dyDescent="0.3">
      <c r="A789" t="s">
        <v>1061</v>
      </c>
      <c r="B789" t="s">
        <v>114</v>
      </c>
      <c r="C789" t="s">
        <v>30</v>
      </c>
      <c r="D789" s="3" t="s">
        <v>1062</v>
      </c>
      <c r="E789">
        <v>-73.842908103128295</v>
      </c>
      <c r="F789" t="s">
        <v>21</v>
      </c>
      <c r="G789">
        <v>2</v>
      </c>
      <c r="H789">
        <v>1</v>
      </c>
      <c r="I789">
        <v>1</v>
      </c>
      <c r="J789">
        <v>1</v>
      </c>
      <c r="K789">
        <v>5</v>
      </c>
      <c r="L789">
        <v>65</v>
      </c>
      <c r="M789">
        <v>46</v>
      </c>
      <c r="N789">
        <v>2.4700000000000002</v>
      </c>
      <c r="O789">
        <f>IF(F789="Private room",1,0)</f>
        <v>0</v>
      </c>
      <c r="P789">
        <f>IF(C789="Manhattan",4,IF(C789="Brooklyn",2,0))</f>
        <v>0</v>
      </c>
      <c r="Q789" s="2">
        <v>140</v>
      </c>
      <c r="R789" s="1">
        <v>45738</v>
      </c>
      <c r="S789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184.94000000000003</v>
      </c>
    </row>
    <row r="790" spans="1:19" x14ac:dyDescent="0.3">
      <c r="A790" t="s">
        <v>1063</v>
      </c>
      <c r="B790" t="s">
        <v>19</v>
      </c>
      <c r="C790" t="s">
        <v>20</v>
      </c>
      <c r="D790">
        <v>40.748100000000001</v>
      </c>
      <c r="E790">
        <v>-73.988389999999995</v>
      </c>
      <c r="F790" t="s">
        <v>21</v>
      </c>
      <c r="G790">
        <v>6</v>
      </c>
      <c r="H790">
        <v>1</v>
      </c>
      <c r="I790">
        <v>0</v>
      </c>
      <c r="J790">
        <v>3</v>
      </c>
      <c r="K790">
        <v>1</v>
      </c>
      <c r="L790">
        <v>238</v>
      </c>
      <c r="M790">
        <v>39</v>
      </c>
      <c r="N790">
        <v>2.21</v>
      </c>
      <c r="O790">
        <f>IF(F790="Private room",1,0)</f>
        <v>0</v>
      </c>
      <c r="P790">
        <f>IF(C790="Manhattan",4,IF(C790="Brooklyn",2,0))</f>
        <v>4</v>
      </c>
      <c r="Q790" s="2">
        <v>366</v>
      </c>
      <c r="R790" s="1">
        <v>45743</v>
      </c>
      <c r="S790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328.26000000000005</v>
      </c>
    </row>
    <row r="791" spans="1:19" x14ac:dyDescent="0.3">
      <c r="A791" t="s">
        <v>1064</v>
      </c>
      <c r="B791" t="s">
        <v>19</v>
      </c>
      <c r="C791" t="s">
        <v>20</v>
      </c>
      <c r="D791" s="3" t="s">
        <v>1065</v>
      </c>
      <c r="E791">
        <v>-73.986906908057904</v>
      </c>
      <c r="F791" t="s">
        <v>18</v>
      </c>
      <c r="G791">
        <v>2</v>
      </c>
      <c r="H791">
        <v>2</v>
      </c>
      <c r="I791">
        <v>1</v>
      </c>
      <c r="J791">
        <v>1</v>
      </c>
      <c r="K791">
        <v>1</v>
      </c>
      <c r="L791">
        <v>282</v>
      </c>
      <c r="M791">
        <v>20</v>
      </c>
      <c r="N791">
        <v>1.19</v>
      </c>
      <c r="O791">
        <f>IF(F791="Private room",1,0)</f>
        <v>1</v>
      </c>
      <c r="P791">
        <f>IF(C791="Manhattan",4,IF(C791="Brooklyn",2,0))</f>
        <v>4</v>
      </c>
      <c r="Q791" s="2">
        <v>179</v>
      </c>
      <c r="R791" s="1">
        <v>45731</v>
      </c>
      <c r="S791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218.50000000000006</v>
      </c>
    </row>
    <row r="792" spans="1:19" x14ac:dyDescent="0.3">
      <c r="A792" t="s">
        <v>1066</v>
      </c>
      <c r="B792" t="s">
        <v>19</v>
      </c>
      <c r="C792" t="s">
        <v>20</v>
      </c>
      <c r="D792">
        <v>40.748190000000001</v>
      </c>
      <c r="E792">
        <v>-73.987250000000003</v>
      </c>
      <c r="F792" t="s">
        <v>18</v>
      </c>
      <c r="G792">
        <v>8</v>
      </c>
      <c r="H792">
        <v>1</v>
      </c>
      <c r="I792">
        <v>1</v>
      </c>
      <c r="J792">
        <v>4</v>
      </c>
      <c r="K792">
        <v>1</v>
      </c>
      <c r="L792">
        <v>286</v>
      </c>
      <c r="M792">
        <v>18</v>
      </c>
      <c r="N792">
        <v>1.0900000000000001</v>
      </c>
      <c r="O792">
        <f>IF(F792="Private room",1,0)</f>
        <v>1</v>
      </c>
      <c r="P792">
        <f>IF(C792="Manhattan",4,IF(C792="Brooklyn",2,0))</f>
        <v>4</v>
      </c>
      <c r="Q792" s="2">
        <v>328</v>
      </c>
      <c r="R792" s="1">
        <v>45724</v>
      </c>
      <c r="S792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321.00000000000006</v>
      </c>
    </row>
    <row r="793" spans="1:19" x14ac:dyDescent="0.3">
      <c r="A793" t="s">
        <v>1067</v>
      </c>
      <c r="B793" t="s">
        <v>43</v>
      </c>
      <c r="C793" t="s">
        <v>20</v>
      </c>
      <c r="D793" s="3" t="s">
        <v>1068</v>
      </c>
      <c r="E793">
        <v>-73.989087247631801</v>
      </c>
      <c r="F793" t="s">
        <v>21</v>
      </c>
      <c r="G793">
        <v>4</v>
      </c>
      <c r="H793">
        <v>1</v>
      </c>
      <c r="I793">
        <v>2</v>
      </c>
      <c r="J793">
        <v>2</v>
      </c>
      <c r="K793">
        <v>30</v>
      </c>
      <c r="L793">
        <v>216</v>
      </c>
      <c r="M793">
        <v>5</v>
      </c>
      <c r="N793">
        <v>0.43</v>
      </c>
      <c r="O793">
        <f>IF(F793="Private room",1,0)</f>
        <v>0</v>
      </c>
      <c r="P793">
        <f>IF(C793="Manhattan",4,IF(C793="Brooklyn",2,0))</f>
        <v>4</v>
      </c>
      <c r="Q793" s="2">
        <v>165</v>
      </c>
      <c r="R793" s="1">
        <v>45730</v>
      </c>
      <c r="S793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194.03000000000003</v>
      </c>
    </row>
    <row r="794" spans="1:19" x14ac:dyDescent="0.3">
      <c r="A794" t="s">
        <v>1069</v>
      </c>
      <c r="B794" t="s">
        <v>53</v>
      </c>
      <c r="C794" t="s">
        <v>20</v>
      </c>
      <c r="D794">
        <v>40.788130000000002</v>
      </c>
      <c r="E794">
        <v>-73.972120000000004</v>
      </c>
      <c r="F794" t="s">
        <v>21</v>
      </c>
      <c r="G794">
        <v>5</v>
      </c>
      <c r="H794">
        <v>2</v>
      </c>
      <c r="I794">
        <v>2</v>
      </c>
      <c r="J794">
        <v>2</v>
      </c>
      <c r="K794">
        <v>30</v>
      </c>
      <c r="L794">
        <v>240</v>
      </c>
      <c r="M794">
        <v>7</v>
      </c>
      <c r="N794">
        <v>0.44</v>
      </c>
      <c r="O794">
        <f>IF(F794="Private room",1,0)</f>
        <v>0</v>
      </c>
      <c r="P794">
        <f>IF(C794="Manhattan",4,IF(C794="Brooklyn",2,0))</f>
        <v>4</v>
      </c>
      <c r="Q794" s="2">
        <v>350</v>
      </c>
      <c r="R794" s="1">
        <v>45717</v>
      </c>
      <c r="S794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223.27000000000004</v>
      </c>
    </row>
    <row r="795" spans="1:19" x14ac:dyDescent="0.3">
      <c r="A795" t="s">
        <v>1070</v>
      </c>
      <c r="B795" t="s">
        <v>38</v>
      </c>
      <c r="C795" t="s">
        <v>20</v>
      </c>
      <c r="D795">
        <v>40.762929999999997</v>
      </c>
      <c r="E795">
        <v>-73.993629999999996</v>
      </c>
      <c r="F795" t="s">
        <v>18</v>
      </c>
      <c r="G795">
        <v>2</v>
      </c>
      <c r="H795">
        <v>1</v>
      </c>
      <c r="I795">
        <v>1</v>
      </c>
      <c r="J795">
        <v>1</v>
      </c>
      <c r="K795">
        <v>1</v>
      </c>
      <c r="L795">
        <v>98</v>
      </c>
      <c r="M795">
        <v>41</v>
      </c>
      <c r="N795">
        <v>2.2999999999999998</v>
      </c>
      <c r="O795">
        <f>IF(F795="Private room",1,0)</f>
        <v>1</v>
      </c>
      <c r="P795">
        <f>IF(C795="Manhattan",4,IF(C795="Brooklyn",2,0))</f>
        <v>4</v>
      </c>
      <c r="Q795" s="2">
        <v>157</v>
      </c>
      <c r="R795" s="1">
        <v>45740</v>
      </c>
      <c r="S795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214.64000000000004</v>
      </c>
    </row>
    <row r="796" spans="1:19" x14ac:dyDescent="0.3">
      <c r="A796" t="s">
        <v>1071</v>
      </c>
      <c r="B796" t="s">
        <v>273</v>
      </c>
      <c r="C796" t="s">
        <v>30</v>
      </c>
      <c r="D796">
        <v>40.655079999999998</v>
      </c>
      <c r="E796">
        <v>-73.742000000000004</v>
      </c>
      <c r="F796" t="s">
        <v>18</v>
      </c>
      <c r="G796">
        <v>9</v>
      </c>
      <c r="H796">
        <v>2</v>
      </c>
      <c r="I796">
        <v>3</v>
      </c>
      <c r="J796">
        <v>3</v>
      </c>
      <c r="K796">
        <v>3</v>
      </c>
      <c r="L796">
        <v>247</v>
      </c>
      <c r="M796">
        <v>17</v>
      </c>
      <c r="N796">
        <v>1.1599999999999999</v>
      </c>
      <c r="O796">
        <f>IF(F796="Private room",1,0)</f>
        <v>1</v>
      </c>
      <c r="P796">
        <f>IF(C796="Manhattan",4,IF(C796="Brooklyn",2,0))</f>
        <v>0</v>
      </c>
      <c r="Q796" s="2">
        <v>190</v>
      </c>
      <c r="R796" s="1">
        <v>45736</v>
      </c>
      <c r="S796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285.14</v>
      </c>
    </row>
    <row r="797" spans="1:19" x14ac:dyDescent="0.3">
      <c r="A797" t="s">
        <v>1072</v>
      </c>
      <c r="B797" t="s">
        <v>19</v>
      </c>
      <c r="C797" t="s">
        <v>20</v>
      </c>
      <c r="D797">
        <v>40.743960000000001</v>
      </c>
      <c r="E797">
        <v>-73.982690000000005</v>
      </c>
      <c r="F797" t="s">
        <v>21</v>
      </c>
      <c r="G797">
        <v>4</v>
      </c>
      <c r="H797">
        <v>1</v>
      </c>
      <c r="I797">
        <v>1</v>
      </c>
      <c r="J797">
        <v>1</v>
      </c>
      <c r="K797">
        <v>4</v>
      </c>
      <c r="L797">
        <v>268</v>
      </c>
      <c r="M797">
        <v>36</v>
      </c>
      <c r="N797">
        <v>2.09</v>
      </c>
      <c r="O797">
        <f>IF(F797="Private room",1,0)</f>
        <v>0</v>
      </c>
      <c r="P797">
        <f>IF(C797="Manhattan",4,IF(C797="Brooklyn",2,0))</f>
        <v>4</v>
      </c>
      <c r="Q797" s="2">
        <v>297</v>
      </c>
      <c r="R797" s="1">
        <v>45735</v>
      </c>
      <c r="S797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279.05</v>
      </c>
    </row>
    <row r="798" spans="1:19" x14ac:dyDescent="0.3">
      <c r="A798" t="s">
        <v>1073</v>
      </c>
      <c r="B798" t="s">
        <v>95</v>
      </c>
      <c r="C798" t="s">
        <v>20</v>
      </c>
      <c r="D798" s="3" t="s">
        <v>1074</v>
      </c>
      <c r="E798">
        <v>-73.979733069390406</v>
      </c>
      <c r="F798" t="s">
        <v>21</v>
      </c>
      <c r="G798">
        <v>4</v>
      </c>
      <c r="H798">
        <v>1</v>
      </c>
      <c r="I798">
        <v>1</v>
      </c>
      <c r="J798">
        <v>2</v>
      </c>
      <c r="K798">
        <v>1</v>
      </c>
      <c r="L798">
        <v>72</v>
      </c>
      <c r="M798">
        <v>41</v>
      </c>
      <c r="N798">
        <v>2.31</v>
      </c>
      <c r="O798">
        <f>IF(F798="Private room",1,0)</f>
        <v>0</v>
      </c>
      <c r="P798">
        <f>IF(C798="Manhattan",4,IF(C798="Brooklyn",2,0))</f>
        <v>4</v>
      </c>
      <c r="Q798" s="2">
        <v>302</v>
      </c>
      <c r="R798" s="1">
        <v>45738</v>
      </c>
      <c r="S798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296.94000000000005</v>
      </c>
    </row>
    <row r="799" spans="1:19" x14ac:dyDescent="0.3">
      <c r="A799" t="s">
        <v>1075</v>
      </c>
      <c r="B799" t="s">
        <v>28</v>
      </c>
      <c r="C799" t="s">
        <v>20</v>
      </c>
      <c r="D799">
        <v>40.810879999999997</v>
      </c>
      <c r="E799">
        <v>-73.943550000000002</v>
      </c>
      <c r="F799" t="s">
        <v>18</v>
      </c>
      <c r="G799">
        <v>2</v>
      </c>
      <c r="H799">
        <v>1</v>
      </c>
      <c r="I799">
        <v>1</v>
      </c>
      <c r="J799">
        <v>2</v>
      </c>
      <c r="K799">
        <v>1</v>
      </c>
      <c r="L799">
        <v>301</v>
      </c>
      <c r="M799">
        <v>37</v>
      </c>
      <c r="N799">
        <v>2.12</v>
      </c>
      <c r="O799">
        <f>IF(F799="Private room",1,0)</f>
        <v>1</v>
      </c>
      <c r="P799">
        <f>IF(C799="Manhattan",4,IF(C799="Brooklyn",2,0))</f>
        <v>4</v>
      </c>
      <c r="Q799" s="2">
        <v>119</v>
      </c>
      <c r="R799" s="1">
        <v>45746</v>
      </c>
      <c r="S799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206.52000000000004</v>
      </c>
    </row>
    <row r="800" spans="1:19" x14ac:dyDescent="0.3">
      <c r="A800" t="s">
        <v>1076</v>
      </c>
      <c r="B800" t="s">
        <v>1077</v>
      </c>
      <c r="C800" t="s">
        <v>30</v>
      </c>
      <c r="D800">
        <v>40.771520000000002</v>
      </c>
      <c r="E800">
        <v>-73.733069999999998</v>
      </c>
      <c r="F800" t="s">
        <v>18</v>
      </c>
      <c r="G800">
        <v>2</v>
      </c>
      <c r="H800">
        <v>1</v>
      </c>
      <c r="I800">
        <v>1</v>
      </c>
      <c r="J800">
        <v>1</v>
      </c>
      <c r="K800">
        <v>2</v>
      </c>
      <c r="L800">
        <v>64</v>
      </c>
      <c r="M800">
        <v>36</v>
      </c>
      <c r="N800">
        <v>2.0499999999999998</v>
      </c>
      <c r="O800">
        <f>IF(F800="Private room",1,0)</f>
        <v>1</v>
      </c>
      <c r="P800">
        <f>IF(C800="Manhattan",4,IF(C800="Brooklyn",2,0))</f>
        <v>0</v>
      </c>
      <c r="Q800" s="2">
        <v>74</v>
      </c>
      <c r="R800" s="1">
        <v>45747</v>
      </c>
      <c r="S800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151.73000000000002</v>
      </c>
    </row>
    <row r="801" spans="1:19" x14ac:dyDescent="0.3">
      <c r="A801" t="s">
        <v>1078</v>
      </c>
      <c r="B801" t="s">
        <v>113</v>
      </c>
      <c r="C801" t="s">
        <v>30</v>
      </c>
      <c r="D801" s="3" t="s">
        <v>1079</v>
      </c>
      <c r="E801">
        <v>-73.800887325946803</v>
      </c>
      <c r="F801" t="s">
        <v>21</v>
      </c>
      <c r="G801">
        <v>4</v>
      </c>
      <c r="H801">
        <v>1</v>
      </c>
      <c r="I801">
        <v>1</v>
      </c>
      <c r="J801">
        <v>2</v>
      </c>
      <c r="K801">
        <v>30</v>
      </c>
      <c r="L801">
        <v>228</v>
      </c>
      <c r="M801">
        <v>5</v>
      </c>
      <c r="N801">
        <v>0.48</v>
      </c>
      <c r="O801">
        <f>IF(F801="Private room",1,0)</f>
        <v>0</v>
      </c>
      <c r="P801">
        <f>IF(C801="Manhattan",4,IF(C801="Brooklyn",2,0))</f>
        <v>0</v>
      </c>
      <c r="Q801" s="2">
        <v>67</v>
      </c>
      <c r="R801" s="1">
        <v>45737</v>
      </c>
      <c r="S801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132.63000000000002</v>
      </c>
    </row>
    <row r="802" spans="1:19" x14ac:dyDescent="0.3">
      <c r="A802" t="s">
        <v>1080</v>
      </c>
      <c r="B802" t="s">
        <v>53</v>
      </c>
      <c r="C802" t="s">
        <v>20</v>
      </c>
      <c r="D802">
        <v>40.785519999999998</v>
      </c>
      <c r="E802">
        <v>-73.974940000000004</v>
      </c>
      <c r="F802" t="s">
        <v>21</v>
      </c>
      <c r="G802">
        <v>12</v>
      </c>
      <c r="H802">
        <v>1</v>
      </c>
      <c r="I802">
        <v>2</v>
      </c>
      <c r="J802">
        <v>7</v>
      </c>
      <c r="K802">
        <v>30</v>
      </c>
      <c r="L802">
        <v>261</v>
      </c>
      <c r="M802">
        <v>38</v>
      </c>
      <c r="N802">
        <v>2.2799999999999998</v>
      </c>
      <c r="O802">
        <f>IF(F802="Private room",1,0)</f>
        <v>0</v>
      </c>
      <c r="P802">
        <f>IF(C802="Manhattan",4,IF(C802="Brooklyn",2,0))</f>
        <v>4</v>
      </c>
      <c r="Q802" s="2">
        <v>389</v>
      </c>
      <c r="R802" s="1">
        <v>45738</v>
      </c>
      <c r="S802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344.07000000000005</v>
      </c>
    </row>
    <row r="803" spans="1:19" x14ac:dyDescent="0.3">
      <c r="A803" t="s">
        <v>1081</v>
      </c>
      <c r="B803" t="s">
        <v>131</v>
      </c>
      <c r="C803" t="s">
        <v>20</v>
      </c>
      <c r="D803">
        <v>40.704479999999997</v>
      </c>
      <c r="E803">
        <v>-74.006749999999997</v>
      </c>
      <c r="F803" t="s">
        <v>18</v>
      </c>
      <c r="G803">
        <v>2</v>
      </c>
      <c r="H803">
        <v>1</v>
      </c>
      <c r="I803">
        <v>1</v>
      </c>
      <c r="J803">
        <v>1</v>
      </c>
      <c r="K803">
        <v>1</v>
      </c>
      <c r="L803">
        <v>231</v>
      </c>
      <c r="M803">
        <v>55</v>
      </c>
      <c r="N803">
        <v>3.1</v>
      </c>
      <c r="O803">
        <f>IF(F803="Private room",1,0)</f>
        <v>1</v>
      </c>
      <c r="P803">
        <f>IF(C803="Manhattan",4,IF(C803="Brooklyn",2,0))</f>
        <v>4</v>
      </c>
      <c r="Q803" s="2">
        <v>267</v>
      </c>
      <c r="R803" s="1">
        <v>45733</v>
      </c>
      <c r="S803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209.32000000000005</v>
      </c>
    </row>
    <row r="804" spans="1:19" x14ac:dyDescent="0.3">
      <c r="A804" t="s">
        <v>1082</v>
      </c>
      <c r="B804" t="s">
        <v>1077</v>
      </c>
      <c r="C804" t="s">
        <v>30</v>
      </c>
      <c r="D804">
        <v>40.772080000000003</v>
      </c>
      <c r="E804">
        <v>-73.734070000000003</v>
      </c>
      <c r="F804" t="s">
        <v>18</v>
      </c>
      <c r="G804">
        <v>2</v>
      </c>
      <c r="H804">
        <v>1</v>
      </c>
      <c r="I804">
        <v>1</v>
      </c>
      <c r="J804">
        <v>1</v>
      </c>
      <c r="K804">
        <v>2</v>
      </c>
      <c r="L804">
        <v>48</v>
      </c>
      <c r="M804">
        <v>55</v>
      </c>
      <c r="N804">
        <v>3.31</v>
      </c>
      <c r="O804">
        <f>IF(F804="Private room",1,0)</f>
        <v>1</v>
      </c>
      <c r="P804">
        <f>IF(C804="Manhattan",4,IF(C804="Brooklyn",2,0))</f>
        <v>0</v>
      </c>
      <c r="Q804" s="2">
        <v>67</v>
      </c>
      <c r="R804" s="1">
        <v>45732</v>
      </c>
      <c r="S804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152.37000000000006</v>
      </c>
    </row>
    <row r="805" spans="1:19" x14ac:dyDescent="0.3">
      <c r="A805" t="s">
        <v>1083</v>
      </c>
      <c r="B805" t="s">
        <v>169</v>
      </c>
      <c r="C805" t="s">
        <v>31</v>
      </c>
      <c r="D805">
        <v>40.826729999999998</v>
      </c>
      <c r="E805">
        <v>-73.858999999999995</v>
      </c>
      <c r="F805" t="s">
        <v>21</v>
      </c>
      <c r="G805">
        <v>4</v>
      </c>
      <c r="H805">
        <v>1</v>
      </c>
      <c r="I805">
        <v>1</v>
      </c>
      <c r="J805">
        <v>2</v>
      </c>
      <c r="K805">
        <v>30</v>
      </c>
      <c r="L805">
        <v>262</v>
      </c>
      <c r="M805">
        <v>1</v>
      </c>
      <c r="N805">
        <v>0.54</v>
      </c>
      <c r="O805">
        <f>IF(F805="Private room",1,0)</f>
        <v>0</v>
      </c>
      <c r="P805">
        <f>IF(C805="Manhattan",4,IF(C805="Brooklyn",2,0))</f>
        <v>0</v>
      </c>
      <c r="Q805" s="2">
        <v>86</v>
      </c>
      <c r="R805" s="1">
        <v>45724</v>
      </c>
      <c r="S805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131.27000000000004</v>
      </c>
    </row>
    <row r="806" spans="1:19" x14ac:dyDescent="0.3">
      <c r="A806" t="s">
        <v>1084</v>
      </c>
      <c r="B806" t="s">
        <v>36</v>
      </c>
      <c r="C806" t="s">
        <v>20</v>
      </c>
      <c r="D806">
        <v>40.774010099999998</v>
      </c>
      <c r="E806">
        <v>-73.950057399999906</v>
      </c>
      <c r="F806" t="s">
        <v>21</v>
      </c>
      <c r="G806">
        <v>2</v>
      </c>
      <c r="H806">
        <v>1</v>
      </c>
      <c r="I806">
        <v>0</v>
      </c>
      <c r="J806">
        <v>1</v>
      </c>
      <c r="K806">
        <v>30</v>
      </c>
      <c r="L806">
        <v>332</v>
      </c>
      <c r="M806">
        <v>7</v>
      </c>
      <c r="N806">
        <v>0.43</v>
      </c>
      <c r="O806">
        <f>IF(F806="Private room",1,0)</f>
        <v>0</v>
      </c>
      <c r="P806">
        <f>IF(C806="Manhattan",4,IF(C806="Brooklyn",2,0))</f>
        <v>4</v>
      </c>
      <c r="Q806" s="2">
        <v>118</v>
      </c>
      <c r="R806" s="1">
        <v>45718</v>
      </c>
      <c r="S806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151.43</v>
      </c>
    </row>
    <row r="807" spans="1:19" x14ac:dyDescent="0.3">
      <c r="A807" t="s">
        <v>1085</v>
      </c>
      <c r="B807" t="s">
        <v>131</v>
      </c>
      <c r="C807" t="s">
        <v>20</v>
      </c>
      <c r="D807" s="3" t="s">
        <v>1086</v>
      </c>
      <c r="E807">
        <v>-74.0130271584528</v>
      </c>
      <c r="F807" t="s">
        <v>21</v>
      </c>
      <c r="G807">
        <v>2</v>
      </c>
      <c r="H807">
        <v>1</v>
      </c>
      <c r="I807">
        <v>1</v>
      </c>
      <c r="J807">
        <v>1</v>
      </c>
      <c r="K807">
        <v>3</v>
      </c>
      <c r="L807">
        <v>82</v>
      </c>
      <c r="M807">
        <v>5</v>
      </c>
      <c r="N807">
        <v>0.42</v>
      </c>
      <c r="O807">
        <f>IF(F807="Private room",1,0)</f>
        <v>0</v>
      </c>
      <c r="P807">
        <f>IF(C807="Manhattan",4,IF(C807="Brooklyn",2,0))</f>
        <v>4</v>
      </c>
      <c r="Q807" s="2">
        <v>203</v>
      </c>
      <c r="R807" s="1">
        <v>45738</v>
      </c>
      <c r="S807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251.88</v>
      </c>
    </row>
    <row r="808" spans="1:19" x14ac:dyDescent="0.3">
      <c r="A808" t="s">
        <v>1087</v>
      </c>
      <c r="B808" t="s">
        <v>50</v>
      </c>
      <c r="C808" t="s">
        <v>20</v>
      </c>
      <c r="D808">
        <v>40.7399737</v>
      </c>
      <c r="E808">
        <v>-74.003553799999906</v>
      </c>
      <c r="F808" t="s">
        <v>21</v>
      </c>
      <c r="G808">
        <v>2</v>
      </c>
      <c r="H808">
        <v>1</v>
      </c>
      <c r="I808">
        <v>0</v>
      </c>
      <c r="J808">
        <v>1</v>
      </c>
      <c r="K808">
        <v>30</v>
      </c>
      <c r="L808">
        <v>321</v>
      </c>
      <c r="M808">
        <v>2</v>
      </c>
      <c r="N808">
        <v>0.14000000000000001</v>
      </c>
      <c r="O808">
        <f>IF(F808="Private room",1,0)</f>
        <v>0</v>
      </c>
      <c r="P808">
        <f>IF(C808="Manhattan",4,IF(C808="Brooklyn",2,0))</f>
        <v>4</v>
      </c>
      <c r="Q808" s="2">
        <v>120</v>
      </c>
      <c r="R808" s="1">
        <v>45731</v>
      </c>
      <c r="S808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151.87</v>
      </c>
    </row>
    <row r="809" spans="1:19" x14ac:dyDescent="0.3">
      <c r="A809" t="s">
        <v>1088</v>
      </c>
      <c r="B809" t="s">
        <v>19</v>
      </c>
      <c r="C809" t="s">
        <v>20</v>
      </c>
      <c r="D809">
        <v>40.746339999999996</v>
      </c>
      <c r="E809">
        <v>-73.986630000000005</v>
      </c>
      <c r="F809" t="s">
        <v>18</v>
      </c>
      <c r="G809">
        <v>4</v>
      </c>
      <c r="H809">
        <v>1</v>
      </c>
      <c r="I809">
        <v>1</v>
      </c>
      <c r="J809">
        <v>3</v>
      </c>
      <c r="K809">
        <v>1</v>
      </c>
      <c r="L809">
        <v>275</v>
      </c>
      <c r="M809">
        <v>14</v>
      </c>
      <c r="N809">
        <v>1.1299999999999999</v>
      </c>
      <c r="O809">
        <f>IF(F809="Private room",1,0)</f>
        <v>1</v>
      </c>
      <c r="P809">
        <f>IF(C809="Manhattan",4,IF(C809="Brooklyn",2,0))</f>
        <v>4</v>
      </c>
      <c r="Q809" s="2">
        <v>191</v>
      </c>
      <c r="R809" s="1">
        <v>45721</v>
      </c>
      <c r="S809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245.52000000000004</v>
      </c>
    </row>
    <row r="810" spans="1:19" x14ac:dyDescent="0.3">
      <c r="A810" t="s">
        <v>1089</v>
      </c>
      <c r="B810" t="s">
        <v>273</v>
      </c>
      <c r="C810" t="s">
        <v>30</v>
      </c>
      <c r="D810">
        <v>40.662363399999997</v>
      </c>
      <c r="E810">
        <v>-73.734856699999995</v>
      </c>
      <c r="F810" t="s">
        <v>18</v>
      </c>
      <c r="G810">
        <v>3</v>
      </c>
      <c r="H810">
        <v>1</v>
      </c>
      <c r="I810">
        <v>1</v>
      </c>
      <c r="J810">
        <v>1</v>
      </c>
      <c r="K810">
        <v>3</v>
      </c>
      <c r="L810">
        <v>270</v>
      </c>
      <c r="M810">
        <v>24</v>
      </c>
      <c r="N810">
        <v>1.84</v>
      </c>
      <c r="O810">
        <f>IF(F810="Private room",1,0)</f>
        <v>1</v>
      </c>
      <c r="P810">
        <f>IF(C810="Manhattan",4,IF(C810="Brooklyn",2,0))</f>
        <v>0</v>
      </c>
      <c r="Q810" s="2">
        <v>99</v>
      </c>
      <c r="R810" s="1">
        <v>45738</v>
      </c>
      <c r="S810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159.12</v>
      </c>
    </row>
    <row r="811" spans="1:19" x14ac:dyDescent="0.3">
      <c r="A811" t="s">
        <v>1090</v>
      </c>
      <c r="B811" t="s">
        <v>53</v>
      </c>
      <c r="C811" t="s">
        <v>20</v>
      </c>
      <c r="D811">
        <v>40.7834267</v>
      </c>
      <c r="E811">
        <v>-73.978495199999998</v>
      </c>
      <c r="F811" t="s">
        <v>18</v>
      </c>
      <c r="G811">
        <v>4</v>
      </c>
      <c r="H811">
        <v>1</v>
      </c>
      <c r="I811">
        <v>1</v>
      </c>
      <c r="J811">
        <v>2</v>
      </c>
      <c r="K811">
        <v>1</v>
      </c>
      <c r="L811">
        <v>111</v>
      </c>
      <c r="M811">
        <v>31</v>
      </c>
      <c r="N811">
        <v>2.09</v>
      </c>
      <c r="O811">
        <f>IF(F811="Private room",1,0)</f>
        <v>1</v>
      </c>
      <c r="P811">
        <f>IF(C811="Manhattan",4,IF(C811="Brooklyn",2,0))</f>
        <v>4</v>
      </c>
      <c r="Q811" s="2">
        <v>345</v>
      </c>
      <c r="R811" s="1">
        <v>45742</v>
      </c>
      <c r="S811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252.08000000000004</v>
      </c>
    </row>
    <row r="812" spans="1:19" x14ac:dyDescent="0.3">
      <c r="A812" t="s">
        <v>1091</v>
      </c>
      <c r="B812" t="s">
        <v>72</v>
      </c>
      <c r="C812" t="s">
        <v>20</v>
      </c>
      <c r="D812">
        <v>40.734119999999997</v>
      </c>
      <c r="E812">
        <v>-73.980689999999996</v>
      </c>
      <c r="F812" t="s">
        <v>21</v>
      </c>
      <c r="G812">
        <v>3</v>
      </c>
      <c r="H812">
        <v>1</v>
      </c>
      <c r="I812">
        <v>1</v>
      </c>
      <c r="J812">
        <v>1</v>
      </c>
      <c r="K812">
        <v>7</v>
      </c>
      <c r="L812">
        <v>189</v>
      </c>
      <c r="M812">
        <v>23</v>
      </c>
      <c r="N812">
        <v>1.57</v>
      </c>
      <c r="O812">
        <f>IF(F812="Private room",1,0)</f>
        <v>0</v>
      </c>
      <c r="P812">
        <f>IF(C812="Manhattan",4,IF(C812="Brooklyn",2,0))</f>
        <v>4</v>
      </c>
      <c r="Q812" s="2">
        <v>279</v>
      </c>
      <c r="R812" s="1">
        <v>45725</v>
      </c>
      <c r="S812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253.18</v>
      </c>
    </row>
    <row r="813" spans="1:19" x14ac:dyDescent="0.3">
      <c r="A813" t="s">
        <v>1092</v>
      </c>
      <c r="B813" t="s">
        <v>36</v>
      </c>
      <c r="C813" t="s">
        <v>20</v>
      </c>
      <c r="D813">
        <v>40.781170000000003</v>
      </c>
      <c r="E813">
        <v>-73.946100000000001</v>
      </c>
      <c r="F813" t="s">
        <v>21</v>
      </c>
      <c r="G813">
        <v>5</v>
      </c>
      <c r="H813">
        <v>1</v>
      </c>
      <c r="I813">
        <v>2</v>
      </c>
      <c r="J813">
        <v>3</v>
      </c>
      <c r="K813">
        <v>30</v>
      </c>
      <c r="L813">
        <v>254</v>
      </c>
      <c r="M813">
        <v>3</v>
      </c>
      <c r="N813">
        <v>0.21</v>
      </c>
      <c r="O813">
        <f>IF(F813="Private room",1,0)</f>
        <v>0</v>
      </c>
      <c r="P813">
        <f>IF(C813="Manhattan",4,IF(C813="Brooklyn",2,0))</f>
        <v>4</v>
      </c>
      <c r="Q813" s="2">
        <v>131</v>
      </c>
      <c r="R813" s="1">
        <v>45742</v>
      </c>
      <c r="S813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211.49</v>
      </c>
    </row>
    <row r="814" spans="1:19" x14ac:dyDescent="0.3">
      <c r="A814" t="s">
        <v>1093</v>
      </c>
      <c r="B814" t="s">
        <v>68</v>
      </c>
      <c r="C814" t="s">
        <v>20</v>
      </c>
      <c r="D814">
        <v>40.848239</v>
      </c>
      <c r="E814">
        <v>-73.935886499999995</v>
      </c>
      <c r="F814" t="s">
        <v>21</v>
      </c>
      <c r="G814">
        <v>4</v>
      </c>
      <c r="H814">
        <v>1</v>
      </c>
      <c r="I814">
        <v>2</v>
      </c>
      <c r="J814">
        <v>2</v>
      </c>
      <c r="K814">
        <v>30</v>
      </c>
      <c r="L814">
        <v>86</v>
      </c>
      <c r="M814">
        <v>4</v>
      </c>
      <c r="N814">
        <v>0.69</v>
      </c>
      <c r="O814">
        <f>IF(F814="Private room",1,0)</f>
        <v>0</v>
      </c>
      <c r="P814">
        <f>IF(C814="Manhattan",4,IF(C814="Brooklyn",2,0))</f>
        <v>4</v>
      </c>
      <c r="Q814" s="2">
        <v>120</v>
      </c>
      <c r="R814" s="1">
        <v>45744</v>
      </c>
      <c r="S814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199.23000000000002</v>
      </c>
    </row>
    <row r="815" spans="1:19" x14ac:dyDescent="0.3">
      <c r="A815" t="s">
        <v>1094</v>
      </c>
      <c r="B815" t="s">
        <v>36</v>
      </c>
      <c r="C815" t="s">
        <v>20</v>
      </c>
      <c r="D815" s="3" t="s">
        <v>1095</v>
      </c>
      <c r="E815">
        <v>-73.946240004615703</v>
      </c>
      <c r="F815" t="s">
        <v>21</v>
      </c>
      <c r="G815">
        <v>4</v>
      </c>
      <c r="H815">
        <v>1</v>
      </c>
      <c r="I815">
        <v>2</v>
      </c>
      <c r="J815">
        <v>3</v>
      </c>
      <c r="K815">
        <v>30</v>
      </c>
      <c r="L815">
        <v>364</v>
      </c>
      <c r="M815">
        <v>3</v>
      </c>
      <c r="N815">
        <v>0.21</v>
      </c>
      <c r="O815">
        <f>IF(F815="Private room",1,0)</f>
        <v>0</v>
      </c>
      <c r="P815">
        <f>IF(C815="Manhattan",4,IF(C815="Brooklyn",2,0))</f>
        <v>4</v>
      </c>
      <c r="Q815" s="2">
        <v>137</v>
      </c>
      <c r="R815" s="1">
        <v>45747</v>
      </c>
      <c r="S815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188.11</v>
      </c>
    </row>
    <row r="816" spans="1:19" x14ac:dyDescent="0.3">
      <c r="A816" t="s">
        <v>1096</v>
      </c>
      <c r="B816" t="s">
        <v>36</v>
      </c>
      <c r="C816" t="s">
        <v>20</v>
      </c>
      <c r="D816">
        <v>40.7708224</v>
      </c>
      <c r="E816">
        <v>-73.957562600000003</v>
      </c>
      <c r="F816" t="s">
        <v>21</v>
      </c>
      <c r="G816">
        <v>2</v>
      </c>
      <c r="H816">
        <v>1</v>
      </c>
      <c r="I816">
        <v>0</v>
      </c>
      <c r="J816">
        <v>1</v>
      </c>
      <c r="K816">
        <v>30</v>
      </c>
      <c r="L816">
        <v>266</v>
      </c>
      <c r="M816">
        <v>3</v>
      </c>
      <c r="N816">
        <v>0.26</v>
      </c>
      <c r="O816">
        <f>IF(F816="Private room",1,0)</f>
        <v>0</v>
      </c>
      <c r="P816">
        <f>IF(C816="Manhattan",4,IF(C816="Brooklyn",2,0))</f>
        <v>4</v>
      </c>
      <c r="Q816" s="2">
        <v>113</v>
      </c>
      <c r="R816" s="1">
        <v>45729</v>
      </c>
      <c r="S816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154.07000000000002</v>
      </c>
    </row>
    <row r="817" spans="1:19" x14ac:dyDescent="0.3">
      <c r="A817" t="s">
        <v>1097</v>
      </c>
      <c r="B817" t="s">
        <v>61</v>
      </c>
      <c r="C817" t="s">
        <v>30</v>
      </c>
      <c r="D817">
        <v>40.765999999999998</v>
      </c>
      <c r="E817">
        <v>-73.926580000000001</v>
      </c>
      <c r="F817" t="s">
        <v>18</v>
      </c>
      <c r="G817">
        <v>1</v>
      </c>
      <c r="H817">
        <v>1</v>
      </c>
      <c r="I817">
        <v>1</v>
      </c>
      <c r="J817">
        <v>1</v>
      </c>
      <c r="K817">
        <v>30</v>
      </c>
      <c r="L817">
        <v>210</v>
      </c>
      <c r="M817">
        <v>4</v>
      </c>
      <c r="N817">
        <v>0.43</v>
      </c>
      <c r="O817">
        <f>IF(F817="Private room",1,0)</f>
        <v>1</v>
      </c>
      <c r="P817">
        <f>IF(C817="Manhattan",4,IF(C817="Brooklyn",2,0))</f>
        <v>0</v>
      </c>
      <c r="Q817" s="2">
        <v>73</v>
      </c>
      <c r="R817" s="1">
        <v>45726</v>
      </c>
      <c r="S817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33.11</v>
      </c>
    </row>
    <row r="818" spans="1:19" x14ac:dyDescent="0.3">
      <c r="A818" t="s">
        <v>1098</v>
      </c>
      <c r="B818" t="s">
        <v>101</v>
      </c>
      <c r="C818" t="s">
        <v>30</v>
      </c>
      <c r="D818">
        <v>40.761830000000003</v>
      </c>
      <c r="E818">
        <v>-73.880120000000005</v>
      </c>
      <c r="F818" t="s">
        <v>18</v>
      </c>
      <c r="G818">
        <v>2</v>
      </c>
      <c r="H818">
        <v>1</v>
      </c>
      <c r="I818">
        <v>1</v>
      </c>
      <c r="J818">
        <v>1</v>
      </c>
      <c r="K818">
        <v>2</v>
      </c>
      <c r="L818">
        <v>217</v>
      </c>
      <c r="M818">
        <v>54</v>
      </c>
      <c r="N818">
        <v>3.79</v>
      </c>
      <c r="O818">
        <f>IF(F818="Private room",1,0)</f>
        <v>1</v>
      </c>
      <c r="P818">
        <f>IF(C818="Manhattan",4,IF(C818="Brooklyn",2,0))</f>
        <v>0</v>
      </c>
      <c r="Q818" s="2">
        <v>85</v>
      </c>
      <c r="R818" s="1">
        <v>45732</v>
      </c>
      <c r="S818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145.61000000000001</v>
      </c>
    </row>
    <row r="819" spans="1:19" x14ac:dyDescent="0.3">
      <c r="A819" t="s">
        <v>1099</v>
      </c>
      <c r="B819" t="s">
        <v>19</v>
      </c>
      <c r="C819" t="s">
        <v>20</v>
      </c>
      <c r="D819">
        <v>40.747197900000003</v>
      </c>
      <c r="E819">
        <v>-73.987819900000005</v>
      </c>
      <c r="F819" t="s">
        <v>18</v>
      </c>
      <c r="G819">
        <v>8</v>
      </c>
      <c r="H819">
        <v>1</v>
      </c>
      <c r="I819">
        <v>1</v>
      </c>
      <c r="J819">
        <v>4</v>
      </c>
      <c r="K819">
        <v>1</v>
      </c>
      <c r="L819">
        <v>269</v>
      </c>
      <c r="M819">
        <v>35</v>
      </c>
      <c r="N819">
        <v>2.35</v>
      </c>
      <c r="O819">
        <f>IF(F819="Private room",1,0)</f>
        <v>1</v>
      </c>
      <c r="P819">
        <f>IF(C819="Manhattan",4,IF(C819="Brooklyn",2,0))</f>
        <v>4</v>
      </c>
      <c r="Q819" s="2">
        <v>430</v>
      </c>
      <c r="R819" s="1">
        <v>45739</v>
      </c>
      <c r="S819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321.68000000000006</v>
      </c>
    </row>
    <row r="820" spans="1:19" x14ac:dyDescent="0.3">
      <c r="A820" t="s">
        <v>1100</v>
      </c>
      <c r="B820" t="s">
        <v>41</v>
      </c>
      <c r="C820" t="s">
        <v>20</v>
      </c>
      <c r="D820" s="3" t="s">
        <v>1101</v>
      </c>
      <c r="E820">
        <v>-73.980062235727104</v>
      </c>
      <c r="F820" t="s">
        <v>21</v>
      </c>
      <c r="G820">
        <v>2</v>
      </c>
      <c r="H820">
        <v>1</v>
      </c>
      <c r="I820">
        <v>1</v>
      </c>
      <c r="J820">
        <v>1</v>
      </c>
      <c r="K820">
        <v>30</v>
      </c>
      <c r="L820">
        <v>152</v>
      </c>
      <c r="M820">
        <v>4</v>
      </c>
      <c r="N820">
        <v>0.3</v>
      </c>
      <c r="O820">
        <f>IF(F820="Private room",1,0)</f>
        <v>0</v>
      </c>
      <c r="P820">
        <f>IF(C820="Manhattan",4,IF(C820="Brooklyn",2,0))</f>
        <v>4</v>
      </c>
      <c r="Q820" s="2">
        <v>170</v>
      </c>
      <c r="R820" s="1">
        <v>45738</v>
      </c>
      <c r="S820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158.63000000000002</v>
      </c>
    </row>
    <row r="821" spans="1:19" x14ac:dyDescent="0.3">
      <c r="A821" t="s">
        <v>1103</v>
      </c>
      <c r="B821" t="s">
        <v>28</v>
      </c>
      <c r="C821" t="s">
        <v>20</v>
      </c>
      <c r="D821" s="3" t="s">
        <v>1104</v>
      </c>
      <c r="E821">
        <v>-73.940113408446905</v>
      </c>
      <c r="F821" t="s">
        <v>21</v>
      </c>
      <c r="G821">
        <v>4</v>
      </c>
      <c r="H821">
        <v>1</v>
      </c>
      <c r="I821">
        <v>2</v>
      </c>
      <c r="J821">
        <v>2</v>
      </c>
      <c r="K821">
        <v>2</v>
      </c>
      <c r="L821">
        <v>303</v>
      </c>
      <c r="M821">
        <v>30</v>
      </c>
      <c r="N821">
        <v>2.19</v>
      </c>
      <c r="O821">
        <f>IF(F821="Private room",1,0)</f>
        <v>0</v>
      </c>
      <c r="P821">
        <f>IF(C821="Manhattan",4,IF(C821="Brooklyn",2,0))</f>
        <v>4</v>
      </c>
      <c r="Q821" s="2">
        <v>244</v>
      </c>
      <c r="R821" s="1">
        <v>45746</v>
      </c>
      <c r="S821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284.35000000000002</v>
      </c>
    </row>
    <row r="822" spans="1:19" x14ac:dyDescent="0.3">
      <c r="A822" t="s">
        <v>1105</v>
      </c>
      <c r="B822" t="s">
        <v>53</v>
      </c>
      <c r="C822" t="s">
        <v>20</v>
      </c>
      <c r="D822">
        <v>40.7926</v>
      </c>
      <c r="E822">
        <v>-73.974909999999994</v>
      </c>
      <c r="F822" t="s">
        <v>21</v>
      </c>
      <c r="G822">
        <v>1</v>
      </c>
      <c r="H822">
        <v>1</v>
      </c>
      <c r="I822">
        <v>0</v>
      </c>
      <c r="J822">
        <v>1</v>
      </c>
      <c r="K822">
        <v>30</v>
      </c>
      <c r="L822">
        <v>185</v>
      </c>
      <c r="M822">
        <v>7</v>
      </c>
      <c r="N822">
        <v>0.49</v>
      </c>
      <c r="O822">
        <f>IF(F822="Private room",1,0)</f>
        <v>0</v>
      </c>
      <c r="P822">
        <f>IF(C822="Manhattan",4,IF(C822="Brooklyn",2,0))</f>
        <v>4</v>
      </c>
      <c r="Q822" s="2">
        <v>78</v>
      </c>
      <c r="R822" s="1">
        <v>45746</v>
      </c>
      <c r="S822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138.32999999999998</v>
      </c>
    </row>
    <row r="823" spans="1:19" x14ac:dyDescent="0.3">
      <c r="A823" t="s">
        <v>1106</v>
      </c>
      <c r="B823" t="s">
        <v>43</v>
      </c>
      <c r="C823" t="s">
        <v>20</v>
      </c>
      <c r="D823">
        <v>40.719765000000002</v>
      </c>
      <c r="E823">
        <v>-73.988101999999998</v>
      </c>
      <c r="F823" t="s">
        <v>18</v>
      </c>
      <c r="G823">
        <v>4</v>
      </c>
      <c r="H823">
        <v>1</v>
      </c>
      <c r="I823">
        <v>1</v>
      </c>
      <c r="J823">
        <v>2</v>
      </c>
      <c r="K823">
        <v>1</v>
      </c>
      <c r="L823">
        <v>114</v>
      </c>
      <c r="M823">
        <v>7</v>
      </c>
      <c r="N823">
        <v>0.51</v>
      </c>
      <c r="O823">
        <f>IF(F823="Private room",1,0)</f>
        <v>1</v>
      </c>
      <c r="P823">
        <f>IF(C823="Manhattan",4,IF(C823="Brooklyn",2,0))</f>
        <v>4</v>
      </c>
      <c r="Q823" s="2">
        <v>358</v>
      </c>
      <c r="R823" s="1">
        <v>45718</v>
      </c>
      <c r="S823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251.96000000000004</v>
      </c>
    </row>
    <row r="824" spans="1:19" x14ac:dyDescent="0.3">
      <c r="A824" t="s">
        <v>1107</v>
      </c>
      <c r="B824" t="s">
        <v>43</v>
      </c>
      <c r="C824" t="s">
        <v>20</v>
      </c>
      <c r="D824">
        <v>40.719765000000002</v>
      </c>
      <c r="E824">
        <v>-73.988101999999998</v>
      </c>
      <c r="F824" t="s">
        <v>18</v>
      </c>
      <c r="G824">
        <v>2</v>
      </c>
      <c r="H824">
        <v>1</v>
      </c>
      <c r="I824">
        <v>1</v>
      </c>
      <c r="J824">
        <v>1</v>
      </c>
      <c r="K824">
        <v>1</v>
      </c>
      <c r="L824">
        <v>114</v>
      </c>
      <c r="M824">
        <v>2</v>
      </c>
      <c r="N824">
        <v>0.39</v>
      </c>
      <c r="O824">
        <f>IF(F824="Private room",1,0)</f>
        <v>1</v>
      </c>
      <c r="P824">
        <f>IF(C824="Manhattan",4,IF(C824="Brooklyn",2,0))</f>
        <v>4</v>
      </c>
      <c r="Q824" s="2">
        <v>385</v>
      </c>
      <c r="R824" s="1">
        <v>45736</v>
      </c>
      <c r="S824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214.00000000000006</v>
      </c>
    </row>
    <row r="825" spans="1:19" x14ac:dyDescent="0.3">
      <c r="A825" t="s">
        <v>1108</v>
      </c>
      <c r="B825" t="s">
        <v>45</v>
      </c>
      <c r="C825" t="s">
        <v>20</v>
      </c>
      <c r="D825" s="3" t="s">
        <v>1109</v>
      </c>
      <c r="E825">
        <v>-73.998430417020998</v>
      </c>
      <c r="F825" t="s">
        <v>21</v>
      </c>
      <c r="G825">
        <v>2</v>
      </c>
      <c r="H825">
        <v>1</v>
      </c>
      <c r="I825">
        <v>0</v>
      </c>
      <c r="J825">
        <v>1</v>
      </c>
      <c r="K825">
        <v>30</v>
      </c>
      <c r="L825">
        <v>335</v>
      </c>
      <c r="M825">
        <v>3</v>
      </c>
      <c r="N825">
        <v>0.23</v>
      </c>
      <c r="O825">
        <f>IF(F825="Private room",1,0)</f>
        <v>0</v>
      </c>
      <c r="P825">
        <f>IF(C825="Manhattan",4,IF(C825="Brooklyn",2,0))</f>
        <v>4</v>
      </c>
      <c r="Q825" s="2">
        <v>249</v>
      </c>
      <c r="R825" s="1">
        <v>45747</v>
      </c>
      <c r="S825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151.31</v>
      </c>
    </row>
    <row r="826" spans="1:19" x14ac:dyDescent="0.3">
      <c r="A826" t="s">
        <v>1110</v>
      </c>
      <c r="B826" t="s">
        <v>19</v>
      </c>
      <c r="C826" t="s">
        <v>20</v>
      </c>
      <c r="D826" s="3" t="s">
        <v>1111</v>
      </c>
      <c r="E826">
        <v>-73.987378314113698</v>
      </c>
      <c r="F826" t="s">
        <v>21</v>
      </c>
      <c r="G826">
        <v>5</v>
      </c>
      <c r="H826">
        <v>1</v>
      </c>
      <c r="I826">
        <v>0</v>
      </c>
      <c r="J826">
        <v>3</v>
      </c>
      <c r="K826">
        <v>1</v>
      </c>
      <c r="L826">
        <v>129</v>
      </c>
      <c r="M826">
        <v>9</v>
      </c>
      <c r="N826">
        <v>0.8</v>
      </c>
      <c r="O826">
        <f>IF(F826="Private room",1,0)</f>
        <v>0</v>
      </c>
      <c r="P826">
        <f>IF(C826="Manhattan",4,IF(C826="Brooklyn",2,0))</f>
        <v>4</v>
      </c>
      <c r="Q826" s="2">
        <v>290</v>
      </c>
      <c r="R826" s="1">
        <v>45735</v>
      </c>
      <c r="S826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313.64</v>
      </c>
    </row>
    <row r="827" spans="1:19" x14ac:dyDescent="0.3">
      <c r="A827" t="s">
        <v>1112</v>
      </c>
      <c r="B827" t="s">
        <v>68</v>
      </c>
      <c r="C827" t="s">
        <v>20</v>
      </c>
      <c r="D827">
        <v>40.854410000000001</v>
      </c>
      <c r="E827">
        <v>-73.930480000000003</v>
      </c>
      <c r="F827" t="s">
        <v>21</v>
      </c>
      <c r="G827">
        <v>3</v>
      </c>
      <c r="H827">
        <v>1</v>
      </c>
      <c r="I827">
        <v>2</v>
      </c>
      <c r="J827">
        <v>2</v>
      </c>
      <c r="K827">
        <v>30</v>
      </c>
      <c r="L827">
        <v>155</v>
      </c>
      <c r="M827">
        <v>5</v>
      </c>
      <c r="N827">
        <v>0.46</v>
      </c>
      <c r="O827">
        <f>IF(F827="Private room",1,0)</f>
        <v>0</v>
      </c>
      <c r="P827">
        <f>IF(C827="Manhattan",4,IF(C827="Brooklyn",2,0))</f>
        <v>4</v>
      </c>
      <c r="Q827" s="2">
        <v>90</v>
      </c>
      <c r="R827" s="1">
        <v>45745</v>
      </c>
      <c r="S827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177.49</v>
      </c>
    </row>
    <row r="828" spans="1:19" x14ac:dyDescent="0.3">
      <c r="A828" t="s">
        <v>1113</v>
      </c>
      <c r="B828" t="s">
        <v>59</v>
      </c>
      <c r="C828" t="s">
        <v>17</v>
      </c>
      <c r="D828">
        <v>40.685540000000003</v>
      </c>
      <c r="E828">
        <v>-73.966669999999993</v>
      </c>
      <c r="F828" t="s">
        <v>21</v>
      </c>
      <c r="G828">
        <v>2</v>
      </c>
      <c r="H828">
        <v>1</v>
      </c>
      <c r="I828">
        <v>1</v>
      </c>
      <c r="J828">
        <v>2</v>
      </c>
      <c r="K828">
        <v>30</v>
      </c>
      <c r="L828">
        <v>80</v>
      </c>
      <c r="M828">
        <v>58</v>
      </c>
      <c r="N828">
        <v>3.91</v>
      </c>
      <c r="O828">
        <f>IF(F828="Private room",1,0)</f>
        <v>0</v>
      </c>
      <c r="P828">
        <f>IF(C828="Manhattan",4,IF(C828="Brooklyn",2,0))</f>
        <v>2</v>
      </c>
      <c r="Q828" s="2">
        <v>181</v>
      </c>
      <c r="R828" s="1">
        <v>45739</v>
      </c>
      <c r="S828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131.05000000000001</v>
      </c>
    </row>
    <row r="829" spans="1:19" x14ac:dyDescent="0.3">
      <c r="A829" t="s">
        <v>1114</v>
      </c>
      <c r="B829" t="s">
        <v>1077</v>
      </c>
      <c r="C829" t="s">
        <v>30</v>
      </c>
      <c r="D829">
        <v>40.772010000000002</v>
      </c>
      <c r="E829">
        <v>-73.734290000000001</v>
      </c>
      <c r="F829" t="s">
        <v>18</v>
      </c>
      <c r="G829">
        <v>2</v>
      </c>
      <c r="H829">
        <v>1</v>
      </c>
      <c r="I829">
        <v>1</v>
      </c>
      <c r="J829">
        <v>1</v>
      </c>
      <c r="K829">
        <v>2</v>
      </c>
      <c r="L829">
        <v>81</v>
      </c>
      <c r="M829">
        <v>30</v>
      </c>
      <c r="N829">
        <v>1.98</v>
      </c>
      <c r="O829">
        <f>IF(F829="Private room",1,0)</f>
        <v>1</v>
      </c>
      <c r="P829">
        <f>IF(C829="Manhattan",4,IF(C829="Brooklyn",2,0))</f>
        <v>0</v>
      </c>
      <c r="Q829" s="2">
        <v>76</v>
      </c>
      <c r="R829" s="1">
        <v>45747</v>
      </c>
      <c r="S829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151.05000000000001</v>
      </c>
    </row>
    <row r="830" spans="1:19" x14ac:dyDescent="0.3">
      <c r="A830" t="s">
        <v>1115</v>
      </c>
      <c r="B830" t="s">
        <v>78</v>
      </c>
      <c r="C830" t="s">
        <v>20</v>
      </c>
      <c r="D830">
        <v>40.760210000000001</v>
      </c>
      <c r="E830">
        <v>-73.987610000000004</v>
      </c>
      <c r="F830" t="s">
        <v>18</v>
      </c>
      <c r="G830">
        <v>2</v>
      </c>
      <c r="H830">
        <v>1</v>
      </c>
      <c r="I830">
        <v>0</v>
      </c>
      <c r="J830">
        <v>1</v>
      </c>
      <c r="K830">
        <v>1</v>
      </c>
      <c r="L830">
        <v>275</v>
      </c>
      <c r="M830">
        <v>160</v>
      </c>
      <c r="N830">
        <v>10.74</v>
      </c>
      <c r="O830">
        <f>IF(F830="Private room",1,0)</f>
        <v>1</v>
      </c>
      <c r="P830">
        <f>IF(C830="Manhattan",4,IF(C830="Brooklyn",2,0))</f>
        <v>4</v>
      </c>
      <c r="Q830" s="2">
        <v>316</v>
      </c>
      <c r="R830" s="1">
        <v>45747</v>
      </c>
      <c r="S830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207.56000000000006</v>
      </c>
    </row>
    <row r="831" spans="1:19" x14ac:dyDescent="0.3">
      <c r="A831" t="s">
        <v>1116</v>
      </c>
      <c r="B831" t="s">
        <v>131</v>
      </c>
      <c r="C831" t="s">
        <v>20</v>
      </c>
      <c r="D831">
        <v>40.712049999999998</v>
      </c>
      <c r="E831">
        <v>-74.011390000000006</v>
      </c>
      <c r="F831" t="s">
        <v>18</v>
      </c>
      <c r="G831">
        <v>2</v>
      </c>
      <c r="H831">
        <v>1</v>
      </c>
      <c r="I831">
        <v>1</v>
      </c>
      <c r="J831">
        <v>1</v>
      </c>
      <c r="K831">
        <v>1</v>
      </c>
      <c r="L831">
        <v>245</v>
      </c>
      <c r="M831">
        <v>201</v>
      </c>
      <c r="N831">
        <v>13.11</v>
      </c>
      <c r="O831">
        <f>IF(F831="Private room",1,0)</f>
        <v>1</v>
      </c>
      <c r="P831">
        <f>IF(C831="Manhattan",4,IF(C831="Brooklyn",2,0))</f>
        <v>4</v>
      </c>
      <c r="Q831" s="2">
        <v>355</v>
      </c>
      <c r="R831" s="1">
        <v>45746</v>
      </c>
      <c r="S831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208.76000000000005</v>
      </c>
    </row>
    <row r="832" spans="1:19" x14ac:dyDescent="0.3">
      <c r="A832" t="s">
        <v>1102</v>
      </c>
      <c r="B832" t="s">
        <v>45</v>
      </c>
      <c r="C832" t="s">
        <v>20</v>
      </c>
      <c r="D832">
        <v>40.741016799999997</v>
      </c>
      <c r="E832">
        <v>-73.9965239</v>
      </c>
      <c r="F832" t="s">
        <v>21</v>
      </c>
      <c r="G832">
        <v>2</v>
      </c>
      <c r="H832">
        <v>1</v>
      </c>
      <c r="I832">
        <v>0</v>
      </c>
      <c r="J832">
        <v>1</v>
      </c>
      <c r="K832">
        <v>30</v>
      </c>
      <c r="L832">
        <v>228</v>
      </c>
      <c r="M832">
        <v>6</v>
      </c>
      <c r="N832">
        <v>0.48</v>
      </c>
      <c r="O832">
        <f>IF(F832="Private room",1,0)</f>
        <v>0</v>
      </c>
      <c r="P832">
        <f>IF(C832="Manhattan",4,IF(C832="Brooklyn",2,0))</f>
        <v>4</v>
      </c>
      <c r="Q832" s="2">
        <v>203</v>
      </c>
      <c r="R832" s="1">
        <v>45723</v>
      </c>
      <c r="S832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155.59000000000003</v>
      </c>
    </row>
    <row r="833" spans="1:19" x14ac:dyDescent="0.3">
      <c r="A833" t="s">
        <v>1117</v>
      </c>
      <c r="B833" t="s">
        <v>45</v>
      </c>
      <c r="C833" t="s">
        <v>20</v>
      </c>
      <c r="D833">
        <v>40.746152100000003</v>
      </c>
      <c r="E833">
        <v>-73.996030500000003</v>
      </c>
      <c r="F833" t="s">
        <v>21</v>
      </c>
      <c r="G833">
        <v>2</v>
      </c>
      <c r="H833">
        <v>1</v>
      </c>
      <c r="I833">
        <v>1</v>
      </c>
      <c r="J833">
        <v>1</v>
      </c>
      <c r="K833">
        <v>30</v>
      </c>
      <c r="L833">
        <v>224</v>
      </c>
      <c r="M833">
        <v>2</v>
      </c>
      <c r="N833">
        <v>0.37</v>
      </c>
      <c r="O833">
        <f>IF(F833="Private room",1,0)</f>
        <v>0</v>
      </c>
      <c r="P833">
        <f>IF(C833="Manhattan",4,IF(C833="Brooklyn",2,0))</f>
        <v>4</v>
      </c>
      <c r="Q833" s="2">
        <v>154</v>
      </c>
      <c r="R833" s="1">
        <v>45717</v>
      </c>
      <c r="S833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155.75</v>
      </c>
    </row>
    <row r="834" spans="1:19" x14ac:dyDescent="0.3">
      <c r="A834" t="s">
        <v>1118</v>
      </c>
      <c r="B834" t="s">
        <v>61</v>
      </c>
      <c r="C834" t="s">
        <v>30</v>
      </c>
      <c r="D834">
        <v>40.764270000000003</v>
      </c>
      <c r="E834">
        <v>-73.909130000000005</v>
      </c>
      <c r="F834" t="s">
        <v>21</v>
      </c>
      <c r="G834">
        <v>2</v>
      </c>
      <c r="H834">
        <v>1</v>
      </c>
      <c r="I834">
        <v>1</v>
      </c>
      <c r="J834">
        <v>1</v>
      </c>
      <c r="K834">
        <v>30</v>
      </c>
      <c r="L834">
        <v>107</v>
      </c>
      <c r="M834">
        <v>1</v>
      </c>
      <c r="N834">
        <v>0.48</v>
      </c>
      <c r="O834">
        <f>IF(F834="Private room",1,0)</f>
        <v>0</v>
      </c>
      <c r="P834">
        <f>IF(C834="Manhattan",4,IF(C834="Brooklyn",2,0))</f>
        <v>0</v>
      </c>
      <c r="Q834" s="2">
        <v>69</v>
      </c>
      <c r="R834" s="1">
        <v>45717</v>
      </c>
      <c r="S834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99.510000000000019</v>
      </c>
    </row>
    <row r="835" spans="1:19" x14ac:dyDescent="0.3">
      <c r="A835" t="s">
        <v>1119</v>
      </c>
      <c r="B835" t="s">
        <v>53</v>
      </c>
      <c r="C835" t="s">
        <v>20</v>
      </c>
      <c r="D835">
        <v>40.793230000000001</v>
      </c>
      <c r="E835">
        <v>-73.974159999999998</v>
      </c>
      <c r="F835" t="s">
        <v>21</v>
      </c>
      <c r="G835">
        <v>2</v>
      </c>
      <c r="H835">
        <v>1</v>
      </c>
      <c r="I835">
        <v>0</v>
      </c>
      <c r="J835">
        <v>1</v>
      </c>
      <c r="K835">
        <v>30</v>
      </c>
      <c r="L835">
        <v>81</v>
      </c>
      <c r="M835">
        <v>7</v>
      </c>
      <c r="N835">
        <v>0.51</v>
      </c>
      <c r="O835">
        <f>IF(F835="Private room",1,0)</f>
        <v>0</v>
      </c>
      <c r="P835">
        <f>IF(C835="Manhattan",4,IF(C835="Brooklyn",2,0))</f>
        <v>4</v>
      </c>
      <c r="Q835" s="2">
        <v>74</v>
      </c>
      <c r="R835" s="1">
        <v>45726</v>
      </c>
      <c r="S835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161.47000000000003</v>
      </c>
    </row>
    <row r="836" spans="1:19" x14ac:dyDescent="0.3">
      <c r="A836" t="s">
        <v>1120</v>
      </c>
      <c r="B836" t="s">
        <v>27</v>
      </c>
      <c r="C836" t="s">
        <v>17</v>
      </c>
      <c r="D836" s="3" t="s">
        <v>1121</v>
      </c>
      <c r="E836">
        <v>-73.945676811803295</v>
      </c>
      <c r="F836" t="s">
        <v>18</v>
      </c>
      <c r="G836">
        <v>2</v>
      </c>
      <c r="H836">
        <v>2</v>
      </c>
      <c r="I836">
        <v>3</v>
      </c>
      <c r="J836">
        <v>3</v>
      </c>
      <c r="K836">
        <v>1</v>
      </c>
      <c r="L836">
        <v>346</v>
      </c>
      <c r="M836">
        <v>17</v>
      </c>
      <c r="N836">
        <v>2.0499999999999998</v>
      </c>
      <c r="O836">
        <f>IF(F836="Private room",1,0)</f>
        <v>1</v>
      </c>
      <c r="P836">
        <f>IF(C836="Manhattan",4,IF(C836="Brooklyn",2,0))</f>
        <v>2</v>
      </c>
      <c r="Q836" s="2">
        <v>325</v>
      </c>
      <c r="R836" s="1">
        <v>45733</v>
      </c>
      <c r="S836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185.48000000000005</v>
      </c>
    </row>
    <row r="837" spans="1:19" x14ac:dyDescent="0.3">
      <c r="A837" t="s">
        <v>1122</v>
      </c>
      <c r="B837" t="s">
        <v>19</v>
      </c>
      <c r="C837" t="s">
        <v>20</v>
      </c>
      <c r="D837">
        <v>40.747929999999997</v>
      </c>
      <c r="E837">
        <v>-73.988519999999994</v>
      </c>
      <c r="F837" t="s">
        <v>18</v>
      </c>
      <c r="G837">
        <v>4</v>
      </c>
      <c r="H837">
        <v>1</v>
      </c>
      <c r="I837">
        <v>1</v>
      </c>
      <c r="J837">
        <v>2</v>
      </c>
      <c r="K837">
        <v>1</v>
      </c>
      <c r="L837">
        <v>277</v>
      </c>
      <c r="M837">
        <v>24</v>
      </c>
      <c r="N837">
        <v>1.76</v>
      </c>
      <c r="O837">
        <f>IF(F837="Private room",1,0)</f>
        <v>1</v>
      </c>
      <c r="P837">
        <f>IF(C837="Manhattan",4,IF(C837="Brooklyn",2,0))</f>
        <v>4</v>
      </c>
      <c r="Q837" s="2">
        <v>231</v>
      </c>
      <c r="R837" s="1">
        <v>45745</v>
      </c>
      <c r="S837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245.44000000000005</v>
      </c>
    </row>
    <row r="838" spans="1:19" x14ac:dyDescent="0.3">
      <c r="A838" t="s">
        <v>1123</v>
      </c>
      <c r="B838" t="s">
        <v>45</v>
      </c>
      <c r="C838" t="s">
        <v>20</v>
      </c>
      <c r="D838">
        <v>40.741480000000003</v>
      </c>
      <c r="E838">
        <v>-73.998159999999999</v>
      </c>
      <c r="F838" t="s">
        <v>21</v>
      </c>
      <c r="G838">
        <v>2</v>
      </c>
      <c r="H838">
        <v>1</v>
      </c>
      <c r="I838">
        <v>0</v>
      </c>
      <c r="J838">
        <v>1</v>
      </c>
      <c r="K838">
        <v>30</v>
      </c>
      <c r="L838">
        <v>169</v>
      </c>
      <c r="M838">
        <v>1</v>
      </c>
      <c r="N838">
        <v>0.94</v>
      </c>
      <c r="O838">
        <f>IF(F838="Private room",1,0)</f>
        <v>0</v>
      </c>
      <c r="P838">
        <f>IF(C838="Manhattan",4,IF(C838="Brooklyn",2,0))</f>
        <v>4</v>
      </c>
      <c r="Q838" s="2">
        <v>145</v>
      </c>
      <c r="R838" s="1">
        <v>45747</v>
      </c>
      <c r="S838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157.95000000000002</v>
      </c>
    </row>
    <row r="839" spans="1:19" x14ac:dyDescent="0.3">
      <c r="A839" t="s">
        <v>1124</v>
      </c>
      <c r="B839" t="s">
        <v>43</v>
      </c>
      <c r="C839" t="s">
        <v>20</v>
      </c>
      <c r="D839">
        <v>40.717293174045203</v>
      </c>
      <c r="E839">
        <v>-73.986614144332606</v>
      </c>
      <c r="F839" t="s">
        <v>18</v>
      </c>
      <c r="G839">
        <v>1</v>
      </c>
      <c r="H839">
        <v>1</v>
      </c>
      <c r="I839">
        <v>1</v>
      </c>
      <c r="J839">
        <v>1</v>
      </c>
      <c r="K839">
        <v>1</v>
      </c>
      <c r="L839">
        <v>247</v>
      </c>
      <c r="M839">
        <v>33</v>
      </c>
      <c r="N839">
        <v>2.81</v>
      </c>
      <c r="O839">
        <f>IF(F839="Private room",1,0)</f>
        <v>1</v>
      </c>
      <c r="P839">
        <f>IF(C839="Manhattan",4,IF(C839="Brooklyn",2,0))</f>
        <v>4</v>
      </c>
      <c r="Q839" s="2">
        <v>160</v>
      </c>
      <c r="R839" s="1">
        <v>45733</v>
      </c>
      <c r="S839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189.70000000000005</v>
      </c>
    </row>
    <row r="840" spans="1:19" x14ac:dyDescent="0.3">
      <c r="A840" t="s">
        <v>1125</v>
      </c>
      <c r="B840" t="s">
        <v>19</v>
      </c>
      <c r="C840" t="s">
        <v>20</v>
      </c>
      <c r="D840" s="3" t="s">
        <v>1126</v>
      </c>
      <c r="E840">
        <v>-73.982279216444994</v>
      </c>
      <c r="F840" t="s">
        <v>18</v>
      </c>
      <c r="G840">
        <v>2</v>
      </c>
      <c r="H840">
        <v>1</v>
      </c>
      <c r="I840">
        <v>1</v>
      </c>
      <c r="J840">
        <v>1</v>
      </c>
      <c r="K840">
        <v>1</v>
      </c>
      <c r="L840">
        <v>212</v>
      </c>
      <c r="M840">
        <v>8</v>
      </c>
      <c r="N840">
        <v>0.77</v>
      </c>
      <c r="O840">
        <f>IF(F840="Private room",1,0)</f>
        <v>1</v>
      </c>
      <c r="P840">
        <f>IF(C840="Manhattan",4,IF(C840="Brooklyn",2,0))</f>
        <v>4</v>
      </c>
      <c r="Q840" s="2">
        <v>293</v>
      </c>
      <c r="R840" s="1">
        <v>45747</v>
      </c>
      <c r="S840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210.08000000000004</v>
      </c>
    </row>
    <row r="841" spans="1:19" x14ac:dyDescent="0.3">
      <c r="A841" t="s">
        <v>1127</v>
      </c>
      <c r="B841" t="s">
        <v>38</v>
      </c>
      <c r="C841" t="s">
        <v>20</v>
      </c>
      <c r="D841">
        <v>40.760739999999998</v>
      </c>
      <c r="E841">
        <v>-73.990099999999998</v>
      </c>
      <c r="F841" t="s">
        <v>21</v>
      </c>
      <c r="G841">
        <v>1</v>
      </c>
      <c r="H841">
        <v>1</v>
      </c>
      <c r="I841">
        <v>0</v>
      </c>
      <c r="J841">
        <v>1</v>
      </c>
      <c r="K841">
        <v>30</v>
      </c>
      <c r="L841">
        <v>239</v>
      </c>
      <c r="M841">
        <v>4</v>
      </c>
      <c r="N841">
        <v>0.35</v>
      </c>
      <c r="O841">
        <f>IF(F841="Private room",1,0)</f>
        <v>0</v>
      </c>
      <c r="P841">
        <f>IF(C841="Manhattan",4,IF(C841="Brooklyn",2,0))</f>
        <v>4</v>
      </c>
      <c r="Q841" s="2">
        <v>53</v>
      </c>
      <c r="R841" s="1">
        <v>45731</v>
      </c>
      <c r="S841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136.17000000000002</v>
      </c>
    </row>
    <row r="842" spans="1:19" x14ac:dyDescent="0.3">
      <c r="A842" t="s">
        <v>1128</v>
      </c>
      <c r="B842" t="s">
        <v>38</v>
      </c>
      <c r="C842" t="s">
        <v>20</v>
      </c>
      <c r="D842" s="3" t="s">
        <v>1129</v>
      </c>
      <c r="E842">
        <v>-73.990771766402204</v>
      </c>
      <c r="F842" t="s">
        <v>21</v>
      </c>
      <c r="G842">
        <v>1</v>
      </c>
      <c r="H842">
        <v>1</v>
      </c>
      <c r="I842">
        <v>0</v>
      </c>
      <c r="J842">
        <v>1</v>
      </c>
      <c r="K842">
        <v>30</v>
      </c>
      <c r="L842">
        <v>241</v>
      </c>
      <c r="M842">
        <v>5</v>
      </c>
      <c r="N842">
        <v>0.43</v>
      </c>
      <c r="O842">
        <f>IF(F842="Private room",1,0)</f>
        <v>0</v>
      </c>
      <c r="P842">
        <f>IF(C842="Manhattan",4,IF(C842="Brooklyn",2,0))</f>
        <v>4</v>
      </c>
      <c r="Q842" s="2">
        <v>64</v>
      </c>
      <c r="R842" s="1">
        <v>45747</v>
      </c>
      <c r="S842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136.09</v>
      </c>
    </row>
    <row r="843" spans="1:19" x14ac:dyDescent="0.3">
      <c r="A843" t="s">
        <v>1130</v>
      </c>
      <c r="B843" t="s">
        <v>38</v>
      </c>
      <c r="C843" t="s">
        <v>20</v>
      </c>
      <c r="D843">
        <v>40.765650000000001</v>
      </c>
      <c r="E843">
        <v>-73.994829999999993</v>
      </c>
      <c r="F843" t="s">
        <v>18</v>
      </c>
      <c r="G843">
        <v>2</v>
      </c>
      <c r="H843">
        <v>1</v>
      </c>
      <c r="I843">
        <v>1</v>
      </c>
      <c r="J843">
        <v>2</v>
      </c>
      <c r="K843">
        <v>2</v>
      </c>
      <c r="L843">
        <v>250</v>
      </c>
      <c r="M843">
        <v>29</v>
      </c>
      <c r="N843">
        <v>2.64</v>
      </c>
      <c r="O843">
        <f>IF(F843="Private room",1,0)</f>
        <v>1</v>
      </c>
      <c r="P843">
        <f>IF(C843="Manhattan",4,IF(C843="Brooklyn",2,0))</f>
        <v>4</v>
      </c>
      <c r="Q843" s="2">
        <v>250</v>
      </c>
      <c r="R843" s="1">
        <v>45732</v>
      </c>
      <c r="S843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205.21000000000004</v>
      </c>
    </row>
    <row r="844" spans="1:19" x14ac:dyDescent="0.3">
      <c r="A844" t="s">
        <v>1131</v>
      </c>
      <c r="B844" t="s">
        <v>36</v>
      </c>
      <c r="C844" t="s">
        <v>20</v>
      </c>
      <c r="D844">
        <v>40.76952</v>
      </c>
      <c r="E844">
        <v>-73.956450000000004</v>
      </c>
      <c r="F844" t="s">
        <v>21</v>
      </c>
      <c r="G844">
        <v>3</v>
      </c>
      <c r="H844">
        <v>1</v>
      </c>
      <c r="I844">
        <v>1</v>
      </c>
      <c r="J844">
        <v>3</v>
      </c>
      <c r="K844">
        <v>30</v>
      </c>
      <c r="L844">
        <v>310</v>
      </c>
      <c r="M844">
        <v>5</v>
      </c>
      <c r="N844">
        <v>0.38</v>
      </c>
      <c r="O844">
        <f>IF(F844="Private room",1,0)</f>
        <v>0</v>
      </c>
      <c r="P844">
        <f>IF(C844="Manhattan",4,IF(C844="Brooklyn",2,0))</f>
        <v>4</v>
      </c>
      <c r="Q844" s="2">
        <v>144</v>
      </c>
      <c r="R844" s="1">
        <v>45723</v>
      </c>
      <c r="S844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171.29000000000002</v>
      </c>
    </row>
    <row r="845" spans="1:19" x14ac:dyDescent="0.3">
      <c r="A845" t="s">
        <v>1132</v>
      </c>
      <c r="B845" t="s">
        <v>78</v>
      </c>
      <c r="C845" t="s">
        <v>20</v>
      </c>
      <c r="D845" s="3" t="s">
        <v>1133</v>
      </c>
      <c r="E845">
        <v>-73.985798803708803</v>
      </c>
      <c r="F845" t="s">
        <v>18</v>
      </c>
      <c r="G845">
        <v>2</v>
      </c>
      <c r="H845">
        <v>1</v>
      </c>
      <c r="I845">
        <v>0</v>
      </c>
      <c r="J845">
        <v>1</v>
      </c>
      <c r="K845">
        <v>1</v>
      </c>
      <c r="L845">
        <v>275</v>
      </c>
      <c r="M845">
        <v>24</v>
      </c>
      <c r="N845">
        <v>1.81</v>
      </c>
      <c r="O845">
        <f>IF(F845="Private room",1,0)</f>
        <v>1</v>
      </c>
      <c r="P845">
        <f>IF(C845="Manhattan",4,IF(C845="Brooklyn",2,0))</f>
        <v>4</v>
      </c>
      <c r="Q845" s="2">
        <v>296</v>
      </c>
      <c r="R845" s="1">
        <v>45742</v>
      </c>
      <c r="S845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207.56000000000006</v>
      </c>
    </row>
    <row r="846" spans="1:19" x14ac:dyDescent="0.3">
      <c r="A846" t="s">
        <v>1134</v>
      </c>
      <c r="B846" t="s">
        <v>27</v>
      </c>
      <c r="C846" t="s">
        <v>17</v>
      </c>
      <c r="D846">
        <v>40.685654399999997</v>
      </c>
      <c r="E846">
        <v>-73.944179399999996</v>
      </c>
      <c r="F846" t="s">
        <v>21</v>
      </c>
      <c r="G846">
        <v>10</v>
      </c>
      <c r="H846">
        <v>2</v>
      </c>
      <c r="I846">
        <v>5</v>
      </c>
      <c r="J846">
        <v>5</v>
      </c>
      <c r="K846">
        <v>30</v>
      </c>
      <c r="L846">
        <v>269</v>
      </c>
      <c r="M846">
        <v>1</v>
      </c>
      <c r="N846">
        <v>0.53</v>
      </c>
      <c r="O846">
        <f>IF(F846="Private room",1,0)</f>
        <v>0</v>
      </c>
      <c r="P846">
        <f>IF(C846="Manhattan",4,IF(C846="Brooklyn",2,0))</f>
        <v>2</v>
      </c>
      <c r="Q846" s="2">
        <v>232</v>
      </c>
      <c r="R846" s="1">
        <v>45722</v>
      </c>
      <c r="S846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286.55</v>
      </c>
    </row>
    <row r="847" spans="1:19" x14ac:dyDescent="0.3">
      <c r="A847" t="s">
        <v>1135</v>
      </c>
      <c r="B847" t="s">
        <v>41</v>
      </c>
      <c r="C847" t="s">
        <v>20</v>
      </c>
      <c r="D847">
        <v>40.723649999999999</v>
      </c>
      <c r="E847">
        <v>-73.985860000000002</v>
      </c>
      <c r="F847" t="s">
        <v>18</v>
      </c>
      <c r="G847">
        <v>2</v>
      </c>
      <c r="H847">
        <v>1</v>
      </c>
      <c r="I847">
        <v>1</v>
      </c>
      <c r="J847">
        <v>1</v>
      </c>
      <c r="K847">
        <v>5</v>
      </c>
      <c r="L847">
        <v>352</v>
      </c>
      <c r="M847">
        <v>12</v>
      </c>
      <c r="N847">
        <v>1</v>
      </c>
      <c r="O847">
        <f>IF(F847="Private room",1,0)</f>
        <v>1</v>
      </c>
      <c r="P847">
        <f>IF(C847="Manhattan",4,IF(C847="Brooklyn",2,0))</f>
        <v>4</v>
      </c>
      <c r="Q847" s="2">
        <v>209</v>
      </c>
      <c r="R847" s="1">
        <v>45728</v>
      </c>
      <c r="S847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191.08000000000004</v>
      </c>
    </row>
    <row r="848" spans="1:19" x14ac:dyDescent="0.3">
      <c r="A848" t="s">
        <v>1136</v>
      </c>
      <c r="B848" t="s">
        <v>38</v>
      </c>
      <c r="C848" t="s">
        <v>20</v>
      </c>
      <c r="D848" s="3" t="s">
        <v>1137</v>
      </c>
      <c r="E848">
        <v>-73.991445191263907</v>
      </c>
      <c r="F848" t="s">
        <v>21</v>
      </c>
      <c r="G848">
        <v>1</v>
      </c>
      <c r="H848">
        <v>1</v>
      </c>
      <c r="I848">
        <v>0</v>
      </c>
      <c r="J848">
        <v>1</v>
      </c>
      <c r="K848">
        <v>30</v>
      </c>
      <c r="L848">
        <v>182</v>
      </c>
      <c r="M848">
        <v>5</v>
      </c>
      <c r="N848">
        <v>0.41</v>
      </c>
      <c r="O848">
        <f>IF(F848="Private room",1,0)</f>
        <v>0</v>
      </c>
      <c r="P848">
        <f>IF(C848="Manhattan",4,IF(C848="Brooklyn",2,0))</f>
        <v>4</v>
      </c>
      <c r="Q848" s="2">
        <v>64</v>
      </c>
      <c r="R848" s="1">
        <v>45726</v>
      </c>
      <c r="S848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138.44999999999999</v>
      </c>
    </row>
    <row r="849" spans="1:19" x14ac:dyDescent="0.3">
      <c r="A849" t="s">
        <v>1138</v>
      </c>
      <c r="B849" t="s">
        <v>95</v>
      </c>
      <c r="C849" t="s">
        <v>20</v>
      </c>
      <c r="D849">
        <v>40.750250600000001</v>
      </c>
      <c r="E849">
        <v>-73.977745299999995</v>
      </c>
      <c r="F849" t="s">
        <v>21</v>
      </c>
      <c r="G849">
        <v>2</v>
      </c>
      <c r="H849">
        <v>1</v>
      </c>
      <c r="I849">
        <v>0</v>
      </c>
      <c r="J849">
        <v>1</v>
      </c>
      <c r="K849">
        <v>30</v>
      </c>
      <c r="L849">
        <v>347</v>
      </c>
      <c r="M849">
        <v>4</v>
      </c>
      <c r="N849">
        <v>0.3</v>
      </c>
      <c r="O849">
        <f>IF(F849="Private room",1,0)</f>
        <v>0</v>
      </c>
      <c r="P849">
        <f>IF(C849="Manhattan",4,IF(C849="Brooklyn",2,0))</f>
        <v>4</v>
      </c>
      <c r="Q849" s="2">
        <v>132</v>
      </c>
      <c r="R849" s="1">
        <v>45717</v>
      </c>
      <c r="S849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150.83000000000004</v>
      </c>
    </row>
    <row r="850" spans="1:19" x14ac:dyDescent="0.3">
      <c r="A850" t="s">
        <v>1139</v>
      </c>
      <c r="B850" t="s">
        <v>44</v>
      </c>
      <c r="C850" t="s">
        <v>30</v>
      </c>
      <c r="D850">
        <v>40.673360000000002</v>
      </c>
      <c r="E850">
        <v>-73.778880000000001</v>
      </c>
      <c r="F850" t="s">
        <v>18</v>
      </c>
      <c r="G850">
        <v>2</v>
      </c>
      <c r="H850">
        <v>1</v>
      </c>
      <c r="I850">
        <v>1</v>
      </c>
      <c r="J850">
        <v>1</v>
      </c>
      <c r="K850">
        <v>1</v>
      </c>
      <c r="L850">
        <v>350</v>
      </c>
      <c r="M850">
        <v>100</v>
      </c>
      <c r="N850">
        <v>7.56</v>
      </c>
      <c r="O850">
        <f>IF(F850="Private room",1,0)</f>
        <v>1</v>
      </c>
      <c r="P850">
        <f>IF(C850="Manhattan",4,IF(C850="Brooklyn",2,0))</f>
        <v>0</v>
      </c>
      <c r="Q850" s="2">
        <v>90</v>
      </c>
      <c r="R850" s="1">
        <v>45746</v>
      </c>
      <c r="S850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143.64000000000004</v>
      </c>
    </row>
    <row r="851" spans="1:19" x14ac:dyDescent="0.3">
      <c r="A851" t="s">
        <v>1140</v>
      </c>
      <c r="B851" t="s">
        <v>53</v>
      </c>
      <c r="C851" t="s">
        <v>20</v>
      </c>
      <c r="D851" s="3" t="s">
        <v>1141</v>
      </c>
      <c r="E851">
        <v>-73.976320462348895</v>
      </c>
      <c r="F851" t="s">
        <v>21</v>
      </c>
      <c r="G851">
        <v>1</v>
      </c>
      <c r="H851">
        <v>1</v>
      </c>
      <c r="I851">
        <v>0</v>
      </c>
      <c r="J851">
        <v>1</v>
      </c>
      <c r="K851">
        <v>30</v>
      </c>
      <c r="L851">
        <v>63</v>
      </c>
      <c r="M851">
        <v>2</v>
      </c>
      <c r="N851">
        <v>0.18</v>
      </c>
      <c r="O851">
        <f>IF(F851="Private room",1,0)</f>
        <v>0</v>
      </c>
      <c r="P851">
        <f>IF(C851="Manhattan",4,IF(C851="Brooklyn",2,0))</f>
        <v>4</v>
      </c>
      <c r="Q851" s="2">
        <v>81</v>
      </c>
      <c r="R851" s="1">
        <v>45724</v>
      </c>
      <c r="S851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143.21</v>
      </c>
    </row>
    <row r="852" spans="1:19" x14ac:dyDescent="0.3">
      <c r="A852" t="s">
        <v>1142</v>
      </c>
      <c r="B852" t="s">
        <v>38</v>
      </c>
      <c r="C852" t="s">
        <v>20</v>
      </c>
      <c r="D852">
        <v>40.7587608517834</v>
      </c>
      <c r="E852">
        <v>-73.991751579504793</v>
      </c>
      <c r="F852" t="s">
        <v>21</v>
      </c>
      <c r="G852">
        <v>1</v>
      </c>
      <c r="H852">
        <v>1</v>
      </c>
      <c r="I852">
        <v>0</v>
      </c>
      <c r="J852">
        <v>1</v>
      </c>
      <c r="K852">
        <v>30</v>
      </c>
      <c r="L852">
        <v>56</v>
      </c>
      <c r="M852">
        <v>1</v>
      </c>
      <c r="N852">
        <v>0.88</v>
      </c>
      <c r="O852">
        <f>IF(F852="Private room",1,0)</f>
        <v>0</v>
      </c>
      <c r="P852">
        <f>IF(C852="Manhattan",4,IF(C852="Brooklyn",2,0))</f>
        <v>4</v>
      </c>
      <c r="Q852" s="2">
        <v>57</v>
      </c>
      <c r="R852" s="1">
        <v>45746</v>
      </c>
      <c r="S852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143.49</v>
      </c>
    </row>
    <row r="853" spans="1:19" x14ac:dyDescent="0.3">
      <c r="A853" t="s">
        <v>1143</v>
      </c>
      <c r="B853" t="s">
        <v>19</v>
      </c>
      <c r="C853" t="s">
        <v>20</v>
      </c>
      <c r="D853">
        <v>40.756935827967403</v>
      </c>
      <c r="E853">
        <v>-73.964108586554602</v>
      </c>
      <c r="F853" t="s">
        <v>21</v>
      </c>
      <c r="G853">
        <v>5</v>
      </c>
      <c r="H853">
        <v>2</v>
      </c>
      <c r="I853">
        <v>2</v>
      </c>
      <c r="J853">
        <v>2</v>
      </c>
      <c r="K853">
        <v>30</v>
      </c>
      <c r="L853">
        <v>227</v>
      </c>
      <c r="M853">
        <v>3</v>
      </c>
      <c r="N853">
        <v>0.44</v>
      </c>
      <c r="O853">
        <f>IF(F853="Private room",1,0)</f>
        <v>0</v>
      </c>
      <c r="P853">
        <f>IF(C853="Manhattan",4,IF(C853="Brooklyn",2,0))</f>
        <v>4</v>
      </c>
      <c r="Q853" s="2">
        <v>388</v>
      </c>
      <c r="R853" s="1">
        <v>45728</v>
      </c>
      <c r="S853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223.79000000000002</v>
      </c>
    </row>
    <row r="854" spans="1:19" x14ac:dyDescent="0.3">
      <c r="A854" t="s">
        <v>1144</v>
      </c>
      <c r="B854" t="s">
        <v>50</v>
      </c>
      <c r="C854" t="s">
        <v>20</v>
      </c>
      <c r="D854" s="3" t="s">
        <v>1145</v>
      </c>
      <c r="E854">
        <v>-74.007171630859304</v>
      </c>
      <c r="F854" t="s">
        <v>21</v>
      </c>
      <c r="G854">
        <v>5</v>
      </c>
      <c r="H854">
        <v>1</v>
      </c>
      <c r="I854">
        <v>2</v>
      </c>
      <c r="J854">
        <v>3</v>
      </c>
      <c r="K854">
        <v>30</v>
      </c>
      <c r="L854">
        <v>248</v>
      </c>
      <c r="M854">
        <v>2</v>
      </c>
      <c r="N854">
        <v>0.76</v>
      </c>
      <c r="O854">
        <f>IF(F854="Private room",1,0)</f>
        <v>0</v>
      </c>
      <c r="P854">
        <f>IF(C854="Manhattan",4,IF(C854="Brooklyn",2,0))</f>
        <v>4</v>
      </c>
      <c r="Q854" s="2">
        <v>318</v>
      </c>
      <c r="R854" s="1">
        <v>45733</v>
      </c>
      <c r="S854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211.73000000000002</v>
      </c>
    </row>
    <row r="855" spans="1:19" x14ac:dyDescent="0.3">
      <c r="A855" t="s">
        <v>1146</v>
      </c>
      <c r="B855" t="s">
        <v>24</v>
      </c>
      <c r="C855" t="s">
        <v>20</v>
      </c>
      <c r="D855">
        <v>40.799309999999998</v>
      </c>
      <c r="E855">
        <v>-73.939670000000007</v>
      </c>
      <c r="F855" t="s">
        <v>18</v>
      </c>
      <c r="G855">
        <v>1</v>
      </c>
      <c r="H855">
        <v>1</v>
      </c>
      <c r="I855">
        <v>1</v>
      </c>
      <c r="J855">
        <v>1</v>
      </c>
      <c r="K855">
        <v>30</v>
      </c>
      <c r="L855">
        <v>89</v>
      </c>
      <c r="M855">
        <v>2</v>
      </c>
      <c r="N855">
        <v>0.17</v>
      </c>
      <c r="O855">
        <f>IF(F855="Private room",1,0)</f>
        <v>1</v>
      </c>
      <c r="P855">
        <f>IF(C855="Manhattan",4,IF(C855="Brooklyn",2,0))</f>
        <v>4</v>
      </c>
      <c r="Q855" s="2">
        <v>74</v>
      </c>
      <c r="R855" s="1">
        <v>45747</v>
      </c>
      <c r="S855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98.87</v>
      </c>
    </row>
    <row r="856" spans="1:19" x14ac:dyDescent="0.3">
      <c r="A856" t="s">
        <v>1147</v>
      </c>
      <c r="B856" t="s">
        <v>38</v>
      </c>
      <c r="C856" t="s">
        <v>20</v>
      </c>
      <c r="D856">
        <v>40.760496313882498</v>
      </c>
      <c r="E856">
        <v>-73.989967938229896</v>
      </c>
      <c r="F856" t="s">
        <v>21</v>
      </c>
      <c r="G856">
        <v>1</v>
      </c>
      <c r="H856">
        <v>1</v>
      </c>
      <c r="I856">
        <v>0</v>
      </c>
      <c r="J856">
        <v>1</v>
      </c>
      <c r="K856">
        <v>30</v>
      </c>
      <c r="L856">
        <v>262</v>
      </c>
      <c r="M856">
        <v>4</v>
      </c>
      <c r="N856">
        <v>0.45</v>
      </c>
      <c r="O856">
        <f>IF(F856="Private room",1,0)</f>
        <v>0</v>
      </c>
      <c r="P856">
        <f>IF(C856="Manhattan",4,IF(C856="Brooklyn",2,0))</f>
        <v>4</v>
      </c>
      <c r="Q856" s="2">
        <v>57</v>
      </c>
      <c r="R856" s="1">
        <v>45742</v>
      </c>
      <c r="S856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135.25</v>
      </c>
    </row>
    <row r="857" spans="1:19" x14ac:dyDescent="0.3">
      <c r="A857" t="s">
        <v>1148</v>
      </c>
      <c r="B857" t="s">
        <v>19</v>
      </c>
      <c r="C857" t="s">
        <v>20</v>
      </c>
      <c r="D857">
        <v>40.746319999999997</v>
      </c>
      <c r="E857">
        <v>-73.988110000000006</v>
      </c>
      <c r="F857" t="s">
        <v>18</v>
      </c>
      <c r="G857">
        <v>3</v>
      </c>
      <c r="H857">
        <v>1</v>
      </c>
      <c r="I857">
        <v>1</v>
      </c>
      <c r="J857">
        <v>2</v>
      </c>
      <c r="K857">
        <v>1</v>
      </c>
      <c r="L857">
        <v>286</v>
      </c>
      <c r="M857">
        <v>14</v>
      </c>
      <c r="N857">
        <v>1.23</v>
      </c>
      <c r="O857">
        <f>IF(F857="Private room",1,0)</f>
        <v>1</v>
      </c>
      <c r="P857">
        <f>IF(C857="Manhattan",4,IF(C857="Brooklyn",2,0))</f>
        <v>4</v>
      </c>
      <c r="Q857" s="2">
        <v>120</v>
      </c>
      <c r="R857" s="1">
        <v>45724</v>
      </c>
      <c r="S857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226.10000000000002</v>
      </c>
    </row>
    <row r="858" spans="1:19" x14ac:dyDescent="0.3">
      <c r="A858" t="s">
        <v>1149</v>
      </c>
      <c r="B858" t="s">
        <v>36</v>
      </c>
      <c r="C858" t="s">
        <v>20</v>
      </c>
      <c r="D858" s="3" t="s">
        <v>1150</v>
      </c>
      <c r="E858">
        <v>-73.958528356798595</v>
      </c>
      <c r="F858" t="s">
        <v>21</v>
      </c>
      <c r="G858">
        <v>3</v>
      </c>
      <c r="H858">
        <v>1</v>
      </c>
      <c r="I858">
        <v>1</v>
      </c>
      <c r="J858">
        <v>1</v>
      </c>
      <c r="K858">
        <v>30</v>
      </c>
      <c r="L858">
        <v>181</v>
      </c>
      <c r="M858">
        <v>1</v>
      </c>
      <c r="N858">
        <v>0.5</v>
      </c>
      <c r="O858">
        <f>IF(F858="Private room",1,0)</f>
        <v>0</v>
      </c>
      <c r="P858">
        <f>IF(C858="Manhattan",4,IF(C858="Brooklyn",2,0))</f>
        <v>4</v>
      </c>
      <c r="Q858" s="2">
        <v>232</v>
      </c>
      <c r="R858" s="1">
        <v>45720</v>
      </c>
      <c r="S858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176.45000000000002</v>
      </c>
    </row>
    <row r="859" spans="1:19" x14ac:dyDescent="0.3">
      <c r="A859" t="s">
        <v>1151</v>
      </c>
      <c r="B859" t="s">
        <v>38</v>
      </c>
      <c r="C859" t="s">
        <v>20</v>
      </c>
      <c r="D859" s="3" t="s">
        <v>1152</v>
      </c>
      <c r="E859">
        <v>-73.9892137142146</v>
      </c>
      <c r="F859" t="s">
        <v>18</v>
      </c>
      <c r="G859">
        <v>2</v>
      </c>
      <c r="H859">
        <v>1</v>
      </c>
      <c r="I859">
        <v>1</v>
      </c>
      <c r="J859">
        <v>1</v>
      </c>
      <c r="K859">
        <v>5</v>
      </c>
      <c r="L859">
        <v>254</v>
      </c>
      <c r="M859">
        <v>40</v>
      </c>
      <c r="N859">
        <v>2.93</v>
      </c>
      <c r="O859">
        <f>IF(F859="Private room",1,0)</f>
        <v>1</v>
      </c>
      <c r="P859">
        <f>IF(C859="Manhattan",4,IF(C859="Brooklyn",2,0))</f>
        <v>4</v>
      </c>
      <c r="Q859" s="2">
        <v>130</v>
      </c>
      <c r="R859" s="1">
        <v>45743</v>
      </c>
      <c r="S859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195.00000000000006</v>
      </c>
    </row>
    <row r="860" spans="1:19" x14ac:dyDescent="0.3">
      <c r="A860" t="s">
        <v>1153</v>
      </c>
      <c r="B860" t="s">
        <v>135</v>
      </c>
      <c r="C860" t="s">
        <v>31</v>
      </c>
      <c r="D860" s="3" t="s">
        <v>1154</v>
      </c>
      <c r="E860">
        <v>-73.862598895272797</v>
      </c>
      <c r="F860" t="s">
        <v>18</v>
      </c>
      <c r="G860">
        <v>2</v>
      </c>
      <c r="H860">
        <v>1</v>
      </c>
      <c r="I860">
        <v>1</v>
      </c>
      <c r="J860">
        <v>1</v>
      </c>
      <c r="K860">
        <v>3</v>
      </c>
      <c r="L860">
        <v>350</v>
      </c>
      <c r="M860">
        <v>27</v>
      </c>
      <c r="N860">
        <v>2.1</v>
      </c>
      <c r="O860">
        <f>IF(F860="Private room",1,0)</f>
        <v>1</v>
      </c>
      <c r="P860">
        <f>IF(C860="Manhattan",4,IF(C860="Brooklyn",2,0))</f>
        <v>0</v>
      </c>
      <c r="Q860" s="2">
        <v>109</v>
      </c>
      <c r="R860" s="1">
        <v>45733</v>
      </c>
      <c r="S860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136.94</v>
      </c>
    </row>
    <row r="861" spans="1:19" x14ac:dyDescent="0.3">
      <c r="A861" t="s">
        <v>1155</v>
      </c>
      <c r="B861" t="s">
        <v>217</v>
      </c>
      <c r="C861" t="s">
        <v>30</v>
      </c>
      <c r="D861" s="3" t="s">
        <v>1156</v>
      </c>
      <c r="E861">
        <v>-73.837472498416901</v>
      </c>
      <c r="F861" t="s">
        <v>21</v>
      </c>
      <c r="G861">
        <v>2</v>
      </c>
      <c r="H861">
        <v>1</v>
      </c>
      <c r="I861">
        <v>1</v>
      </c>
      <c r="J861">
        <v>1</v>
      </c>
      <c r="K861">
        <v>30</v>
      </c>
      <c r="L861">
        <v>358</v>
      </c>
      <c r="M861">
        <v>2</v>
      </c>
      <c r="N861">
        <v>0.2</v>
      </c>
      <c r="O861">
        <f>IF(F861="Private room",1,0)</f>
        <v>0</v>
      </c>
      <c r="P861">
        <f>IF(C861="Manhattan",4,IF(C861="Brooklyn",2,0))</f>
        <v>0</v>
      </c>
      <c r="Q861" s="2">
        <v>96</v>
      </c>
      <c r="R861" s="1">
        <v>45719</v>
      </c>
      <c r="S861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89.470000000000027</v>
      </c>
    </row>
    <row r="862" spans="1:19" x14ac:dyDescent="0.3">
      <c r="A862" t="s">
        <v>1157</v>
      </c>
      <c r="B862" t="s">
        <v>28</v>
      </c>
      <c r="C862" t="s">
        <v>20</v>
      </c>
      <c r="D862">
        <v>40.808156699999998</v>
      </c>
      <c r="E862">
        <v>-73.954844600000001</v>
      </c>
      <c r="F862" t="s">
        <v>21</v>
      </c>
      <c r="G862">
        <v>5</v>
      </c>
      <c r="H862">
        <v>1</v>
      </c>
      <c r="I862">
        <v>1</v>
      </c>
      <c r="J862">
        <v>2</v>
      </c>
      <c r="K862">
        <v>1</v>
      </c>
      <c r="L862">
        <v>80</v>
      </c>
      <c r="M862">
        <v>47</v>
      </c>
      <c r="N862">
        <v>3.9</v>
      </c>
      <c r="O862">
        <f>IF(F862="Private room",1,0)</f>
        <v>0</v>
      </c>
      <c r="P862">
        <f>IF(C862="Manhattan",4,IF(C862="Brooklyn",2,0))</f>
        <v>4</v>
      </c>
      <c r="Q862" s="2">
        <v>197</v>
      </c>
      <c r="R862" s="1">
        <v>45741</v>
      </c>
      <c r="S862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315.60000000000002</v>
      </c>
    </row>
    <row r="863" spans="1:19" x14ac:dyDescent="0.3">
      <c r="A863" t="s">
        <v>1158</v>
      </c>
      <c r="B863" t="s">
        <v>68</v>
      </c>
      <c r="C863" t="s">
        <v>20</v>
      </c>
      <c r="D863">
        <v>40.83775</v>
      </c>
      <c r="E863">
        <v>-73.942599999999999</v>
      </c>
      <c r="F863" t="s">
        <v>18</v>
      </c>
      <c r="G863">
        <v>1</v>
      </c>
      <c r="H863">
        <v>1</v>
      </c>
      <c r="I863">
        <v>1</v>
      </c>
      <c r="J863">
        <v>1</v>
      </c>
      <c r="K863">
        <v>30</v>
      </c>
      <c r="L863">
        <v>239</v>
      </c>
      <c r="M863">
        <v>2</v>
      </c>
      <c r="N863">
        <v>0.16</v>
      </c>
      <c r="O863">
        <f>IF(F863="Private room",1,0)</f>
        <v>1</v>
      </c>
      <c r="P863">
        <f>IF(C863="Manhattan",4,IF(C863="Brooklyn",2,0))</f>
        <v>4</v>
      </c>
      <c r="Q863" s="2">
        <v>58</v>
      </c>
      <c r="R863" s="1">
        <v>45747</v>
      </c>
      <c r="S863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92.87</v>
      </c>
    </row>
    <row r="864" spans="1:19" x14ac:dyDescent="0.3">
      <c r="A864" t="s">
        <v>1159</v>
      </c>
      <c r="B864" t="s">
        <v>61</v>
      </c>
      <c r="C864" t="s">
        <v>30</v>
      </c>
      <c r="D864">
        <v>40.757579999999997</v>
      </c>
      <c r="E864">
        <v>-73.927030000000002</v>
      </c>
      <c r="F864" t="s">
        <v>21</v>
      </c>
      <c r="G864">
        <v>2</v>
      </c>
      <c r="H864">
        <v>1</v>
      </c>
      <c r="I864">
        <v>1</v>
      </c>
      <c r="J864">
        <v>2</v>
      </c>
      <c r="K864">
        <v>30</v>
      </c>
      <c r="L864">
        <v>185</v>
      </c>
      <c r="M864">
        <v>1</v>
      </c>
      <c r="N864">
        <v>0.67</v>
      </c>
      <c r="O864">
        <f>IF(F864="Private room",1,0)</f>
        <v>0</v>
      </c>
      <c r="P864">
        <f>IF(C864="Manhattan",4,IF(C864="Brooklyn",2,0))</f>
        <v>0</v>
      </c>
      <c r="Q864" s="2">
        <v>140</v>
      </c>
      <c r="R864" s="1">
        <v>45735</v>
      </c>
      <c r="S864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96.390000000000015</v>
      </c>
    </row>
    <row r="865" spans="1:19" x14ac:dyDescent="0.3">
      <c r="A865" t="s">
        <v>1160</v>
      </c>
      <c r="B865" t="s">
        <v>78</v>
      </c>
      <c r="C865" t="s">
        <v>20</v>
      </c>
      <c r="D865">
        <v>40.7567414496556</v>
      </c>
      <c r="E865">
        <v>-73.983822842874105</v>
      </c>
      <c r="F865" t="s">
        <v>18</v>
      </c>
      <c r="G865">
        <v>2</v>
      </c>
      <c r="H865">
        <v>1</v>
      </c>
      <c r="I865">
        <v>1</v>
      </c>
      <c r="J865">
        <v>1</v>
      </c>
      <c r="K865">
        <v>1</v>
      </c>
      <c r="L865">
        <v>356</v>
      </c>
      <c r="M865">
        <v>9</v>
      </c>
      <c r="N865">
        <v>0.75</v>
      </c>
      <c r="O865">
        <f>IF(F865="Private room",1,0)</f>
        <v>1</v>
      </c>
      <c r="P865">
        <f>IF(C865="Manhattan",4,IF(C865="Brooklyn",2,0))</f>
        <v>4</v>
      </c>
      <c r="Q865" s="2">
        <v>262</v>
      </c>
      <c r="R865" s="1">
        <v>45739</v>
      </c>
      <c r="S865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204.32000000000005</v>
      </c>
    </row>
    <row r="866" spans="1:19" x14ac:dyDescent="0.3">
      <c r="A866" t="s">
        <v>1161</v>
      </c>
      <c r="B866" t="s">
        <v>19</v>
      </c>
      <c r="C866" t="s">
        <v>20</v>
      </c>
      <c r="D866" s="3" t="s">
        <v>1162</v>
      </c>
      <c r="E866">
        <v>-73.987397516690706</v>
      </c>
      <c r="F866" t="s">
        <v>18</v>
      </c>
      <c r="G866">
        <v>2</v>
      </c>
      <c r="H866">
        <v>1</v>
      </c>
      <c r="I866">
        <v>1</v>
      </c>
      <c r="J866">
        <v>1</v>
      </c>
      <c r="K866">
        <v>1</v>
      </c>
      <c r="L866">
        <v>278</v>
      </c>
      <c r="M866">
        <v>20</v>
      </c>
      <c r="N866">
        <v>1.65</v>
      </c>
      <c r="O866">
        <f>IF(F866="Private room",1,0)</f>
        <v>1</v>
      </c>
      <c r="P866">
        <f>IF(C866="Manhattan",4,IF(C866="Brooklyn",2,0))</f>
        <v>4</v>
      </c>
      <c r="Q866" s="2">
        <v>209</v>
      </c>
      <c r="R866" s="1">
        <v>45740</v>
      </c>
      <c r="S866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207.44000000000005</v>
      </c>
    </row>
    <row r="867" spans="1:19" x14ac:dyDescent="0.3">
      <c r="A867" t="s">
        <v>1163</v>
      </c>
      <c r="B867" t="s">
        <v>73</v>
      </c>
      <c r="C867" t="s">
        <v>30</v>
      </c>
      <c r="D867">
        <v>40.754556399999998</v>
      </c>
      <c r="E867">
        <v>-73.935838899999993</v>
      </c>
      <c r="F867" t="s">
        <v>18</v>
      </c>
      <c r="G867">
        <v>2</v>
      </c>
      <c r="H867">
        <v>1</v>
      </c>
      <c r="I867">
        <v>1</v>
      </c>
      <c r="J867">
        <v>1</v>
      </c>
      <c r="K867">
        <v>1</v>
      </c>
      <c r="L867">
        <v>114</v>
      </c>
      <c r="M867">
        <v>14</v>
      </c>
      <c r="N867">
        <v>1.04</v>
      </c>
      <c r="O867">
        <f>IF(F867="Private room",1,0)</f>
        <v>1</v>
      </c>
      <c r="P867">
        <f>IF(C867="Manhattan",4,IF(C867="Brooklyn",2,0))</f>
        <v>0</v>
      </c>
      <c r="Q867" s="2">
        <v>233</v>
      </c>
      <c r="R867" s="1">
        <v>45746</v>
      </c>
      <c r="S867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153.08000000000004</v>
      </c>
    </row>
    <row r="868" spans="1:19" x14ac:dyDescent="0.3">
      <c r="A868" t="s">
        <v>1164</v>
      </c>
      <c r="B868" t="s">
        <v>19</v>
      </c>
      <c r="C868" t="s">
        <v>20</v>
      </c>
      <c r="D868" s="3" t="s">
        <v>1165</v>
      </c>
      <c r="E868">
        <v>-73.976353254423202</v>
      </c>
      <c r="F868" t="s">
        <v>18</v>
      </c>
      <c r="G868">
        <v>2</v>
      </c>
      <c r="H868">
        <v>1</v>
      </c>
      <c r="I868">
        <v>1</v>
      </c>
      <c r="J868">
        <v>1</v>
      </c>
      <c r="K868">
        <v>1</v>
      </c>
      <c r="L868">
        <v>241</v>
      </c>
      <c r="M868">
        <v>12</v>
      </c>
      <c r="N868">
        <v>1.06</v>
      </c>
      <c r="O868">
        <f>IF(F868="Private room",1,0)</f>
        <v>1</v>
      </c>
      <c r="P868">
        <f>IF(C868="Manhattan",4,IF(C868="Brooklyn",2,0))</f>
        <v>4</v>
      </c>
      <c r="Q868" s="2">
        <v>377</v>
      </c>
      <c r="R868" s="1">
        <v>45746</v>
      </c>
      <c r="S868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208.92000000000002</v>
      </c>
    </row>
    <row r="869" spans="1:19" x14ac:dyDescent="0.3">
      <c r="A869" t="s">
        <v>1166</v>
      </c>
      <c r="B869" t="s">
        <v>36</v>
      </c>
      <c r="C869" t="s">
        <v>20</v>
      </c>
      <c r="D869" s="3" t="s">
        <v>1167</v>
      </c>
      <c r="E869">
        <v>-73.958668871959603</v>
      </c>
      <c r="F869" t="s">
        <v>21</v>
      </c>
      <c r="G869">
        <v>2</v>
      </c>
      <c r="H869">
        <v>1</v>
      </c>
      <c r="I869">
        <v>0</v>
      </c>
      <c r="J869">
        <v>1</v>
      </c>
      <c r="K869">
        <v>2</v>
      </c>
      <c r="L869">
        <v>90</v>
      </c>
      <c r="M869">
        <v>39</v>
      </c>
      <c r="N869">
        <v>3.27</v>
      </c>
      <c r="O869">
        <f>IF(F869="Private room",1,0)</f>
        <v>0</v>
      </c>
      <c r="P869">
        <f>IF(C869="Manhattan",4,IF(C869="Brooklyn",2,0))</f>
        <v>4</v>
      </c>
      <c r="Q869" s="2">
        <v>302</v>
      </c>
      <c r="R869" s="1">
        <v>45746</v>
      </c>
      <c r="S869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254.91000000000003</v>
      </c>
    </row>
    <row r="870" spans="1:19" x14ac:dyDescent="0.3">
      <c r="A870" t="s">
        <v>1168</v>
      </c>
      <c r="B870" t="s">
        <v>45</v>
      </c>
      <c r="C870" t="s">
        <v>20</v>
      </c>
      <c r="D870">
        <v>40.750237400000003</v>
      </c>
      <c r="E870">
        <v>-73.996189099999995</v>
      </c>
      <c r="F870" t="s">
        <v>21</v>
      </c>
      <c r="G870">
        <v>1</v>
      </c>
      <c r="H870">
        <v>1</v>
      </c>
      <c r="I870">
        <v>1</v>
      </c>
      <c r="J870">
        <v>1</v>
      </c>
      <c r="K870">
        <v>30</v>
      </c>
      <c r="L870">
        <v>125</v>
      </c>
      <c r="M870">
        <v>4</v>
      </c>
      <c r="N870">
        <v>0.51</v>
      </c>
      <c r="O870">
        <f>IF(F870="Private room",1,0)</f>
        <v>0</v>
      </c>
      <c r="P870">
        <f>IF(C870="Manhattan",4,IF(C870="Brooklyn",2,0))</f>
        <v>4</v>
      </c>
      <c r="Q870" s="2">
        <v>67</v>
      </c>
      <c r="R870" s="1">
        <v>45747</v>
      </c>
      <c r="S870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140.73000000000002</v>
      </c>
    </row>
    <row r="871" spans="1:19" x14ac:dyDescent="0.3">
      <c r="A871" t="s">
        <v>1169</v>
      </c>
      <c r="B871" t="s">
        <v>38</v>
      </c>
      <c r="C871" t="s">
        <v>20</v>
      </c>
      <c r="D871">
        <v>40.759687700000001</v>
      </c>
      <c r="E871">
        <v>-73.990979600000003</v>
      </c>
      <c r="F871" t="s">
        <v>21</v>
      </c>
      <c r="G871">
        <v>1</v>
      </c>
      <c r="H871">
        <v>1</v>
      </c>
      <c r="I871">
        <v>1</v>
      </c>
      <c r="J871">
        <v>1</v>
      </c>
      <c r="K871">
        <v>30</v>
      </c>
      <c r="L871">
        <v>165</v>
      </c>
      <c r="M871">
        <v>5</v>
      </c>
      <c r="N871">
        <v>0.45</v>
      </c>
      <c r="O871">
        <f>IF(F871="Private room",1,0)</f>
        <v>0</v>
      </c>
      <c r="P871">
        <f>IF(C871="Manhattan",4,IF(C871="Brooklyn",2,0))</f>
        <v>4</v>
      </c>
      <c r="Q871" s="2">
        <v>57</v>
      </c>
      <c r="R871" s="1">
        <v>45747</v>
      </c>
      <c r="S871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139.13</v>
      </c>
    </row>
    <row r="872" spans="1:19" x14ac:dyDescent="0.3">
      <c r="A872" t="s">
        <v>1170</v>
      </c>
      <c r="B872" t="s">
        <v>19</v>
      </c>
      <c r="C872" t="s">
        <v>20</v>
      </c>
      <c r="D872">
        <v>40.764395</v>
      </c>
      <c r="E872">
        <v>-73.981741</v>
      </c>
      <c r="F872" t="s">
        <v>18</v>
      </c>
      <c r="G872">
        <v>2</v>
      </c>
      <c r="H872">
        <v>1</v>
      </c>
      <c r="I872">
        <v>1</v>
      </c>
      <c r="J872">
        <v>1</v>
      </c>
      <c r="K872">
        <v>1</v>
      </c>
      <c r="L872">
        <v>112</v>
      </c>
      <c r="M872">
        <v>23</v>
      </c>
      <c r="N872">
        <v>1.73</v>
      </c>
      <c r="O872">
        <f>IF(F872="Private room",1,0)</f>
        <v>1</v>
      </c>
      <c r="P872">
        <f>IF(C872="Manhattan",4,IF(C872="Brooklyn",2,0))</f>
        <v>4</v>
      </c>
      <c r="Q872" s="2">
        <v>317</v>
      </c>
      <c r="R872" s="1">
        <v>45731</v>
      </c>
      <c r="S872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214.08000000000004</v>
      </c>
    </row>
    <row r="873" spans="1:19" x14ac:dyDescent="0.3">
      <c r="A873" t="s">
        <v>1171</v>
      </c>
      <c r="B873" t="s">
        <v>49</v>
      </c>
      <c r="C873" t="s">
        <v>20</v>
      </c>
      <c r="D873" s="3" t="s">
        <v>1172</v>
      </c>
      <c r="E873">
        <v>-73.978338225721501</v>
      </c>
      <c r="F873" t="s">
        <v>21</v>
      </c>
      <c r="G873">
        <v>2</v>
      </c>
      <c r="H873">
        <v>1</v>
      </c>
      <c r="I873">
        <v>1</v>
      </c>
      <c r="J873">
        <v>1</v>
      </c>
      <c r="K873">
        <v>30</v>
      </c>
      <c r="L873">
        <v>326</v>
      </c>
      <c r="M873">
        <v>1</v>
      </c>
      <c r="N873">
        <v>0.48</v>
      </c>
      <c r="O873">
        <f>IF(F873="Private room",1,0)</f>
        <v>0</v>
      </c>
      <c r="P873">
        <f>IF(C873="Manhattan",4,IF(C873="Brooklyn",2,0))</f>
        <v>4</v>
      </c>
      <c r="Q873" s="2">
        <v>120</v>
      </c>
      <c r="R873" s="1">
        <v>45717</v>
      </c>
      <c r="S873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151.67000000000002</v>
      </c>
    </row>
    <row r="874" spans="1:19" x14ac:dyDescent="0.3">
      <c r="A874" t="s">
        <v>1173</v>
      </c>
      <c r="B874" t="s">
        <v>19</v>
      </c>
      <c r="C874" t="s">
        <v>20</v>
      </c>
      <c r="D874">
        <v>40.755943600000002</v>
      </c>
      <c r="E874">
        <v>-73.980187099999995</v>
      </c>
      <c r="F874" t="s">
        <v>18</v>
      </c>
      <c r="G874">
        <v>2</v>
      </c>
      <c r="H874">
        <v>1</v>
      </c>
      <c r="I874">
        <v>1</v>
      </c>
      <c r="J874">
        <v>1</v>
      </c>
      <c r="K874">
        <v>1</v>
      </c>
      <c r="L874">
        <v>82</v>
      </c>
      <c r="M874">
        <v>26</v>
      </c>
      <c r="N874">
        <v>2.0499999999999998</v>
      </c>
      <c r="O874">
        <f>IF(F874="Private room",1,0)</f>
        <v>1</v>
      </c>
      <c r="P874">
        <f>IF(C874="Manhattan",4,IF(C874="Brooklyn",2,0))</f>
        <v>4</v>
      </c>
      <c r="Q874" s="2">
        <v>300</v>
      </c>
      <c r="R874" s="1">
        <v>45746</v>
      </c>
      <c r="S874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215.28000000000003</v>
      </c>
    </row>
    <row r="875" spans="1:19" x14ac:dyDescent="0.3">
      <c r="A875" t="s">
        <v>1174</v>
      </c>
      <c r="B875" t="s">
        <v>19</v>
      </c>
      <c r="C875" t="s">
        <v>20</v>
      </c>
      <c r="D875">
        <v>40.746290000000002</v>
      </c>
      <c r="E875">
        <v>-73.988709999999998</v>
      </c>
      <c r="F875" t="s">
        <v>18</v>
      </c>
      <c r="G875">
        <v>4</v>
      </c>
      <c r="H875">
        <v>1</v>
      </c>
      <c r="I875">
        <v>1</v>
      </c>
      <c r="J875">
        <v>2</v>
      </c>
      <c r="K875">
        <v>1</v>
      </c>
      <c r="L875">
        <v>290</v>
      </c>
      <c r="M875">
        <v>11</v>
      </c>
      <c r="N875">
        <v>0.84</v>
      </c>
      <c r="O875">
        <f>IF(F875="Private room",1,0)</f>
        <v>1</v>
      </c>
      <c r="P875">
        <f>IF(C875="Manhattan",4,IF(C875="Brooklyn",2,0))</f>
        <v>4</v>
      </c>
      <c r="Q875" s="2">
        <v>150</v>
      </c>
      <c r="R875" s="1">
        <v>45733</v>
      </c>
      <c r="S875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244.92000000000007</v>
      </c>
    </row>
    <row r="876" spans="1:19" x14ac:dyDescent="0.3">
      <c r="A876" t="s">
        <v>1175</v>
      </c>
      <c r="B876" t="s">
        <v>27</v>
      </c>
      <c r="C876" t="s">
        <v>17</v>
      </c>
      <c r="D876">
        <v>40.685127799999997</v>
      </c>
      <c r="E876">
        <v>-73.942102300000002</v>
      </c>
      <c r="F876" t="s">
        <v>21</v>
      </c>
      <c r="G876">
        <v>8</v>
      </c>
      <c r="H876">
        <v>2.5</v>
      </c>
      <c r="I876">
        <v>3</v>
      </c>
      <c r="J876">
        <v>3</v>
      </c>
      <c r="K876">
        <v>30</v>
      </c>
      <c r="L876">
        <v>351</v>
      </c>
      <c r="M876">
        <v>1</v>
      </c>
      <c r="N876">
        <v>0.77</v>
      </c>
      <c r="O876">
        <f>IF(F876="Private room",1,0)</f>
        <v>0</v>
      </c>
      <c r="P876">
        <f>IF(C876="Manhattan",4,IF(C876="Brooklyn",2,0))</f>
        <v>2</v>
      </c>
      <c r="Q876" s="2">
        <v>189</v>
      </c>
      <c r="R876" s="1">
        <v>45740</v>
      </c>
      <c r="S876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250.92000000000007</v>
      </c>
    </row>
    <row r="877" spans="1:19" x14ac:dyDescent="0.3">
      <c r="A877" t="s">
        <v>1176</v>
      </c>
      <c r="B877" t="s">
        <v>19</v>
      </c>
      <c r="C877" t="s">
        <v>20</v>
      </c>
      <c r="D877">
        <v>40.74633</v>
      </c>
      <c r="E877">
        <v>-73.987489999999994</v>
      </c>
      <c r="F877" t="s">
        <v>18</v>
      </c>
      <c r="G877">
        <v>3</v>
      </c>
      <c r="H877">
        <v>1</v>
      </c>
      <c r="I877">
        <v>1</v>
      </c>
      <c r="J877">
        <v>2</v>
      </c>
      <c r="K877">
        <v>1</v>
      </c>
      <c r="L877">
        <v>281</v>
      </c>
      <c r="M877">
        <v>9</v>
      </c>
      <c r="N877">
        <v>0.7</v>
      </c>
      <c r="O877">
        <f>IF(F877="Private room",1,0)</f>
        <v>1</v>
      </c>
      <c r="P877">
        <f>IF(C877="Manhattan",4,IF(C877="Brooklyn",2,0))</f>
        <v>4</v>
      </c>
      <c r="Q877" s="2">
        <v>169</v>
      </c>
      <c r="R877" s="1">
        <v>45743</v>
      </c>
      <c r="S877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226.3</v>
      </c>
    </row>
    <row r="878" spans="1:19" x14ac:dyDescent="0.3">
      <c r="A878" t="s">
        <v>1177</v>
      </c>
      <c r="B878" t="s">
        <v>481</v>
      </c>
      <c r="C878" t="s">
        <v>91</v>
      </c>
      <c r="D878">
        <v>40.616909999999997</v>
      </c>
      <c r="E878">
        <v>-74.164649999999995</v>
      </c>
      <c r="F878" t="s">
        <v>18</v>
      </c>
      <c r="G878">
        <v>1</v>
      </c>
      <c r="H878">
        <v>1</v>
      </c>
      <c r="I878">
        <v>1</v>
      </c>
      <c r="J878">
        <v>1</v>
      </c>
      <c r="K878">
        <v>3</v>
      </c>
      <c r="L878">
        <v>329</v>
      </c>
      <c r="M878">
        <v>35</v>
      </c>
      <c r="N878">
        <v>2.88</v>
      </c>
      <c r="O878">
        <f>IF(F878="Private room",1,0)</f>
        <v>1</v>
      </c>
      <c r="P878">
        <f>IF(C878="Manhattan",4,IF(C878="Brooklyn",2,0))</f>
        <v>0</v>
      </c>
      <c r="Q878" s="2">
        <v>68</v>
      </c>
      <c r="R878" s="1">
        <v>45725</v>
      </c>
      <c r="S878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118.8</v>
      </c>
    </row>
    <row r="879" spans="1:19" x14ac:dyDescent="0.3">
      <c r="A879" t="s">
        <v>1179</v>
      </c>
      <c r="B879" t="s">
        <v>119</v>
      </c>
      <c r="C879" t="s">
        <v>31</v>
      </c>
      <c r="D879" s="3" t="s">
        <v>1180</v>
      </c>
      <c r="E879">
        <v>-73.926019749202695</v>
      </c>
      <c r="F879" t="s">
        <v>18</v>
      </c>
      <c r="G879">
        <v>2</v>
      </c>
      <c r="H879">
        <v>1</v>
      </c>
      <c r="I879">
        <v>1</v>
      </c>
      <c r="J879">
        <v>1</v>
      </c>
      <c r="K879">
        <v>10</v>
      </c>
      <c r="L879">
        <v>187</v>
      </c>
      <c r="M879">
        <v>22</v>
      </c>
      <c r="N879">
        <v>1.64</v>
      </c>
      <c r="O879">
        <f>IF(F879="Private room",1,0)</f>
        <v>1</v>
      </c>
      <c r="P879">
        <f>IF(C879="Manhattan",4,IF(C879="Brooklyn",2,0))</f>
        <v>0</v>
      </c>
      <c r="Q879" s="2">
        <v>74</v>
      </c>
      <c r="R879" s="1">
        <v>45738</v>
      </c>
      <c r="S879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120.01000000000003</v>
      </c>
    </row>
    <row r="880" spans="1:19" x14ac:dyDescent="0.3">
      <c r="A880" t="s">
        <v>1181</v>
      </c>
      <c r="B880" t="s">
        <v>38</v>
      </c>
      <c r="C880" t="s">
        <v>20</v>
      </c>
      <c r="D880" s="3" t="s">
        <v>1182</v>
      </c>
      <c r="E880">
        <v>-73.990476325300804</v>
      </c>
      <c r="F880" t="s">
        <v>21</v>
      </c>
      <c r="G880">
        <v>1</v>
      </c>
      <c r="H880">
        <v>1</v>
      </c>
      <c r="I880">
        <v>0</v>
      </c>
      <c r="J880">
        <v>1</v>
      </c>
      <c r="K880">
        <v>30</v>
      </c>
      <c r="L880">
        <v>286</v>
      </c>
      <c r="M880">
        <v>4</v>
      </c>
      <c r="N880">
        <v>0.56999999999999995</v>
      </c>
      <c r="O880">
        <f>IF(F880="Private room",1,0)</f>
        <v>0</v>
      </c>
      <c r="P880">
        <f>IF(C880="Manhattan",4,IF(C880="Brooklyn",2,0))</f>
        <v>4</v>
      </c>
      <c r="Q880" s="2">
        <v>53</v>
      </c>
      <c r="R880" s="1">
        <v>45725</v>
      </c>
      <c r="S880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134.29000000000002</v>
      </c>
    </row>
    <row r="881" spans="1:19" x14ac:dyDescent="0.3">
      <c r="A881" t="s">
        <v>1183</v>
      </c>
      <c r="B881" t="s">
        <v>154</v>
      </c>
      <c r="C881" t="s">
        <v>31</v>
      </c>
      <c r="D881">
        <v>40.8500382</v>
      </c>
      <c r="E881">
        <v>-73.903166299999995</v>
      </c>
      <c r="F881" t="s">
        <v>21</v>
      </c>
      <c r="G881">
        <v>2</v>
      </c>
      <c r="H881">
        <v>1</v>
      </c>
      <c r="I881">
        <v>1</v>
      </c>
      <c r="J881">
        <v>1</v>
      </c>
      <c r="K881">
        <v>30</v>
      </c>
      <c r="L881">
        <v>120</v>
      </c>
      <c r="M881">
        <v>6</v>
      </c>
      <c r="N881">
        <v>0.56999999999999995</v>
      </c>
      <c r="O881">
        <f>IF(F881="Private room",1,0)</f>
        <v>0</v>
      </c>
      <c r="P881">
        <f>IF(C881="Manhattan",4,IF(C881="Brooklyn",2,0))</f>
        <v>0</v>
      </c>
      <c r="Q881" s="2">
        <v>81</v>
      </c>
      <c r="R881" s="1">
        <v>45747</v>
      </c>
      <c r="S881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98.990000000000023</v>
      </c>
    </row>
    <row r="882" spans="1:19" x14ac:dyDescent="0.3">
      <c r="A882" t="s">
        <v>1184</v>
      </c>
      <c r="B882" t="s">
        <v>38</v>
      </c>
      <c r="C882" t="s">
        <v>20</v>
      </c>
      <c r="D882">
        <v>40.760359999999999</v>
      </c>
      <c r="E882">
        <v>-73.991600000000005</v>
      </c>
      <c r="F882" t="s">
        <v>21</v>
      </c>
      <c r="G882">
        <v>1</v>
      </c>
      <c r="H882">
        <v>1</v>
      </c>
      <c r="I882">
        <v>0</v>
      </c>
      <c r="J882">
        <v>1</v>
      </c>
      <c r="K882">
        <v>30</v>
      </c>
      <c r="L882">
        <v>177</v>
      </c>
      <c r="M882">
        <v>3</v>
      </c>
      <c r="N882">
        <v>0.26</v>
      </c>
      <c r="O882">
        <f>IF(F882="Private room",1,0)</f>
        <v>0</v>
      </c>
      <c r="P882">
        <f>IF(C882="Manhattan",4,IF(C882="Brooklyn",2,0))</f>
        <v>4</v>
      </c>
      <c r="Q882" s="2">
        <v>66</v>
      </c>
      <c r="R882" s="1">
        <v>45730</v>
      </c>
      <c r="S882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138.65</v>
      </c>
    </row>
    <row r="883" spans="1:19" x14ac:dyDescent="0.3">
      <c r="A883" t="s">
        <v>1185</v>
      </c>
      <c r="B883" t="s">
        <v>28</v>
      </c>
      <c r="C883" t="s">
        <v>20</v>
      </c>
      <c r="D883" s="3" t="s">
        <v>1186</v>
      </c>
      <c r="E883">
        <v>-73.947273788505299</v>
      </c>
      <c r="F883" t="s">
        <v>21</v>
      </c>
      <c r="G883">
        <v>8</v>
      </c>
      <c r="H883">
        <v>2</v>
      </c>
      <c r="I883">
        <v>3</v>
      </c>
      <c r="J883">
        <v>4</v>
      </c>
      <c r="K883">
        <v>3</v>
      </c>
      <c r="L883">
        <v>58</v>
      </c>
      <c r="M883">
        <v>14</v>
      </c>
      <c r="N883">
        <v>1.73</v>
      </c>
      <c r="O883">
        <f>IF(F883="Private room",1,0)</f>
        <v>0</v>
      </c>
      <c r="P883">
        <f>IF(C883="Manhattan",4,IF(C883="Brooklyn",2,0))</f>
        <v>4</v>
      </c>
      <c r="Q883" s="2">
        <v>385</v>
      </c>
      <c r="R883" s="1">
        <v>45743</v>
      </c>
      <c r="S883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377.94000000000005</v>
      </c>
    </row>
    <row r="884" spans="1:19" x14ac:dyDescent="0.3">
      <c r="A884" t="s">
        <v>1187</v>
      </c>
      <c r="B884" t="s">
        <v>19</v>
      </c>
      <c r="C884" t="s">
        <v>20</v>
      </c>
      <c r="D884" s="3" t="s">
        <v>1188</v>
      </c>
      <c r="E884">
        <v>-73.988606020302996</v>
      </c>
      <c r="F884" t="s">
        <v>18</v>
      </c>
      <c r="G884">
        <v>3</v>
      </c>
      <c r="H884">
        <v>1</v>
      </c>
      <c r="I884">
        <v>1</v>
      </c>
      <c r="J884">
        <v>2</v>
      </c>
      <c r="K884">
        <v>1</v>
      </c>
      <c r="L884">
        <v>285</v>
      </c>
      <c r="M884">
        <v>14</v>
      </c>
      <c r="N884">
        <v>1.1100000000000001</v>
      </c>
      <c r="O884">
        <f>IF(F884="Private room",1,0)</f>
        <v>1</v>
      </c>
      <c r="P884">
        <f>IF(C884="Manhattan",4,IF(C884="Brooklyn",2,0))</f>
        <v>4</v>
      </c>
      <c r="Q884" s="2">
        <v>161</v>
      </c>
      <c r="R884" s="1">
        <v>45731</v>
      </c>
      <c r="S884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226.14000000000004</v>
      </c>
    </row>
    <row r="885" spans="1:19" x14ac:dyDescent="0.3">
      <c r="A885" t="s">
        <v>1189</v>
      </c>
      <c r="B885" t="s">
        <v>78</v>
      </c>
      <c r="C885" t="s">
        <v>20</v>
      </c>
      <c r="D885">
        <v>40.757080000000002</v>
      </c>
      <c r="E885">
        <v>-73.983130000000003</v>
      </c>
      <c r="F885" t="s">
        <v>21</v>
      </c>
      <c r="G885">
        <v>4</v>
      </c>
      <c r="H885">
        <v>1</v>
      </c>
      <c r="I885">
        <v>1</v>
      </c>
      <c r="J885">
        <v>2</v>
      </c>
      <c r="K885">
        <v>30</v>
      </c>
      <c r="L885">
        <v>324</v>
      </c>
      <c r="M885">
        <v>3</v>
      </c>
      <c r="N885">
        <v>0.26</v>
      </c>
      <c r="O885">
        <f>IF(F885="Private room",1,0)</f>
        <v>0</v>
      </c>
      <c r="P885">
        <f>IF(C885="Manhattan",4,IF(C885="Brooklyn",2,0))</f>
        <v>4</v>
      </c>
      <c r="Q885" s="2">
        <v>350</v>
      </c>
      <c r="R885" s="1">
        <v>45746</v>
      </c>
      <c r="S885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189.71000000000004</v>
      </c>
    </row>
    <row r="886" spans="1:19" x14ac:dyDescent="0.3">
      <c r="A886" t="s">
        <v>1190</v>
      </c>
      <c r="B886" t="s">
        <v>19</v>
      </c>
      <c r="C886" t="s">
        <v>20</v>
      </c>
      <c r="D886">
        <v>40.75329</v>
      </c>
      <c r="E886">
        <v>-73.974429999999998</v>
      </c>
      <c r="F886" t="s">
        <v>18</v>
      </c>
      <c r="G886">
        <v>2</v>
      </c>
      <c r="H886">
        <v>1</v>
      </c>
      <c r="I886">
        <v>1</v>
      </c>
      <c r="J886">
        <v>1</v>
      </c>
      <c r="K886">
        <v>1</v>
      </c>
      <c r="L886">
        <v>96</v>
      </c>
      <c r="M886">
        <v>96</v>
      </c>
      <c r="N886">
        <v>7.76</v>
      </c>
      <c r="O886">
        <f>IF(F886="Private room",1,0)</f>
        <v>1</v>
      </c>
      <c r="P886">
        <f>IF(C886="Manhattan",4,IF(C886="Brooklyn",2,0))</f>
        <v>4</v>
      </c>
      <c r="Q886" s="2">
        <v>298</v>
      </c>
      <c r="R886" s="1">
        <v>45741</v>
      </c>
      <c r="S886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214.72000000000003</v>
      </c>
    </row>
    <row r="887" spans="1:19" x14ac:dyDescent="0.3">
      <c r="A887" t="s">
        <v>1191</v>
      </c>
      <c r="B887" t="s">
        <v>87</v>
      </c>
      <c r="C887" t="s">
        <v>17</v>
      </c>
      <c r="D887" s="3" t="s">
        <v>1192</v>
      </c>
      <c r="E887">
        <v>-73.954406289283796</v>
      </c>
      <c r="F887" t="s">
        <v>21</v>
      </c>
      <c r="G887">
        <v>2</v>
      </c>
      <c r="H887">
        <v>1</v>
      </c>
      <c r="I887">
        <v>0</v>
      </c>
      <c r="J887">
        <v>1</v>
      </c>
      <c r="K887">
        <v>3</v>
      </c>
      <c r="L887">
        <v>344</v>
      </c>
      <c r="M887">
        <v>14</v>
      </c>
      <c r="N887">
        <v>1.4</v>
      </c>
      <c r="O887">
        <f>IF(F887="Private room",1,0)</f>
        <v>0</v>
      </c>
      <c r="P887">
        <f>IF(C887="Manhattan",4,IF(C887="Brooklyn",2,0))</f>
        <v>2</v>
      </c>
      <c r="Q887" s="2">
        <v>178</v>
      </c>
      <c r="R887" s="1">
        <v>45744</v>
      </c>
      <c r="S887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210.94000000000003</v>
      </c>
    </row>
    <row r="888" spans="1:19" x14ac:dyDescent="0.3">
      <c r="A888" t="s">
        <v>1193</v>
      </c>
      <c r="B888" t="s">
        <v>27</v>
      </c>
      <c r="C888" t="s">
        <v>17</v>
      </c>
      <c r="D888" s="3" t="s">
        <v>1194</v>
      </c>
      <c r="E888">
        <v>-73.940801424075801</v>
      </c>
      <c r="F888" t="s">
        <v>18</v>
      </c>
      <c r="G888">
        <v>1</v>
      </c>
      <c r="H888">
        <v>1</v>
      </c>
      <c r="I888">
        <v>1</v>
      </c>
      <c r="J888">
        <v>1</v>
      </c>
      <c r="K888">
        <v>30</v>
      </c>
      <c r="L888">
        <v>125</v>
      </c>
      <c r="M888">
        <v>3</v>
      </c>
      <c r="N888">
        <v>0.27</v>
      </c>
      <c r="O888">
        <f>IF(F888="Private room",1,0)</f>
        <v>1</v>
      </c>
      <c r="P888">
        <f>IF(C888="Manhattan",4,IF(C888="Brooklyn",2,0))</f>
        <v>2</v>
      </c>
      <c r="Q888" s="2">
        <v>54</v>
      </c>
      <c r="R888" s="1">
        <v>45735</v>
      </c>
      <c r="S888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66.97</v>
      </c>
    </row>
    <row r="889" spans="1:19" x14ac:dyDescent="0.3">
      <c r="A889" t="s">
        <v>1195</v>
      </c>
      <c r="B889" t="s">
        <v>19</v>
      </c>
      <c r="C889" t="s">
        <v>20</v>
      </c>
      <c r="D889" s="3" t="s">
        <v>1196</v>
      </c>
      <c r="E889">
        <v>-73.988509191693296</v>
      </c>
      <c r="F889" t="s">
        <v>18</v>
      </c>
      <c r="G889">
        <v>3</v>
      </c>
      <c r="H889">
        <v>1</v>
      </c>
      <c r="I889">
        <v>1</v>
      </c>
      <c r="J889">
        <v>2</v>
      </c>
      <c r="K889">
        <v>1</v>
      </c>
      <c r="L889">
        <v>277</v>
      </c>
      <c r="M889">
        <v>16</v>
      </c>
      <c r="N889">
        <v>1.36</v>
      </c>
      <c r="O889">
        <f>IF(F889="Private room",1,0)</f>
        <v>1</v>
      </c>
      <c r="P889">
        <f>IF(C889="Manhattan",4,IF(C889="Brooklyn",2,0))</f>
        <v>4</v>
      </c>
      <c r="Q889" s="2">
        <v>132</v>
      </c>
      <c r="R889" s="1">
        <v>45739</v>
      </c>
      <c r="S889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226.46000000000004</v>
      </c>
    </row>
    <row r="890" spans="1:19" x14ac:dyDescent="0.3">
      <c r="A890" t="s">
        <v>1197</v>
      </c>
      <c r="B890" t="s">
        <v>19</v>
      </c>
      <c r="C890" t="s">
        <v>20</v>
      </c>
      <c r="D890">
        <v>40.761299999999999</v>
      </c>
      <c r="E890">
        <v>-73.977999999999994</v>
      </c>
      <c r="F890" t="s">
        <v>21</v>
      </c>
      <c r="G890">
        <v>2</v>
      </c>
      <c r="H890">
        <v>1</v>
      </c>
      <c r="I890">
        <v>1</v>
      </c>
      <c r="J890">
        <v>1</v>
      </c>
      <c r="K890">
        <v>30</v>
      </c>
      <c r="L890">
        <v>233</v>
      </c>
      <c r="M890">
        <v>2</v>
      </c>
      <c r="N890">
        <v>0.23</v>
      </c>
      <c r="O890">
        <f>IF(F890="Private room",1,0)</f>
        <v>0</v>
      </c>
      <c r="P890">
        <f>IF(C890="Manhattan",4,IF(C890="Brooklyn",2,0))</f>
        <v>4</v>
      </c>
      <c r="Q890" s="2">
        <v>189</v>
      </c>
      <c r="R890" s="1">
        <v>45747</v>
      </c>
      <c r="S890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155.39000000000004</v>
      </c>
    </row>
    <row r="891" spans="1:19" x14ac:dyDescent="0.3">
      <c r="A891" t="s">
        <v>1198</v>
      </c>
      <c r="B891" t="s">
        <v>19</v>
      </c>
      <c r="C891" t="s">
        <v>20</v>
      </c>
      <c r="D891" s="3" t="s">
        <v>1199</v>
      </c>
      <c r="E891">
        <v>-73.988860913529194</v>
      </c>
      <c r="F891" t="s">
        <v>18</v>
      </c>
      <c r="G891">
        <v>4</v>
      </c>
      <c r="H891">
        <v>1</v>
      </c>
      <c r="I891">
        <v>1</v>
      </c>
      <c r="J891">
        <v>2</v>
      </c>
      <c r="K891">
        <v>1</v>
      </c>
      <c r="L891">
        <v>292</v>
      </c>
      <c r="M891">
        <v>13</v>
      </c>
      <c r="N891">
        <v>1.1100000000000001</v>
      </c>
      <c r="O891">
        <f>IF(F891="Private room",1,0)</f>
        <v>1</v>
      </c>
      <c r="P891">
        <f>IF(C891="Manhattan",4,IF(C891="Brooklyn",2,0))</f>
        <v>4</v>
      </c>
      <c r="Q891" s="2">
        <v>192</v>
      </c>
      <c r="R891" s="1">
        <v>45733</v>
      </c>
      <c r="S891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244.84000000000003</v>
      </c>
    </row>
    <row r="892" spans="1:19" x14ac:dyDescent="0.3">
      <c r="A892" t="s">
        <v>1200</v>
      </c>
      <c r="B892" t="s">
        <v>19</v>
      </c>
      <c r="C892" t="s">
        <v>20</v>
      </c>
      <c r="D892">
        <v>40.746189999999999</v>
      </c>
      <c r="E892">
        <v>-73.986760000000004</v>
      </c>
      <c r="F892" t="s">
        <v>18</v>
      </c>
      <c r="G892">
        <v>4</v>
      </c>
      <c r="H892">
        <v>1</v>
      </c>
      <c r="I892">
        <v>1</v>
      </c>
      <c r="J892">
        <v>2</v>
      </c>
      <c r="K892">
        <v>1</v>
      </c>
      <c r="L892">
        <v>292</v>
      </c>
      <c r="M892">
        <v>8</v>
      </c>
      <c r="N892">
        <v>0.65</v>
      </c>
      <c r="O892">
        <f>IF(F892="Private room",1,0)</f>
        <v>1</v>
      </c>
      <c r="P892">
        <f>IF(C892="Manhattan",4,IF(C892="Brooklyn",2,0))</f>
        <v>4</v>
      </c>
      <c r="Q892" s="2">
        <v>134</v>
      </c>
      <c r="R892" s="1">
        <v>45720</v>
      </c>
      <c r="S892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244.84000000000003</v>
      </c>
    </row>
    <row r="893" spans="1:19" x14ac:dyDescent="0.3">
      <c r="A893" t="s">
        <v>1201</v>
      </c>
      <c r="B893" t="s">
        <v>53</v>
      </c>
      <c r="C893" t="s">
        <v>20</v>
      </c>
      <c r="D893">
        <v>40.791371949864001</v>
      </c>
      <c r="E893">
        <v>-73.976079601475007</v>
      </c>
      <c r="F893" t="s">
        <v>21</v>
      </c>
      <c r="G893">
        <v>2</v>
      </c>
      <c r="H893">
        <v>1</v>
      </c>
      <c r="I893">
        <v>1</v>
      </c>
      <c r="J893">
        <v>1</v>
      </c>
      <c r="K893">
        <v>30</v>
      </c>
      <c r="L893">
        <v>263</v>
      </c>
      <c r="M893">
        <v>3</v>
      </c>
      <c r="N893">
        <v>0.52</v>
      </c>
      <c r="O893">
        <f>IF(F893="Private room",1,0)</f>
        <v>0</v>
      </c>
      <c r="P893">
        <f>IF(C893="Manhattan",4,IF(C893="Brooklyn",2,0))</f>
        <v>4</v>
      </c>
      <c r="Q893" s="2">
        <v>189</v>
      </c>
      <c r="R893" s="1">
        <v>45747</v>
      </c>
      <c r="S893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154.19000000000003</v>
      </c>
    </row>
    <row r="894" spans="1:19" x14ac:dyDescent="0.3">
      <c r="A894" t="s">
        <v>1202</v>
      </c>
      <c r="B894" t="s">
        <v>38</v>
      </c>
      <c r="C894" t="s">
        <v>20</v>
      </c>
      <c r="D894">
        <v>40.756729999999997</v>
      </c>
      <c r="E894">
        <v>-73.992909999999995</v>
      </c>
      <c r="F894" t="s">
        <v>21</v>
      </c>
      <c r="G894">
        <v>2</v>
      </c>
      <c r="H894">
        <v>1</v>
      </c>
      <c r="I894">
        <v>1</v>
      </c>
      <c r="J894">
        <v>1</v>
      </c>
      <c r="K894">
        <v>30</v>
      </c>
      <c r="L894">
        <v>178</v>
      </c>
      <c r="M894">
        <v>3</v>
      </c>
      <c r="N894">
        <v>0.32</v>
      </c>
      <c r="O894">
        <f>IF(F894="Private room",1,0)</f>
        <v>0</v>
      </c>
      <c r="P894">
        <f>IF(C894="Manhattan",4,IF(C894="Brooklyn",2,0))</f>
        <v>4</v>
      </c>
      <c r="Q894" s="2">
        <v>185</v>
      </c>
      <c r="R894" s="1">
        <v>45742</v>
      </c>
      <c r="S894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157.59000000000003</v>
      </c>
    </row>
    <row r="895" spans="1:19" x14ac:dyDescent="0.3">
      <c r="A895" t="s">
        <v>1203</v>
      </c>
      <c r="B895" t="s">
        <v>27</v>
      </c>
      <c r="C895" t="s">
        <v>17</v>
      </c>
      <c r="D895" s="3" t="s">
        <v>1204</v>
      </c>
      <c r="E895">
        <v>-73.919871045773803</v>
      </c>
      <c r="F895" t="s">
        <v>18</v>
      </c>
      <c r="G895">
        <v>2</v>
      </c>
      <c r="H895">
        <v>2</v>
      </c>
      <c r="I895">
        <v>1</v>
      </c>
      <c r="J895">
        <v>1</v>
      </c>
      <c r="K895">
        <v>5</v>
      </c>
      <c r="L895">
        <v>257</v>
      </c>
      <c r="M895">
        <v>17</v>
      </c>
      <c r="N895">
        <v>1.38</v>
      </c>
      <c r="O895">
        <f>IF(F895="Private room",1,0)</f>
        <v>1</v>
      </c>
      <c r="P895">
        <f>IF(C895="Manhattan",4,IF(C895="Brooklyn",2,0))</f>
        <v>2</v>
      </c>
      <c r="Q895" s="2">
        <v>120</v>
      </c>
      <c r="R895" s="1">
        <v>45742</v>
      </c>
      <c r="S895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175.64000000000001</v>
      </c>
    </row>
    <row r="896" spans="1:19" x14ac:dyDescent="0.3">
      <c r="A896" t="s">
        <v>1205</v>
      </c>
      <c r="B896" t="s">
        <v>27</v>
      </c>
      <c r="C896" t="s">
        <v>17</v>
      </c>
      <c r="D896" s="3" t="s">
        <v>1206</v>
      </c>
      <c r="E896">
        <v>-73.921032815816801</v>
      </c>
      <c r="F896" t="s">
        <v>18</v>
      </c>
      <c r="G896">
        <v>2</v>
      </c>
      <c r="H896">
        <v>2</v>
      </c>
      <c r="I896">
        <v>1</v>
      </c>
      <c r="J896">
        <v>1</v>
      </c>
      <c r="K896">
        <v>5</v>
      </c>
      <c r="L896">
        <v>265</v>
      </c>
      <c r="M896">
        <v>21</v>
      </c>
      <c r="N896">
        <v>1.71</v>
      </c>
      <c r="O896">
        <f>IF(F896="Private room",1,0)</f>
        <v>1</v>
      </c>
      <c r="P896">
        <f>IF(C896="Manhattan",4,IF(C896="Brooklyn",2,0))</f>
        <v>2</v>
      </c>
      <c r="Q896" s="2">
        <v>146</v>
      </c>
      <c r="R896" s="1">
        <v>45736</v>
      </c>
      <c r="S896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175.32000000000002</v>
      </c>
    </row>
    <row r="897" spans="1:19" x14ac:dyDescent="0.3">
      <c r="A897" t="s">
        <v>1207</v>
      </c>
      <c r="B897" t="s">
        <v>53</v>
      </c>
      <c r="C897" t="s">
        <v>20</v>
      </c>
      <c r="D897">
        <v>40.8024986</v>
      </c>
      <c r="E897">
        <v>-73.966844399999999</v>
      </c>
      <c r="F897" t="s">
        <v>18</v>
      </c>
      <c r="G897">
        <v>2</v>
      </c>
      <c r="H897">
        <v>2</v>
      </c>
      <c r="I897">
        <v>1</v>
      </c>
      <c r="J897">
        <v>1</v>
      </c>
      <c r="K897">
        <v>30</v>
      </c>
      <c r="L897">
        <v>269</v>
      </c>
      <c r="M897">
        <v>3</v>
      </c>
      <c r="N897">
        <v>0.27</v>
      </c>
      <c r="O897">
        <f>IF(F897="Private room",1,0)</f>
        <v>1</v>
      </c>
      <c r="P897">
        <f>IF(C897="Manhattan",4,IF(C897="Brooklyn",2,0))</f>
        <v>4</v>
      </c>
      <c r="Q897" s="2">
        <v>79</v>
      </c>
      <c r="R897" s="1">
        <v>45736</v>
      </c>
      <c r="S897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121.87000000000002</v>
      </c>
    </row>
    <row r="898" spans="1:19" x14ac:dyDescent="0.3">
      <c r="A898" t="s">
        <v>1208</v>
      </c>
      <c r="B898" t="s">
        <v>36</v>
      </c>
      <c r="C898" t="s">
        <v>20</v>
      </c>
      <c r="D898" s="3" t="s">
        <v>1209</v>
      </c>
      <c r="E898">
        <v>-73.946207627257706</v>
      </c>
      <c r="F898" t="s">
        <v>21</v>
      </c>
      <c r="G898">
        <v>3</v>
      </c>
      <c r="H898">
        <v>1</v>
      </c>
      <c r="I898">
        <v>2</v>
      </c>
      <c r="J898">
        <v>2</v>
      </c>
      <c r="K898">
        <v>30</v>
      </c>
      <c r="L898">
        <v>364</v>
      </c>
      <c r="M898">
        <v>3</v>
      </c>
      <c r="N898">
        <v>0.27</v>
      </c>
      <c r="O898">
        <f>IF(F898="Private room",1,0)</f>
        <v>0</v>
      </c>
      <c r="P898">
        <f>IF(C898="Manhattan",4,IF(C898="Brooklyn",2,0))</f>
        <v>4</v>
      </c>
      <c r="Q898" s="2">
        <v>127</v>
      </c>
      <c r="R898" s="1">
        <v>45734</v>
      </c>
      <c r="S898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169.13</v>
      </c>
    </row>
    <row r="899" spans="1:19" x14ac:dyDescent="0.3">
      <c r="A899" t="s">
        <v>1210</v>
      </c>
      <c r="B899" t="s">
        <v>27</v>
      </c>
      <c r="C899" t="s">
        <v>17</v>
      </c>
      <c r="D899" s="3" t="s">
        <v>1211</v>
      </c>
      <c r="E899">
        <v>-73.917886271948205</v>
      </c>
      <c r="F899" t="s">
        <v>18</v>
      </c>
      <c r="G899">
        <v>2</v>
      </c>
      <c r="H899">
        <v>1</v>
      </c>
      <c r="I899">
        <v>1</v>
      </c>
      <c r="J899">
        <v>1</v>
      </c>
      <c r="K899">
        <v>5</v>
      </c>
      <c r="L899">
        <v>269</v>
      </c>
      <c r="M899">
        <v>24</v>
      </c>
      <c r="N899">
        <v>2.02</v>
      </c>
      <c r="O899">
        <f>IF(F899="Private room",1,0)</f>
        <v>1</v>
      </c>
      <c r="P899">
        <f>IF(C899="Manhattan",4,IF(C899="Brooklyn",2,0))</f>
        <v>2</v>
      </c>
      <c r="Q899" s="2">
        <v>110</v>
      </c>
      <c r="R899" s="1">
        <v>45745</v>
      </c>
      <c r="S899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163.94000000000003</v>
      </c>
    </row>
    <row r="900" spans="1:19" x14ac:dyDescent="0.3">
      <c r="A900" t="s">
        <v>1212</v>
      </c>
      <c r="B900" t="s">
        <v>196</v>
      </c>
      <c r="C900" t="s">
        <v>17</v>
      </c>
      <c r="D900">
        <v>40.678109999999997</v>
      </c>
      <c r="E900">
        <v>-73.90719</v>
      </c>
      <c r="F900" t="s">
        <v>18</v>
      </c>
      <c r="G900">
        <v>2</v>
      </c>
      <c r="H900">
        <v>2</v>
      </c>
      <c r="I900">
        <v>1</v>
      </c>
      <c r="J900">
        <v>1</v>
      </c>
      <c r="K900">
        <v>5</v>
      </c>
      <c r="L900">
        <v>263</v>
      </c>
      <c r="M900">
        <v>24</v>
      </c>
      <c r="N900">
        <v>2.0299999999999998</v>
      </c>
      <c r="O900">
        <f>IF(F900="Private room",1,0)</f>
        <v>1</v>
      </c>
      <c r="P900">
        <f>IF(C900="Manhattan",4,IF(C900="Brooklyn",2,0))</f>
        <v>2</v>
      </c>
      <c r="Q900" s="2">
        <v>163</v>
      </c>
      <c r="R900" s="1">
        <v>45737</v>
      </c>
      <c r="S900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175.4</v>
      </c>
    </row>
    <row r="901" spans="1:19" x14ac:dyDescent="0.3">
      <c r="A901" t="s">
        <v>1213</v>
      </c>
      <c r="B901" t="s">
        <v>95</v>
      </c>
      <c r="C901" t="s">
        <v>20</v>
      </c>
      <c r="D901">
        <v>40.750250600000001</v>
      </c>
      <c r="E901">
        <v>-73.977745299999995</v>
      </c>
      <c r="F901" t="s">
        <v>21</v>
      </c>
      <c r="G901">
        <v>2</v>
      </c>
      <c r="H901">
        <v>1</v>
      </c>
      <c r="I901">
        <v>0</v>
      </c>
      <c r="J901">
        <v>1</v>
      </c>
      <c r="K901">
        <v>30</v>
      </c>
      <c r="L901">
        <v>259</v>
      </c>
      <c r="M901">
        <v>2</v>
      </c>
      <c r="N901">
        <v>0.51</v>
      </c>
      <c r="O901">
        <f>IF(F901="Private room",1,0)</f>
        <v>0</v>
      </c>
      <c r="P901">
        <f>IF(C901="Manhattan",4,IF(C901="Brooklyn",2,0))</f>
        <v>4</v>
      </c>
      <c r="Q901" s="2">
        <v>141</v>
      </c>
      <c r="R901" s="1">
        <v>45739</v>
      </c>
      <c r="S901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154.35000000000002</v>
      </c>
    </row>
    <row r="902" spans="1:19" x14ac:dyDescent="0.3">
      <c r="A902" t="s">
        <v>1214</v>
      </c>
      <c r="B902" t="s">
        <v>49</v>
      </c>
      <c r="C902" t="s">
        <v>20</v>
      </c>
      <c r="D902">
        <v>40.739519999999999</v>
      </c>
      <c r="E902">
        <v>-73.981859999999998</v>
      </c>
      <c r="F902" t="s">
        <v>21</v>
      </c>
      <c r="G902">
        <v>4</v>
      </c>
      <c r="H902">
        <v>1</v>
      </c>
      <c r="I902">
        <v>2</v>
      </c>
      <c r="J902">
        <v>2</v>
      </c>
      <c r="K902">
        <v>30</v>
      </c>
      <c r="L902">
        <v>215</v>
      </c>
      <c r="M902">
        <v>7</v>
      </c>
      <c r="N902">
        <v>0.62</v>
      </c>
      <c r="O902">
        <f>IF(F902="Private room",1,0)</f>
        <v>0</v>
      </c>
      <c r="P902">
        <f>IF(C902="Manhattan",4,IF(C902="Brooklyn",2,0))</f>
        <v>4</v>
      </c>
      <c r="Q902" s="2">
        <v>233</v>
      </c>
      <c r="R902" s="1">
        <v>45732</v>
      </c>
      <c r="S902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194.07000000000005</v>
      </c>
    </row>
    <row r="903" spans="1:19" x14ac:dyDescent="0.3">
      <c r="A903" t="s">
        <v>1215</v>
      </c>
      <c r="B903" t="s">
        <v>19</v>
      </c>
      <c r="C903" t="s">
        <v>20</v>
      </c>
      <c r="D903" s="3" t="s">
        <v>1216</v>
      </c>
      <c r="E903">
        <v>-73.987256568890004</v>
      </c>
      <c r="F903" t="s">
        <v>18</v>
      </c>
      <c r="G903">
        <v>2</v>
      </c>
      <c r="H903">
        <v>1</v>
      </c>
      <c r="I903">
        <v>1</v>
      </c>
      <c r="J903">
        <v>1</v>
      </c>
      <c r="K903">
        <v>1</v>
      </c>
      <c r="L903">
        <v>275</v>
      </c>
      <c r="M903">
        <v>19</v>
      </c>
      <c r="N903">
        <v>1.63</v>
      </c>
      <c r="O903">
        <f>IF(F903="Private room",1,0)</f>
        <v>1</v>
      </c>
      <c r="P903">
        <f>IF(C903="Manhattan",4,IF(C903="Brooklyn",2,0))</f>
        <v>4</v>
      </c>
      <c r="Q903" s="2">
        <v>208</v>
      </c>
      <c r="R903" s="1">
        <v>45745</v>
      </c>
      <c r="S903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207.56000000000006</v>
      </c>
    </row>
    <row r="904" spans="1:19" x14ac:dyDescent="0.3">
      <c r="A904" t="s">
        <v>1217</v>
      </c>
      <c r="B904" t="s">
        <v>67</v>
      </c>
      <c r="C904" t="s">
        <v>17</v>
      </c>
      <c r="D904" s="3" t="s">
        <v>1218</v>
      </c>
      <c r="E904">
        <v>-73.919862614089197</v>
      </c>
      <c r="F904" t="s">
        <v>18</v>
      </c>
      <c r="G904">
        <v>2</v>
      </c>
      <c r="H904">
        <v>1</v>
      </c>
      <c r="I904">
        <v>1</v>
      </c>
      <c r="J904">
        <v>1</v>
      </c>
      <c r="K904">
        <v>5</v>
      </c>
      <c r="L904">
        <v>264</v>
      </c>
      <c r="M904">
        <v>23</v>
      </c>
      <c r="N904">
        <v>1.92</v>
      </c>
      <c r="O904">
        <f>IF(F904="Private room",1,0)</f>
        <v>1</v>
      </c>
      <c r="P904">
        <f>IF(C904="Manhattan",4,IF(C904="Brooklyn",2,0))</f>
        <v>2</v>
      </c>
      <c r="Q904" s="2">
        <v>116</v>
      </c>
      <c r="R904" s="1">
        <v>45740</v>
      </c>
      <c r="S904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164.14000000000001</v>
      </c>
    </row>
    <row r="905" spans="1:19" x14ac:dyDescent="0.3">
      <c r="A905" t="s">
        <v>1219</v>
      </c>
      <c r="B905" t="s">
        <v>19</v>
      </c>
      <c r="C905" t="s">
        <v>20</v>
      </c>
      <c r="D905">
        <v>40.75403</v>
      </c>
      <c r="E905">
        <v>-73.990319999999997</v>
      </c>
      <c r="F905" t="s">
        <v>21</v>
      </c>
      <c r="G905">
        <v>2</v>
      </c>
      <c r="H905">
        <v>1</v>
      </c>
      <c r="I905">
        <v>1</v>
      </c>
      <c r="J905">
        <v>1</v>
      </c>
      <c r="K905">
        <v>5</v>
      </c>
      <c r="L905">
        <v>139</v>
      </c>
      <c r="M905">
        <v>27</v>
      </c>
      <c r="N905">
        <v>2.38</v>
      </c>
      <c r="O905">
        <f>IF(F905="Private room",1,0)</f>
        <v>0</v>
      </c>
      <c r="P905">
        <f>IF(C905="Manhattan",4,IF(C905="Brooklyn",2,0))</f>
        <v>4</v>
      </c>
      <c r="Q905" s="2">
        <v>198</v>
      </c>
      <c r="R905" s="1">
        <v>45739</v>
      </c>
      <c r="S905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242.90000000000003</v>
      </c>
    </row>
    <row r="906" spans="1:19" x14ac:dyDescent="0.3">
      <c r="A906" t="s">
        <v>1220</v>
      </c>
      <c r="B906" t="s">
        <v>27</v>
      </c>
      <c r="C906" t="s">
        <v>17</v>
      </c>
      <c r="D906">
        <v>40.689720000000001</v>
      </c>
      <c r="E906">
        <v>-73.938450000000003</v>
      </c>
      <c r="F906" t="s">
        <v>18</v>
      </c>
      <c r="G906">
        <v>2</v>
      </c>
      <c r="H906">
        <v>1</v>
      </c>
      <c r="I906">
        <v>1</v>
      </c>
      <c r="J906">
        <v>1</v>
      </c>
      <c r="K906">
        <v>30</v>
      </c>
      <c r="L906">
        <v>153</v>
      </c>
      <c r="M906">
        <v>2</v>
      </c>
      <c r="N906">
        <v>0.19</v>
      </c>
      <c r="O906">
        <f>IF(F906="Private room",1,0)</f>
        <v>1</v>
      </c>
      <c r="P906">
        <f>IF(C906="Manhattan",4,IF(C906="Brooklyn",2,0))</f>
        <v>2</v>
      </c>
      <c r="Q906" s="2">
        <v>51</v>
      </c>
      <c r="R906" s="1">
        <v>45718</v>
      </c>
      <c r="S906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84.830000000000013</v>
      </c>
    </row>
    <row r="907" spans="1:19" x14ac:dyDescent="0.3">
      <c r="A907" t="s">
        <v>1221</v>
      </c>
      <c r="B907" t="s">
        <v>205</v>
      </c>
      <c r="C907" t="s">
        <v>17</v>
      </c>
      <c r="D907" s="3" t="s">
        <v>1222</v>
      </c>
      <c r="E907">
        <v>-73.908469274282496</v>
      </c>
      <c r="F907" t="s">
        <v>18</v>
      </c>
      <c r="G907">
        <v>2</v>
      </c>
      <c r="H907">
        <v>1</v>
      </c>
      <c r="I907">
        <v>1</v>
      </c>
      <c r="J907">
        <v>1</v>
      </c>
      <c r="K907">
        <v>5</v>
      </c>
      <c r="L907">
        <v>365</v>
      </c>
      <c r="M907">
        <v>15</v>
      </c>
      <c r="N907">
        <v>1.33</v>
      </c>
      <c r="O907">
        <f>IF(F907="Private room",1,0)</f>
        <v>1</v>
      </c>
      <c r="P907">
        <f>IF(C907="Manhattan",4,IF(C907="Brooklyn",2,0))</f>
        <v>2</v>
      </c>
      <c r="Q907" s="2">
        <v>120</v>
      </c>
      <c r="R907" s="1">
        <v>45743</v>
      </c>
      <c r="S907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160.10000000000005</v>
      </c>
    </row>
    <row r="908" spans="1:19" x14ac:dyDescent="0.3">
      <c r="A908" t="s">
        <v>1223</v>
      </c>
      <c r="B908" t="s">
        <v>56</v>
      </c>
      <c r="C908" t="s">
        <v>17</v>
      </c>
      <c r="D908" s="3" t="s">
        <v>1224</v>
      </c>
      <c r="E908">
        <v>-73.932993549346605</v>
      </c>
      <c r="F908" t="s">
        <v>21</v>
      </c>
      <c r="G908">
        <v>6</v>
      </c>
      <c r="H908">
        <v>2</v>
      </c>
      <c r="I908">
        <v>3</v>
      </c>
      <c r="J908">
        <v>4</v>
      </c>
      <c r="K908">
        <v>3</v>
      </c>
      <c r="L908">
        <v>140</v>
      </c>
      <c r="M908">
        <v>21</v>
      </c>
      <c r="N908">
        <v>1.94</v>
      </c>
      <c r="O908">
        <f>IF(F908="Private room",1,0)</f>
        <v>0</v>
      </c>
      <c r="P908">
        <f>IF(C908="Manhattan",4,IF(C908="Brooklyn",2,0))</f>
        <v>2</v>
      </c>
      <c r="Q908" s="2">
        <v>361</v>
      </c>
      <c r="R908" s="1">
        <v>45726</v>
      </c>
      <c r="S908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306.23999999999995</v>
      </c>
    </row>
    <row r="909" spans="1:19" x14ac:dyDescent="0.3">
      <c r="A909" t="s">
        <v>1225</v>
      </c>
      <c r="B909" t="s">
        <v>38</v>
      </c>
      <c r="C909" t="s">
        <v>20</v>
      </c>
      <c r="D909">
        <v>40.759520000000002</v>
      </c>
      <c r="E909">
        <v>-73.991640000000004</v>
      </c>
      <c r="F909" t="s">
        <v>18</v>
      </c>
      <c r="G909">
        <v>2</v>
      </c>
      <c r="H909">
        <v>1</v>
      </c>
      <c r="I909">
        <v>1</v>
      </c>
      <c r="J909">
        <v>1</v>
      </c>
      <c r="K909">
        <v>1</v>
      </c>
      <c r="L909">
        <v>121</v>
      </c>
      <c r="M909">
        <v>46</v>
      </c>
      <c r="N909">
        <v>4</v>
      </c>
      <c r="O909">
        <f>IF(F909="Private room",1,0)</f>
        <v>1</v>
      </c>
      <c r="P909">
        <f>IF(C909="Manhattan",4,IF(C909="Brooklyn",2,0))</f>
        <v>4</v>
      </c>
      <c r="Q909" s="2">
        <v>99</v>
      </c>
      <c r="R909" s="1">
        <v>45743</v>
      </c>
      <c r="S909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213.72000000000003</v>
      </c>
    </row>
    <row r="910" spans="1:19" x14ac:dyDescent="0.3">
      <c r="A910" t="s">
        <v>1226</v>
      </c>
      <c r="B910" t="s">
        <v>62</v>
      </c>
      <c r="C910" t="s">
        <v>20</v>
      </c>
      <c r="D910">
        <v>40.71763</v>
      </c>
      <c r="E910">
        <v>-73.996849999999995</v>
      </c>
      <c r="F910" t="s">
        <v>21</v>
      </c>
      <c r="G910">
        <v>2</v>
      </c>
      <c r="H910">
        <v>1</v>
      </c>
      <c r="I910">
        <v>1</v>
      </c>
      <c r="J910">
        <v>2</v>
      </c>
      <c r="K910">
        <v>30</v>
      </c>
      <c r="L910">
        <v>86</v>
      </c>
      <c r="M910">
        <v>2</v>
      </c>
      <c r="N910">
        <v>0.22</v>
      </c>
      <c r="O910">
        <f>IF(F910="Private room",1,0)</f>
        <v>0</v>
      </c>
      <c r="P910">
        <f>IF(C910="Manhattan",4,IF(C910="Brooklyn",2,0))</f>
        <v>4</v>
      </c>
      <c r="Q910" s="2">
        <v>183</v>
      </c>
      <c r="R910" s="1">
        <v>45730</v>
      </c>
      <c r="S910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161.27000000000004</v>
      </c>
    </row>
    <row r="911" spans="1:19" x14ac:dyDescent="0.3">
      <c r="A911" t="s">
        <v>1227</v>
      </c>
      <c r="B911" t="s">
        <v>56</v>
      </c>
      <c r="C911" t="s">
        <v>17</v>
      </c>
      <c r="D911" s="3" t="s">
        <v>1228</v>
      </c>
      <c r="E911">
        <v>-73.948582999999999</v>
      </c>
      <c r="F911" t="s">
        <v>18</v>
      </c>
      <c r="G911">
        <v>2</v>
      </c>
      <c r="H911">
        <v>1.5</v>
      </c>
      <c r="I911">
        <v>1</v>
      </c>
      <c r="J911">
        <v>1</v>
      </c>
      <c r="K911">
        <v>30</v>
      </c>
      <c r="L911">
        <v>183</v>
      </c>
      <c r="M911">
        <v>3</v>
      </c>
      <c r="N911">
        <v>0.67</v>
      </c>
      <c r="O911">
        <f>IF(F911="Private room",1,0)</f>
        <v>1</v>
      </c>
      <c r="P911">
        <f>IF(C911="Manhattan",4,IF(C911="Brooklyn",2,0))</f>
        <v>2</v>
      </c>
      <c r="Q911" s="2">
        <v>109</v>
      </c>
      <c r="R911" s="1">
        <v>45725</v>
      </c>
      <c r="S911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89.240000000000038</v>
      </c>
    </row>
    <row r="912" spans="1:19" x14ac:dyDescent="0.3">
      <c r="A912" t="s">
        <v>1229</v>
      </c>
      <c r="B912" t="s">
        <v>72</v>
      </c>
      <c r="C912" t="s">
        <v>20</v>
      </c>
      <c r="D912" s="3" t="s">
        <v>1230</v>
      </c>
      <c r="E912">
        <v>-73.9807795851913</v>
      </c>
      <c r="F912" t="s">
        <v>21</v>
      </c>
      <c r="G912">
        <v>3</v>
      </c>
      <c r="H912">
        <v>1</v>
      </c>
      <c r="I912">
        <v>1</v>
      </c>
      <c r="J912">
        <v>1</v>
      </c>
      <c r="K912">
        <v>30</v>
      </c>
      <c r="L912">
        <v>237</v>
      </c>
      <c r="M912">
        <v>2</v>
      </c>
      <c r="N912">
        <v>0.21</v>
      </c>
      <c r="O912">
        <f>IF(F912="Private room",1,0)</f>
        <v>0</v>
      </c>
      <c r="P912">
        <f>IF(C912="Manhattan",4,IF(C912="Brooklyn",2,0))</f>
        <v>4</v>
      </c>
      <c r="Q912" s="2">
        <v>199</v>
      </c>
      <c r="R912" s="1">
        <v>45717</v>
      </c>
      <c r="S912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174.21</v>
      </c>
    </row>
    <row r="913" spans="1:19" x14ac:dyDescent="0.3">
      <c r="A913" t="s">
        <v>1232</v>
      </c>
      <c r="B913" t="s">
        <v>56</v>
      </c>
      <c r="C913" t="s">
        <v>17</v>
      </c>
      <c r="D913" s="3" t="s">
        <v>1228</v>
      </c>
      <c r="E913">
        <v>-73.948582999999999</v>
      </c>
      <c r="F913" t="s">
        <v>18</v>
      </c>
      <c r="G913">
        <v>1</v>
      </c>
      <c r="H913">
        <v>1.5</v>
      </c>
      <c r="I913">
        <v>1</v>
      </c>
      <c r="J913">
        <v>1</v>
      </c>
      <c r="K913">
        <v>30</v>
      </c>
      <c r="L913">
        <v>199</v>
      </c>
      <c r="M913">
        <v>3</v>
      </c>
      <c r="N913">
        <v>0.49</v>
      </c>
      <c r="O913">
        <f>IF(F913="Private room",1,0)</f>
        <v>1</v>
      </c>
      <c r="P913">
        <f>IF(C913="Manhattan",4,IF(C913="Brooklyn",2,0))</f>
        <v>2</v>
      </c>
      <c r="Q913" s="2">
        <v>61</v>
      </c>
      <c r="R913" s="1">
        <v>45747</v>
      </c>
      <c r="S913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69.620000000000033</v>
      </c>
    </row>
    <row r="914" spans="1:19" x14ac:dyDescent="0.3">
      <c r="A914" t="s">
        <v>1233</v>
      </c>
      <c r="B914" t="s">
        <v>98</v>
      </c>
      <c r="C914" t="s">
        <v>17</v>
      </c>
      <c r="D914">
        <v>40.618810000000003</v>
      </c>
      <c r="E914">
        <v>-74.032380000000003</v>
      </c>
      <c r="F914" t="s">
        <v>18</v>
      </c>
      <c r="G914">
        <v>2</v>
      </c>
      <c r="H914">
        <v>1</v>
      </c>
      <c r="I914">
        <v>0</v>
      </c>
      <c r="J914">
        <v>1</v>
      </c>
      <c r="K914">
        <v>1</v>
      </c>
      <c r="L914">
        <v>238</v>
      </c>
      <c r="M914">
        <v>20</v>
      </c>
      <c r="N914">
        <v>1.91</v>
      </c>
      <c r="O914">
        <f>IF(F914="Private room",1,0)</f>
        <v>1</v>
      </c>
      <c r="P914">
        <f>IF(C914="Manhattan",4,IF(C914="Brooklyn",2,0))</f>
        <v>2</v>
      </c>
      <c r="Q914" s="2">
        <v>119</v>
      </c>
      <c r="R914" s="1">
        <v>45739</v>
      </c>
      <c r="S914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178.58</v>
      </c>
    </row>
    <row r="915" spans="1:19" x14ac:dyDescent="0.3">
      <c r="A915" t="s">
        <v>1234</v>
      </c>
      <c r="B915" t="s">
        <v>98</v>
      </c>
      <c r="C915" t="s">
        <v>17</v>
      </c>
      <c r="D915">
        <v>40.618810000000003</v>
      </c>
      <c r="E915">
        <v>-74.032382400000003</v>
      </c>
      <c r="F915" t="s">
        <v>21</v>
      </c>
      <c r="G915">
        <v>2</v>
      </c>
      <c r="H915">
        <v>1</v>
      </c>
      <c r="I915">
        <v>0</v>
      </c>
      <c r="J915">
        <v>1</v>
      </c>
      <c r="K915">
        <v>1</v>
      </c>
      <c r="L915">
        <v>249</v>
      </c>
      <c r="M915">
        <v>17</v>
      </c>
      <c r="N915">
        <v>1.63</v>
      </c>
      <c r="O915">
        <f>IF(F915="Private room",1,0)</f>
        <v>0</v>
      </c>
      <c r="P915">
        <f>IF(C915="Manhattan",4,IF(C915="Brooklyn",2,0))</f>
        <v>2</v>
      </c>
      <c r="Q915" s="2">
        <v>116</v>
      </c>
      <c r="R915" s="1">
        <v>45744</v>
      </c>
      <c r="S915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221.44000000000003</v>
      </c>
    </row>
    <row r="916" spans="1:19" x14ac:dyDescent="0.3">
      <c r="A916" t="s">
        <v>1235</v>
      </c>
      <c r="B916" t="s">
        <v>23</v>
      </c>
      <c r="C916" t="s">
        <v>17</v>
      </c>
      <c r="D916" s="3" t="s">
        <v>1236</v>
      </c>
      <c r="E916">
        <v>-73.945317680038499</v>
      </c>
      <c r="F916" t="s">
        <v>21</v>
      </c>
      <c r="G916">
        <v>2</v>
      </c>
      <c r="H916">
        <v>1</v>
      </c>
      <c r="I916">
        <v>1</v>
      </c>
      <c r="J916">
        <v>1</v>
      </c>
      <c r="K916">
        <v>30</v>
      </c>
      <c r="L916">
        <v>95</v>
      </c>
      <c r="M916">
        <v>1</v>
      </c>
      <c r="N916">
        <v>0.75</v>
      </c>
      <c r="O916">
        <f>IF(F916="Private room",1,0)</f>
        <v>0</v>
      </c>
      <c r="P916">
        <f>IF(C916="Manhattan",4,IF(C916="Brooklyn",2,0))</f>
        <v>2</v>
      </c>
      <c r="Q916" s="2">
        <v>184</v>
      </c>
      <c r="R916" s="1">
        <v>45739</v>
      </c>
      <c r="S916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130.45000000000002</v>
      </c>
    </row>
    <row r="917" spans="1:19" x14ac:dyDescent="0.3">
      <c r="A917" t="s">
        <v>1237</v>
      </c>
      <c r="B917" t="s">
        <v>98</v>
      </c>
      <c r="C917" t="s">
        <v>17</v>
      </c>
      <c r="D917">
        <v>40.618810000000003</v>
      </c>
      <c r="E917">
        <v>-74.032382400000003</v>
      </c>
      <c r="F917" t="s">
        <v>21</v>
      </c>
      <c r="G917">
        <v>2</v>
      </c>
      <c r="H917">
        <v>1</v>
      </c>
      <c r="I917">
        <v>0</v>
      </c>
      <c r="J917">
        <v>1</v>
      </c>
      <c r="K917">
        <v>1</v>
      </c>
      <c r="L917">
        <v>127</v>
      </c>
      <c r="M917">
        <v>31</v>
      </c>
      <c r="N917">
        <v>3</v>
      </c>
      <c r="O917">
        <f>IF(F917="Private room",1,0)</f>
        <v>0</v>
      </c>
      <c r="P917">
        <f>IF(C917="Manhattan",4,IF(C917="Brooklyn",2,0))</f>
        <v>2</v>
      </c>
      <c r="Q917" s="2">
        <v>128</v>
      </c>
      <c r="R917" s="1">
        <v>45739</v>
      </c>
      <c r="S917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226.32000000000002</v>
      </c>
    </row>
    <row r="918" spans="1:19" x14ac:dyDescent="0.3">
      <c r="A918" t="s">
        <v>1238</v>
      </c>
      <c r="B918" t="s">
        <v>98</v>
      </c>
      <c r="C918" t="s">
        <v>17</v>
      </c>
      <c r="D918">
        <v>40.618810000000003</v>
      </c>
      <c r="E918">
        <v>-74.032380000000003</v>
      </c>
      <c r="F918" t="s">
        <v>21</v>
      </c>
      <c r="G918">
        <v>2</v>
      </c>
      <c r="H918">
        <v>1</v>
      </c>
      <c r="I918">
        <v>0</v>
      </c>
      <c r="J918">
        <v>1</v>
      </c>
      <c r="K918">
        <v>1</v>
      </c>
      <c r="L918">
        <v>341</v>
      </c>
      <c r="M918">
        <v>23</v>
      </c>
      <c r="N918">
        <v>2.19</v>
      </c>
      <c r="O918">
        <f>IF(F918="Private room",1,0)</f>
        <v>0</v>
      </c>
      <c r="P918">
        <f>IF(C918="Manhattan",4,IF(C918="Brooklyn",2,0))</f>
        <v>2</v>
      </c>
      <c r="Q918" s="2">
        <v>139</v>
      </c>
      <c r="R918" s="1">
        <v>45724</v>
      </c>
      <c r="S918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217.76000000000002</v>
      </c>
    </row>
    <row r="919" spans="1:19" x14ac:dyDescent="0.3">
      <c r="A919" t="s">
        <v>1239</v>
      </c>
      <c r="B919" t="s">
        <v>98</v>
      </c>
      <c r="C919" t="s">
        <v>17</v>
      </c>
      <c r="D919">
        <v>40.618810000000003</v>
      </c>
      <c r="E919">
        <v>-74.032380000000003</v>
      </c>
      <c r="F919" t="s">
        <v>21</v>
      </c>
      <c r="G919">
        <v>2</v>
      </c>
      <c r="H919">
        <v>1</v>
      </c>
      <c r="I919">
        <v>0</v>
      </c>
      <c r="J919">
        <v>1</v>
      </c>
      <c r="K919">
        <v>1</v>
      </c>
      <c r="L919">
        <v>339</v>
      </c>
      <c r="M919">
        <v>28</v>
      </c>
      <c r="N919">
        <v>2.68</v>
      </c>
      <c r="O919">
        <f>IF(F919="Private room",1,0)</f>
        <v>0</v>
      </c>
      <c r="P919">
        <f>IF(C919="Manhattan",4,IF(C919="Brooklyn",2,0))</f>
        <v>2</v>
      </c>
      <c r="Q919" s="2">
        <v>128</v>
      </c>
      <c r="R919" s="1">
        <v>45745</v>
      </c>
      <c r="S919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217.84000000000003</v>
      </c>
    </row>
    <row r="920" spans="1:19" x14ac:dyDescent="0.3">
      <c r="A920" t="s">
        <v>1240</v>
      </c>
      <c r="B920" t="s">
        <v>38</v>
      </c>
      <c r="C920" t="s">
        <v>20</v>
      </c>
      <c r="D920">
        <v>40.759671300000001</v>
      </c>
      <c r="E920">
        <v>-73.990988899999905</v>
      </c>
      <c r="F920" t="s">
        <v>21</v>
      </c>
      <c r="G920">
        <v>1</v>
      </c>
      <c r="H920">
        <v>1</v>
      </c>
      <c r="I920">
        <v>1</v>
      </c>
      <c r="J920">
        <v>1</v>
      </c>
      <c r="K920">
        <v>30</v>
      </c>
      <c r="L920">
        <v>286</v>
      </c>
      <c r="M920">
        <v>1</v>
      </c>
      <c r="N920">
        <v>0.56999999999999995</v>
      </c>
      <c r="O920">
        <f>IF(F920="Private room",1,0)</f>
        <v>0</v>
      </c>
      <c r="P920">
        <f>IF(C920="Manhattan",4,IF(C920="Brooklyn",2,0))</f>
        <v>4</v>
      </c>
      <c r="Q920" s="2">
        <v>53</v>
      </c>
      <c r="R920" s="1">
        <v>45727</v>
      </c>
      <c r="S920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134.29000000000002</v>
      </c>
    </row>
    <row r="921" spans="1:19" x14ac:dyDescent="0.3">
      <c r="A921" t="s">
        <v>1241</v>
      </c>
      <c r="B921" t="s">
        <v>114</v>
      </c>
      <c r="C921" t="s">
        <v>30</v>
      </c>
      <c r="D921">
        <v>40.778759999999998</v>
      </c>
      <c r="E921">
        <v>-73.844539999999995</v>
      </c>
      <c r="F921" t="s">
        <v>21</v>
      </c>
      <c r="G921">
        <v>2</v>
      </c>
      <c r="H921">
        <v>1</v>
      </c>
      <c r="I921">
        <v>1</v>
      </c>
      <c r="J921">
        <v>1</v>
      </c>
      <c r="K921">
        <v>5</v>
      </c>
      <c r="L921">
        <v>58</v>
      </c>
      <c r="M921">
        <v>23</v>
      </c>
      <c r="N921">
        <v>2.4900000000000002</v>
      </c>
      <c r="O921">
        <f>IF(F921="Private room",1,0)</f>
        <v>0</v>
      </c>
      <c r="P921">
        <f>IF(C921="Manhattan",4,IF(C921="Brooklyn",2,0))</f>
        <v>0</v>
      </c>
      <c r="Q921" s="2">
        <v>129</v>
      </c>
      <c r="R921" s="1">
        <v>45744</v>
      </c>
      <c r="S921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185.22000000000003</v>
      </c>
    </row>
    <row r="922" spans="1:19" x14ac:dyDescent="0.3">
      <c r="A922" t="s">
        <v>1242</v>
      </c>
      <c r="B922" t="s">
        <v>19</v>
      </c>
      <c r="C922" t="s">
        <v>20</v>
      </c>
      <c r="D922">
        <v>40.747199999999999</v>
      </c>
      <c r="E922">
        <v>-73.987819999999999</v>
      </c>
      <c r="F922" t="s">
        <v>21</v>
      </c>
      <c r="G922">
        <v>6</v>
      </c>
      <c r="H922">
        <v>1</v>
      </c>
      <c r="I922">
        <v>0</v>
      </c>
      <c r="J922">
        <v>3</v>
      </c>
      <c r="K922">
        <v>1</v>
      </c>
      <c r="L922">
        <v>97</v>
      </c>
      <c r="M922">
        <v>5</v>
      </c>
      <c r="N922">
        <v>1.1499999999999999</v>
      </c>
      <c r="O922">
        <f>IF(F922="Private room",1,0)</f>
        <v>0</v>
      </c>
      <c r="P922">
        <f>IF(C922="Manhattan",4,IF(C922="Brooklyn",2,0))</f>
        <v>4</v>
      </c>
      <c r="Q922" s="2">
        <v>335</v>
      </c>
      <c r="R922" s="1">
        <v>45728</v>
      </c>
      <c r="S922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333.90000000000003</v>
      </c>
    </row>
    <row r="923" spans="1:19" x14ac:dyDescent="0.3">
      <c r="A923" t="s">
        <v>1243</v>
      </c>
      <c r="B923" t="s">
        <v>36</v>
      </c>
      <c r="C923" t="s">
        <v>20</v>
      </c>
      <c r="D923">
        <v>40.769280000000002</v>
      </c>
      <c r="E923">
        <v>-73.967979999999997</v>
      </c>
      <c r="F923" t="s">
        <v>21</v>
      </c>
      <c r="G923">
        <v>4</v>
      </c>
      <c r="H923">
        <v>1.5</v>
      </c>
      <c r="I923">
        <v>2</v>
      </c>
      <c r="J923">
        <v>2</v>
      </c>
      <c r="K923">
        <v>30</v>
      </c>
      <c r="L923">
        <v>138</v>
      </c>
      <c r="M923">
        <v>3</v>
      </c>
      <c r="N923">
        <v>0.33</v>
      </c>
      <c r="O923">
        <f>IF(F923="Private room",1,0)</f>
        <v>0</v>
      </c>
      <c r="P923">
        <f>IF(C923="Manhattan",4,IF(C923="Brooklyn",2,0))</f>
        <v>4</v>
      </c>
      <c r="Q923" s="2">
        <v>450</v>
      </c>
      <c r="R923" s="1">
        <v>45747</v>
      </c>
      <c r="S923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202.76000000000005</v>
      </c>
    </row>
    <row r="924" spans="1:19" x14ac:dyDescent="0.3">
      <c r="A924" t="s">
        <v>1244</v>
      </c>
      <c r="B924" t="s">
        <v>28</v>
      </c>
      <c r="C924" t="s">
        <v>20</v>
      </c>
      <c r="D924">
        <v>40.824170000000002</v>
      </c>
      <c r="E924">
        <v>-73.955759999999998</v>
      </c>
      <c r="F924" t="s">
        <v>18</v>
      </c>
      <c r="G924">
        <v>2</v>
      </c>
      <c r="H924">
        <v>1</v>
      </c>
      <c r="I924">
        <v>1</v>
      </c>
      <c r="J924">
        <v>1</v>
      </c>
      <c r="K924">
        <v>30</v>
      </c>
      <c r="L924">
        <v>264</v>
      </c>
      <c r="M924">
        <v>2</v>
      </c>
      <c r="N924">
        <v>0.42</v>
      </c>
      <c r="O924">
        <f>IF(F924="Private room",1,0)</f>
        <v>1</v>
      </c>
      <c r="P924">
        <f>IF(C924="Manhattan",4,IF(C924="Brooklyn",2,0))</f>
        <v>4</v>
      </c>
      <c r="Q924" s="2">
        <v>96</v>
      </c>
      <c r="R924" s="1">
        <v>45725</v>
      </c>
      <c r="S924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110.85000000000002</v>
      </c>
    </row>
    <row r="925" spans="1:19" x14ac:dyDescent="0.3">
      <c r="A925" t="s">
        <v>1245</v>
      </c>
      <c r="B925" t="s">
        <v>132</v>
      </c>
      <c r="C925" t="s">
        <v>17</v>
      </c>
      <c r="D925" s="3" t="s">
        <v>1246</v>
      </c>
      <c r="E925">
        <v>-73.909270999999904</v>
      </c>
      <c r="F925" t="s">
        <v>21</v>
      </c>
      <c r="G925">
        <v>2</v>
      </c>
      <c r="H925">
        <v>1</v>
      </c>
      <c r="I925">
        <v>2</v>
      </c>
      <c r="J925">
        <v>2</v>
      </c>
      <c r="K925">
        <v>30</v>
      </c>
      <c r="L925">
        <v>233</v>
      </c>
      <c r="M925">
        <v>1</v>
      </c>
      <c r="N925">
        <v>0.49</v>
      </c>
      <c r="O925">
        <f>IF(F925="Private room",1,0)</f>
        <v>0</v>
      </c>
      <c r="P925">
        <f>IF(C925="Manhattan",4,IF(C925="Brooklyn",2,0))</f>
        <v>2</v>
      </c>
      <c r="Q925" s="2">
        <v>72</v>
      </c>
      <c r="R925" s="1">
        <v>45719</v>
      </c>
      <c r="S925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124.93000000000004</v>
      </c>
    </row>
    <row r="926" spans="1:19" x14ac:dyDescent="0.3">
      <c r="A926" t="s">
        <v>1247</v>
      </c>
      <c r="B926" t="s">
        <v>36</v>
      </c>
      <c r="C926" t="s">
        <v>20</v>
      </c>
      <c r="D926">
        <v>40.776553999999997</v>
      </c>
      <c r="E926">
        <v>-73.951940199999996</v>
      </c>
      <c r="F926" t="s">
        <v>21</v>
      </c>
      <c r="G926">
        <v>4</v>
      </c>
      <c r="H926">
        <v>1</v>
      </c>
      <c r="I926">
        <v>2</v>
      </c>
      <c r="J926">
        <v>2</v>
      </c>
      <c r="K926">
        <v>30</v>
      </c>
      <c r="L926">
        <v>326</v>
      </c>
      <c r="M926">
        <v>3</v>
      </c>
      <c r="N926">
        <v>0.69</v>
      </c>
      <c r="O926">
        <f>IF(F926="Private room",1,0)</f>
        <v>0</v>
      </c>
      <c r="P926">
        <f>IF(C926="Manhattan",4,IF(C926="Brooklyn",2,0))</f>
        <v>4</v>
      </c>
      <c r="Q926" s="2">
        <v>119</v>
      </c>
      <c r="R926" s="1">
        <v>45719</v>
      </c>
      <c r="S926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189.63000000000005</v>
      </c>
    </row>
    <row r="927" spans="1:19" x14ac:dyDescent="0.3">
      <c r="A927" t="s">
        <v>1248</v>
      </c>
      <c r="B927" t="s">
        <v>131</v>
      </c>
      <c r="C927" t="s">
        <v>20</v>
      </c>
      <c r="D927" s="3" t="s">
        <v>1249</v>
      </c>
      <c r="E927">
        <v>-74.014508978040695</v>
      </c>
      <c r="F927" t="s">
        <v>21</v>
      </c>
      <c r="G927">
        <v>2</v>
      </c>
      <c r="H927">
        <v>1</v>
      </c>
      <c r="I927">
        <v>0</v>
      </c>
      <c r="J927">
        <v>1</v>
      </c>
      <c r="K927">
        <v>1</v>
      </c>
      <c r="L927">
        <v>221</v>
      </c>
      <c r="M927">
        <v>8</v>
      </c>
      <c r="N927">
        <v>0.97</v>
      </c>
      <c r="O927">
        <f>IF(F927="Private room",1,0)</f>
        <v>0</v>
      </c>
      <c r="P927">
        <f>IF(C927="Manhattan",4,IF(C927="Brooklyn",2,0))</f>
        <v>4</v>
      </c>
      <c r="Q927" s="2">
        <v>280</v>
      </c>
      <c r="R927" s="1">
        <v>45739</v>
      </c>
      <c r="S927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253.02000000000004</v>
      </c>
    </row>
    <row r="928" spans="1:19" x14ac:dyDescent="0.3">
      <c r="A928" t="s">
        <v>1250</v>
      </c>
      <c r="B928" t="s">
        <v>131</v>
      </c>
      <c r="C928" t="s">
        <v>20</v>
      </c>
      <c r="D928" s="3" t="s">
        <v>1251</v>
      </c>
      <c r="E928">
        <v>-74.014424327817096</v>
      </c>
      <c r="F928" t="s">
        <v>21</v>
      </c>
      <c r="G928">
        <v>2</v>
      </c>
      <c r="H928">
        <v>1</v>
      </c>
      <c r="I928">
        <v>0</v>
      </c>
      <c r="J928">
        <v>1</v>
      </c>
      <c r="K928">
        <v>1</v>
      </c>
      <c r="L928">
        <v>230</v>
      </c>
      <c r="M928">
        <v>9</v>
      </c>
      <c r="N928">
        <v>1.1000000000000001</v>
      </c>
      <c r="O928">
        <f>IF(F928="Private room",1,0)</f>
        <v>0</v>
      </c>
      <c r="P928">
        <f>IF(C928="Manhattan",4,IF(C928="Brooklyn",2,0))</f>
        <v>4</v>
      </c>
      <c r="Q928" s="2">
        <v>361</v>
      </c>
      <c r="R928" s="1">
        <v>45724</v>
      </c>
      <c r="S928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252.66000000000003</v>
      </c>
    </row>
    <row r="929" spans="1:19" x14ac:dyDescent="0.3">
      <c r="A929" t="s">
        <v>1252</v>
      </c>
      <c r="B929" t="s">
        <v>45</v>
      </c>
      <c r="C929" t="s">
        <v>20</v>
      </c>
      <c r="D929">
        <v>40.741720000000001</v>
      </c>
      <c r="E929">
        <v>-74.002750000000006</v>
      </c>
      <c r="F929" t="s">
        <v>21</v>
      </c>
      <c r="G929">
        <v>2</v>
      </c>
      <c r="H929">
        <v>1</v>
      </c>
      <c r="I929">
        <v>0</v>
      </c>
      <c r="J929">
        <v>1</v>
      </c>
      <c r="K929">
        <v>30</v>
      </c>
      <c r="L929">
        <v>124</v>
      </c>
      <c r="M929">
        <v>3</v>
      </c>
      <c r="N929">
        <v>0.56000000000000005</v>
      </c>
      <c r="O929">
        <f>IF(F929="Private room",1,0)</f>
        <v>0</v>
      </c>
      <c r="P929">
        <f>IF(C929="Manhattan",4,IF(C929="Brooklyn",2,0))</f>
        <v>4</v>
      </c>
      <c r="Q929" s="2">
        <v>90</v>
      </c>
      <c r="R929" s="1">
        <v>45724</v>
      </c>
      <c r="S929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159.75000000000003</v>
      </c>
    </row>
    <row r="930" spans="1:19" x14ac:dyDescent="0.3">
      <c r="A930" t="s">
        <v>1253</v>
      </c>
      <c r="B930" t="s">
        <v>78</v>
      </c>
      <c r="C930" t="s">
        <v>20</v>
      </c>
      <c r="D930">
        <v>40.761426999999998</v>
      </c>
      <c r="E930">
        <v>-73.982584000000003</v>
      </c>
      <c r="F930" t="s">
        <v>21</v>
      </c>
      <c r="G930">
        <v>6</v>
      </c>
      <c r="H930">
        <v>1</v>
      </c>
      <c r="I930">
        <v>2</v>
      </c>
      <c r="J930">
        <v>3</v>
      </c>
      <c r="K930">
        <v>30</v>
      </c>
      <c r="L930">
        <v>147</v>
      </c>
      <c r="M930">
        <v>4</v>
      </c>
      <c r="N930">
        <v>0.59</v>
      </c>
      <c r="O930">
        <f>IF(F930="Private room",1,0)</f>
        <v>0</v>
      </c>
      <c r="P930">
        <f>IF(C930="Manhattan",4,IF(C930="Brooklyn",2,0))</f>
        <v>4</v>
      </c>
      <c r="Q930" s="2">
        <v>285</v>
      </c>
      <c r="R930" s="1">
        <v>45744</v>
      </c>
      <c r="S930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234.75000000000006</v>
      </c>
    </row>
    <row r="931" spans="1:19" x14ac:dyDescent="0.3">
      <c r="A931" t="s">
        <v>1254</v>
      </c>
      <c r="B931" t="s">
        <v>45</v>
      </c>
      <c r="C931" t="s">
        <v>20</v>
      </c>
      <c r="D931">
        <v>40.751069999999999</v>
      </c>
      <c r="E931">
        <v>-73.998149999999995</v>
      </c>
      <c r="F931" t="s">
        <v>21</v>
      </c>
      <c r="G931">
        <v>1</v>
      </c>
      <c r="H931">
        <v>1</v>
      </c>
      <c r="I931">
        <v>0</v>
      </c>
      <c r="J931">
        <v>1</v>
      </c>
      <c r="K931">
        <v>30</v>
      </c>
      <c r="L931">
        <v>236</v>
      </c>
      <c r="M931">
        <v>2</v>
      </c>
      <c r="N931">
        <v>0.27</v>
      </c>
      <c r="O931">
        <f>IF(F931="Private room",1,0)</f>
        <v>0</v>
      </c>
      <c r="P931">
        <f>IF(C931="Manhattan",4,IF(C931="Brooklyn",2,0))</f>
        <v>4</v>
      </c>
      <c r="Q931" s="2">
        <v>54</v>
      </c>
      <c r="R931" s="1">
        <v>45739</v>
      </c>
      <c r="S931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136.29000000000002</v>
      </c>
    </row>
    <row r="932" spans="1:19" x14ac:dyDescent="0.3">
      <c r="A932" t="s">
        <v>1255</v>
      </c>
      <c r="B932" t="s">
        <v>113</v>
      </c>
      <c r="C932" t="s">
        <v>30</v>
      </c>
      <c r="D932" s="3" t="s">
        <v>1256</v>
      </c>
      <c r="E932">
        <v>-73.813271837577403</v>
      </c>
      <c r="F932" t="s">
        <v>18</v>
      </c>
      <c r="G932">
        <v>2</v>
      </c>
      <c r="H932">
        <v>1</v>
      </c>
      <c r="I932">
        <v>1</v>
      </c>
      <c r="J932">
        <v>1</v>
      </c>
      <c r="K932">
        <v>1</v>
      </c>
      <c r="L932">
        <v>143</v>
      </c>
      <c r="M932">
        <v>38</v>
      </c>
      <c r="N932">
        <v>4.37</v>
      </c>
      <c r="O932">
        <f>IF(F932="Private room",1,0)</f>
        <v>1</v>
      </c>
      <c r="P932">
        <f>IF(C932="Manhattan",4,IF(C932="Brooklyn",2,0))</f>
        <v>0</v>
      </c>
      <c r="Q932" s="2">
        <v>73</v>
      </c>
      <c r="R932" s="1">
        <v>45746</v>
      </c>
      <c r="S932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151.92000000000002</v>
      </c>
    </row>
    <row r="933" spans="1:19" x14ac:dyDescent="0.3">
      <c r="A933" t="s">
        <v>1257</v>
      </c>
      <c r="B933" t="s">
        <v>86</v>
      </c>
      <c r="C933" t="s">
        <v>20</v>
      </c>
      <c r="D933">
        <v>40.719189999999998</v>
      </c>
      <c r="E933">
        <v>-74.001019999999997</v>
      </c>
      <c r="F933" t="s">
        <v>18</v>
      </c>
      <c r="G933">
        <v>2</v>
      </c>
      <c r="H933">
        <v>1</v>
      </c>
      <c r="I933">
        <v>1</v>
      </c>
      <c r="J933">
        <v>1</v>
      </c>
      <c r="K933">
        <v>1</v>
      </c>
      <c r="L933">
        <v>232</v>
      </c>
      <c r="M933">
        <v>33</v>
      </c>
      <c r="N933">
        <v>3.75</v>
      </c>
      <c r="O933">
        <f>IF(F933="Private room",1,0)</f>
        <v>1</v>
      </c>
      <c r="P933">
        <f>IF(C933="Manhattan",4,IF(C933="Brooklyn",2,0))</f>
        <v>4</v>
      </c>
      <c r="Q933" s="2">
        <v>238</v>
      </c>
      <c r="R933" s="1">
        <v>45733</v>
      </c>
      <c r="S933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209.28000000000003</v>
      </c>
    </row>
    <row r="934" spans="1:19" x14ac:dyDescent="0.3">
      <c r="A934" t="s">
        <v>469</v>
      </c>
      <c r="B934" t="s">
        <v>61</v>
      </c>
      <c r="C934" t="s">
        <v>30</v>
      </c>
      <c r="D934" s="3" t="s">
        <v>1258</v>
      </c>
      <c r="E934">
        <v>-73.928203769311494</v>
      </c>
      <c r="F934" t="s">
        <v>18</v>
      </c>
      <c r="G934">
        <v>1</v>
      </c>
      <c r="H934">
        <v>1</v>
      </c>
      <c r="I934">
        <v>1</v>
      </c>
      <c r="J934">
        <v>1</v>
      </c>
      <c r="K934">
        <v>30</v>
      </c>
      <c r="L934">
        <v>195</v>
      </c>
      <c r="M934">
        <v>3</v>
      </c>
      <c r="N934">
        <v>0.49</v>
      </c>
      <c r="O934">
        <f>IF(F934="Private room",1,0)</f>
        <v>1</v>
      </c>
      <c r="P934">
        <f>IF(C934="Manhattan",4,IF(C934="Brooklyn",2,0))</f>
        <v>0</v>
      </c>
      <c r="Q934" s="2">
        <v>50</v>
      </c>
      <c r="R934" s="1">
        <v>45720</v>
      </c>
      <c r="S934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33.710000000000008</v>
      </c>
    </row>
    <row r="935" spans="1:19" x14ac:dyDescent="0.3">
      <c r="A935" t="s">
        <v>1259</v>
      </c>
      <c r="B935" t="s">
        <v>131</v>
      </c>
      <c r="C935" t="s">
        <v>20</v>
      </c>
      <c r="D935" s="3" t="s">
        <v>1260</v>
      </c>
      <c r="E935">
        <v>-74.0085702363819</v>
      </c>
      <c r="F935" t="s">
        <v>18</v>
      </c>
      <c r="G935">
        <v>2</v>
      </c>
      <c r="H935">
        <v>1</v>
      </c>
      <c r="I935">
        <v>1</v>
      </c>
      <c r="J935">
        <v>1</v>
      </c>
      <c r="K935">
        <v>30</v>
      </c>
      <c r="L935">
        <v>214</v>
      </c>
      <c r="M935">
        <v>1</v>
      </c>
      <c r="N935">
        <v>0.65</v>
      </c>
      <c r="O935">
        <f>IF(F935="Private room",1,0)</f>
        <v>1</v>
      </c>
      <c r="P935">
        <f>IF(C935="Manhattan",4,IF(C935="Brooklyn",2,0))</f>
        <v>4</v>
      </c>
      <c r="Q935" s="2">
        <v>225</v>
      </c>
      <c r="R935" s="1">
        <v>45734</v>
      </c>
      <c r="S935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112.85000000000002</v>
      </c>
    </row>
    <row r="936" spans="1:19" x14ac:dyDescent="0.3">
      <c r="A936" t="s">
        <v>1261</v>
      </c>
      <c r="B936" t="s">
        <v>45</v>
      </c>
      <c r="C936" t="s">
        <v>20</v>
      </c>
      <c r="D936">
        <v>40.750140000000002</v>
      </c>
      <c r="E936">
        <v>-73.997020000000006</v>
      </c>
      <c r="F936" t="s">
        <v>21</v>
      </c>
      <c r="G936">
        <v>1</v>
      </c>
      <c r="H936">
        <v>1</v>
      </c>
      <c r="I936">
        <v>1</v>
      </c>
      <c r="J936">
        <v>1</v>
      </c>
      <c r="K936">
        <v>1</v>
      </c>
      <c r="L936">
        <v>85</v>
      </c>
      <c r="M936">
        <v>36</v>
      </c>
      <c r="N936">
        <v>4.2699999999999996</v>
      </c>
      <c r="O936">
        <f>IF(F936="Private room",1,0)</f>
        <v>0</v>
      </c>
      <c r="P936">
        <f>IF(C936="Manhattan",4,IF(C936="Brooklyn",2,0))</f>
        <v>4</v>
      </c>
      <c r="Q936" s="2">
        <v>104</v>
      </c>
      <c r="R936" s="1">
        <v>45747</v>
      </c>
      <c r="S936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239.48000000000002</v>
      </c>
    </row>
    <row r="937" spans="1:19" x14ac:dyDescent="0.3">
      <c r="A937" t="s">
        <v>1231</v>
      </c>
      <c r="B937" t="s">
        <v>67</v>
      </c>
      <c r="C937" t="s">
        <v>17</v>
      </c>
      <c r="D937" s="3" t="s">
        <v>1262</v>
      </c>
      <c r="E937">
        <v>-73.917047309327899</v>
      </c>
      <c r="F937" t="s">
        <v>18</v>
      </c>
      <c r="G937">
        <v>2</v>
      </c>
      <c r="H937">
        <v>1</v>
      </c>
      <c r="I937">
        <v>1</v>
      </c>
      <c r="J937">
        <v>1</v>
      </c>
      <c r="K937">
        <v>30</v>
      </c>
      <c r="L937">
        <v>336</v>
      </c>
      <c r="M937">
        <v>1</v>
      </c>
      <c r="N937">
        <v>0.88</v>
      </c>
      <c r="O937">
        <f>IF(F937="Private room",1,0)</f>
        <v>1</v>
      </c>
      <c r="P937">
        <f>IF(C937="Manhattan",4,IF(C937="Brooklyn",2,0))</f>
        <v>2</v>
      </c>
      <c r="Q937" s="2">
        <v>58</v>
      </c>
      <c r="R937" s="1">
        <v>45745</v>
      </c>
      <c r="S937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77.510000000000019</v>
      </c>
    </row>
    <row r="938" spans="1:19" x14ac:dyDescent="0.3">
      <c r="A938" t="s">
        <v>1263</v>
      </c>
      <c r="B938" t="s">
        <v>41</v>
      </c>
      <c r="C938" t="s">
        <v>20</v>
      </c>
      <c r="D938">
        <v>40.732046099999998</v>
      </c>
      <c r="E938">
        <v>-73.988602</v>
      </c>
      <c r="F938" t="s">
        <v>21</v>
      </c>
      <c r="G938">
        <v>2</v>
      </c>
      <c r="H938">
        <v>1</v>
      </c>
      <c r="I938">
        <v>1</v>
      </c>
      <c r="J938">
        <v>1</v>
      </c>
      <c r="K938">
        <v>30</v>
      </c>
      <c r="L938">
        <v>298</v>
      </c>
      <c r="M938">
        <v>2</v>
      </c>
      <c r="N938">
        <v>0.45</v>
      </c>
      <c r="O938">
        <f>IF(F938="Private room",1,0)</f>
        <v>0</v>
      </c>
      <c r="P938">
        <f>IF(C938="Manhattan",4,IF(C938="Brooklyn",2,0))</f>
        <v>4</v>
      </c>
      <c r="Q938" s="2">
        <v>257</v>
      </c>
      <c r="R938" s="1">
        <v>45719</v>
      </c>
      <c r="S938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152.79000000000002</v>
      </c>
    </row>
    <row r="939" spans="1:19" x14ac:dyDescent="0.3">
      <c r="A939" t="s">
        <v>1264</v>
      </c>
      <c r="B939" t="s">
        <v>41</v>
      </c>
      <c r="C939" t="s">
        <v>20</v>
      </c>
      <c r="D939">
        <v>40.724170000000001</v>
      </c>
      <c r="E939">
        <v>-73.991169999999997</v>
      </c>
      <c r="F939" t="s">
        <v>21</v>
      </c>
      <c r="G939">
        <v>2</v>
      </c>
      <c r="H939">
        <v>1</v>
      </c>
      <c r="I939">
        <v>1</v>
      </c>
      <c r="J939">
        <v>1</v>
      </c>
      <c r="K939">
        <v>30</v>
      </c>
      <c r="L939">
        <v>356</v>
      </c>
      <c r="M939">
        <v>2</v>
      </c>
      <c r="N939">
        <v>0.48</v>
      </c>
      <c r="O939">
        <f>IF(F939="Private room",1,0)</f>
        <v>0</v>
      </c>
      <c r="P939">
        <f>IF(C939="Manhattan",4,IF(C939="Brooklyn",2,0))</f>
        <v>4</v>
      </c>
      <c r="Q939" s="2">
        <v>180</v>
      </c>
      <c r="R939" s="1">
        <v>45738</v>
      </c>
      <c r="S939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150.47000000000003</v>
      </c>
    </row>
    <row r="940" spans="1:19" x14ac:dyDescent="0.3">
      <c r="A940" t="s">
        <v>1265</v>
      </c>
      <c r="B940" t="s">
        <v>62</v>
      </c>
      <c r="C940" t="s">
        <v>20</v>
      </c>
      <c r="D940" s="3" t="s">
        <v>1266</v>
      </c>
      <c r="E940">
        <v>-73.994649259130099</v>
      </c>
      <c r="F940" t="s">
        <v>18</v>
      </c>
      <c r="G940">
        <v>4</v>
      </c>
      <c r="H940">
        <v>1</v>
      </c>
      <c r="I940">
        <v>1</v>
      </c>
      <c r="J940">
        <v>2</v>
      </c>
      <c r="K940">
        <v>1</v>
      </c>
      <c r="L940">
        <v>348</v>
      </c>
      <c r="M940">
        <v>5</v>
      </c>
      <c r="N940">
        <v>0.68</v>
      </c>
      <c r="O940">
        <f>IF(F940="Private room",1,0)</f>
        <v>1</v>
      </c>
      <c r="P940">
        <f>IF(C940="Manhattan",4,IF(C940="Brooklyn",2,0))</f>
        <v>4</v>
      </c>
      <c r="Q940" s="2">
        <v>263</v>
      </c>
      <c r="R940" s="1">
        <v>45737</v>
      </c>
      <c r="S940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242.60000000000008</v>
      </c>
    </row>
    <row r="941" spans="1:19" x14ac:dyDescent="0.3">
      <c r="A941" t="s">
        <v>1267</v>
      </c>
      <c r="B941" t="s">
        <v>62</v>
      </c>
      <c r="C941" t="s">
        <v>20</v>
      </c>
      <c r="D941" s="3" t="s">
        <v>1268</v>
      </c>
      <c r="E941">
        <v>-73.994028323434094</v>
      </c>
      <c r="F941" t="s">
        <v>18</v>
      </c>
      <c r="G941">
        <v>4</v>
      </c>
      <c r="H941">
        <v>1</v>
      </c>
      <c r="I941">
        <v>1</v>
      </c>
      <c r="J941">
        <v>2</v>
      </c>
      <c r="K941">
        <v>1</v>
      </c>
      <c r="L941">
        <v>318</v>
      </c>
      <c r="M941">
        <v>8</v>
      </c>
      <c r="N941">
        <v>1.37</v>
      </c>
      <c r="O941">
        <f>IF(F941="Private room",1,0)</f>
        <v>1</v>
      </c>
      <c r="P941">
        <f>IF(C941="Manhattan",4,IF(C941="Brooklyn",2,0))</f>
        <v>4</v>
      </c>
      <c r="Q941" s="2">
        <v>255</v>
      </c>
      <c r="R941" s="1">
        <v>45743</v>
      </c>
      <c r="S941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243.80000000000007</v>
      </c>
    </row>
    <row r="942" spans="1:19" x14ac:dyDescent="0.3">
      <c r="A942" t="s">
        <v>1269</v>
      </c>
      <c r="B942" t="s">
        <v>242</v>
      </c>
      <c r="C942" t="s">
        <v>31</v>
      </c>
      <c r="D942" s="3" t="s">
        <v>1270</v>
      </c>
      <c r="E942">
        <v>-73.847359473068096</v>
      </c>
      <c r="F942" t="s">
        <v>18</v>
      </c>
      <c r="G942">
        <v>1</v>
      </c>
      <c r="H942">
        <v>1</v>
      </c>
      <c r="I942">
        <v>1</v>
      </c>
      <c r="J942">
        <v>1</v>
      </c>
      <c r="K942">
        <v>1</v>
      </c>
      <c r="L942">
        <v>89</v>
      </c>
      <c r="M942">
        <v>18</v>
      </c>
      <c r="N942">
        <v>3.62</v>
      </c>
      <c r="O942">
        <f>IF(F942="Private room",1,0)</f>
        <v>1</v>
      </c>
      <c r="P942">
        <f>IF(C942="Manhattan",4,IF(C942="Brooklyn",2,0))</f>
        <v>0</v>
      </c>
      <c r="Q942" s="2">
        <v>106</v>
      </c>
      <c r="R942" s="1">
        <v>45722</v>
      </c>
      <c r="S942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135.10000000000002</v>
      </c>
    </row>
    <row r="943" spans="1:19" x14ac:dyDescent="0.3">
      <c r="A943" t="s">
        <v>1271</v>
      </c>
      <c r="B943" t="s">
        <v>19</v>
      </c>
      <c r="C943" t="s">
        <v>20</v>
      </c>
      <c r="D943">
        <v>40.754624100000001</v>
      </c>
      <c r="E943">
        <v>-73.966456999999906</v>
      </c>
      <c r="F943" t="s">
        <v>21</v>
      </c>
      <c r="G943">
        <v>4</v>
      </c>
      <c r="H943">
        <v>1</v>
      </c>
      <c r="I943">
        <v>2</v>
      </c>
      <c r="J943">
        <v>2</v>
      </c>
      <c r="K943">
        <v>30</v>
      </c>
      <c r="L943">
        <v>243</v>
      </c>
      <c r="M943">
        <v>4</v>
      </c>
      <c r="N943">
        <v>0.67</v>
      </c>
      <c r="O943">
        <f>IF(F943="Private room",1,0)</f>
        <v>0</v>
      </c>
      <c r="P943">
        <f>IF(C943="Manhattan",4,IF(C943="Brooklyn",2,0))</f>
        <v>4</v>
      </c>
      <c r="Q943" s="2">
        <v>194</v>
      </c>
      <c r="R943" s="1">
        <v>45717</v>
      </c>
      <c r="S943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192.95000000000005</v>
      </c>
    </row>
    <row r="944" spans="1:19" x14ac:dyDescent="0.3">
      <c r="A944" t="s">
        <v>1272</v>
      </c>
      <c r="B944" t="s">
        <v>49</v>
      </c>
      <c r="C944" t="s">
        <v>20</v>
      </c>
      <c r="D944" s="3" t="s">
        <v>1273</v>
      </c>
      <c r="E944">
        <v>-73.978392838933701</v>
      </c>
      <c r="F944" t="s">
        <v>21</v>
      </c>
      <c r="G944">
        <v>4</v>
      </c>
      <c r="H944">
        <v>0</v>
      </c>
      <c r="I944">
        <v>0</v>
      </c>
      <c r="J944">
        <v>2</v>
      </c>
      <c r="K944">
        <v>30</v>
      </c>
      <c r="L944">
        <v>273</v>
      </c>
      <c r="M944">
        <v>2</v>
      </c>
      <c r="N944">
        <v>0.33</v>
      </c>
      <c r="O944">
        <f>IF(F944="Private room",1,0)</f>
        <v>0</v>
      </c>
      <c r="P944">
        <f>IF(C944="Manhattan",4,IF(C944="Brooklyn",2,0))</f>
        <v>4</v>
      </c>
      <c r="Q944" s="2">
        <v>155</v>
      </c>
      <c r="R944" s="1">
        <v>45728</v>
      </c>
      <c r="S944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180.53000000000003</v>
      </c>
    </row>
    <row r="945" spans="1:19" x14ac:dyDescent="0.3">
      <c r="A945" t="s">
        <v>1274</v>
      </c>
      <c r="B945" t="s">
        <v>36</v>
      </c>
      <c r="C945" t="s">
        <v>20</v>
      </c>
      <c r="D945">
        <v>40.771189999999997</v>
      </c>
      <c r="E945">
        <v>-73.955870000000004</v>
      </c>
      <c r="F945" t="s">
        <v>21</v>
      </c>
      <c r="G945">
        <v>2</v>
      </c>
      <c r="H945">
        <v>1</v>
      </c>
      <c r="I945">
        <v>0</v>
      </c>
      <c r="J945">
        <v>1</v>
      </c>
      <c r="K945">
        <v>30</v>
      </c>
      <c r="L945">
        <v>271</v>
      </c>
      <c r="M945">
        <v>1</v>
      </c>
      <c r="N945">
        <v>0.48</v>
      </c>
      <c r="O945">
        <f>IF(F945="Private room",1,0)</f>
        <v>0</v>
      </c>
      <c r="P945">
        <f>IF(C945="Manhattan",4,IF(C945="Brooklyn",2,0))</f>
        <v>4</v>
      </c>
      <c r="Q945" s="2">
        <v>137</v>
      </c>
      <c r="R945" s="1">
        <v>45718</v>
      </c>
      <c r="S945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153.87</v>
      </c>
    </row>
    <row r="946" spans="1:19" x14ac:dyDescent="0.3">
      <c r="A946" t="s">
        <v>1275</v>
      </c>
      <c r="B946" t="s">
        <v>38</v>
      </c>
      <c r="C946" t="s">
        <v>20</v>
      </c>
      <c r="D946">
        <v>40.763136786216002</v>
      </c>
      <c r="E946">
        <v>-73.992883980507798</v>
      </c>
      <c r="F946" t="s">
        <v>21</v>
      </c>
      <c r="G946">
        <v>4</v>
      </c>
      <c r="H946">
        <v>1</v>
      </c>
      <c r="I946">
        <v>2</v>
      </c>
      <c r="J946">
        <v>2</v>
      </c>
      <c r="K946">
        <v>30</v>
      </c>
      <c r="L946">
        <v>364</v>
      </c>
      <c r="M946">
        <v>1</v>
      </c>
      <c r="N946">
        <v>0.91</v>
      </c>
      <c r="O946">
        <f>IF(F946="Private room",1,0)</f>
        <v>0</v>
      </c>
      <c r="P946">
        <f>IF(C946="Manhattan",4,IF(C946="Brooklyn",2,0))</f>
        <v>4</v>
      </c>
      <c r="Q946" s="2">
        <v>237</v>
      </c>
      <c r="R946" s="1">
        <v>45747</v>
      </c>
      <c r="S946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188.11</v>
      </c>
    </row>
    <row r="947" spans="1:19" x14ac:dyDescent="0.3">
      <c r="A947" t="s">
        <v>1276</v>
      </c>
      <c r="B947" t="s">
        <v>27</v>
      </c>
      <c r="C947" t="s">
        <v>17</v>
      </c>
      <c r="D947">
        <v>40.68412</v>
      </c>
      <c r="E947">
        <v>-73.946560000000005</v>
      </c>
      <c r="F947" t="s">
        <v>21</v>
      </c>
      <c r="G947">
        <v>4</v>
      </c>
      <c r="H947">
        <v>1</v>
      </c>
      <c r="I947">
        <v>1</v>
      </c>
      <c r="J947">
        <v>1</v>
      </c>
      <c r="K947">
        <v>30</v>
      </c>
      <c r="L947">
        <v>305</v>
      </c>
      <c r="M947">
        <v>2</v>
      </c>
      <c r="N947">
        <v>0.31</v>
      </c>
      <c r="O947">
        <f>IF(F947="Private room",1,0)</f>
        <v>0</v>
      </c>
      <c r="P947">
        <f>IF(C947="Manhattan",4,IF(C947="Brooklyn",2,0))</f>
        <v>2</v>
      </c>
      <c r="Q947" s="2">
        <v>97</v>
      </c>
      <c r="R947" s="1">
        <v>45747</v>
      </c>
      <c r="S947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160.01000000000005</v>
      </c>
    </row>
    <row r="948" spans="1:19" x14ac:dyDescent="0.3">
      <c r="A948" t="s">
        <v>1277</v>
      </c>
      <c r="B948" t="s">
        <v>224</v>
      </c>
      <c r="C948" t="s">
        <v>31</v>
      </c>
      <c r="D948" s="3" t="s">
        <v>1278</v>
      </c>
      <c r="E948">
        <v>-73.906832092276403</v>
      </c>
      <c r="F948" t="s">
        <v>18</v>
      </c>
      <c r="G948">
        <v>2</v>
      </c>
      <c r="H948">
        <v>0</v>
      </c>
      <c r="I948">
        <v>1</v>
      </c>
      <c r="J948">
        <v>1</v>
      </c>
      <c r="K948">
        <v>30</v>
      </c>
      <c r="L948">
        <v>288</v>
      </c>
      <c r="M948">
        <v>3</v>
      </c>
      <c r="N948">
        <v>0.43</v>
      </c>
      <c r="O948">
        <f>IF(F948="Private room",1,0)</f>
        <v>1</v>
      </c>
      <c r="P948">
        <f>IF(C948="Manhattan",4,IF(C948="Brooklyn",2,0))</f>
        <v>0</v>
      </c>
      <c r="Q948" s="2">
        <v>72</v>
      </c>
      <c r="R948" s="1">
        <v>45722</v>
      </c>
      <c r="S948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37.750000000000028</v>
      </c>
    </row>
    <row r="949" spans="1:19" x14ac:dyDescent="0.3">
      <c r="A949" t="s">
        <v>1279</v>
      </c>
      <c r="B949" t="s">
        <v>19</v>
      </c>
      <c r="C949" t="s">
        <v>20</v>
      </c>
      <c r="D949" s="3" t="s">
        <v>1280</v>
      </c>
      <c r="E949">
        <v>-73.988756489495898</v>
      </c>
      <c r="F949" t="s">
        <v>18</v>
      </c>
      <c r="G949">
        <v>5</v>
      </c>
      <c r="H949">
        <v>1</v>
      </c>
      <c r="I949">
        <v>1</v>
      </c>
      <c r="J949">
        <v>3</v>
      </c>
      <c r="K949">
        <v>1</v>
      </c>
      <c r="L949">
        <v>288</v>
      </c>
      <c r="M949">
        <v>8</v>
      </c>
      <c r="N949">
        <v>1.01</v>
      </c>
      <c r="O949">
        <f>IF(F949="Private room",1,0)</f>
        <v>1</v>
      </c>
      <c r="P949">
        <f>IF(C949="Manhattan",4,IF(C949="Brooklyn",2,0))</f>
        <v>4</v>
      </c>
      <c r="Q949" s="2">
        <v>339</v>
      </c>
      <c r="R949" s="1">
        <v>45739</v>
      </c>
      <c r="S949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263.98</v>
      </c>
    </row>
    <row r="950" spans="1:19" x14ac:dyDescent="0.3">
      <c r="A950" t="s">
        <v>1281</v>
      </c>
      <c r="B950" t="s">
        <v>97</v>
      </c>
      <c r="C950" t="s">
        <v>20</v>
      </c>
      <c r="D950">
        <v>40.709119999999999</v>
      </c>
      <c r="E950">
        <v>-74.018259999999998</v>
      </c>
      <c r="F950" t="s">
        <v>21</v>
      </c>
      <c r="G950">
        <v>3</v>
      </c>
      <c r="H950">
        <v>1.5</v>
      </c>
      <c r="I950">
        <v>1</v>
      </c>
      <c r="J950">
        <v>1</v>
      </c>
      <c r="K950">
        <v>30</v>
      </c>
      <c r="L950">
        <v>85</v>
      </c>
      <c r="M950">
        <v>1</v>
      </c>
      <c r="N950">
        <v>0.5</v>
      </c>
      <c r="O950">
        <f>IF(F950="Private room",1,0)</f>
        <v>0</v>
      </c>
      <c r="P950">
        <f>IF(C950="Manhattan",4,IF(C950="Brooklyn",2,0))</f>
        <v>4</v>
      </c>
      <c r="Q950" s="2">
        <v>180</v>
      </c>
      <c r="R950" s="1">
        <v>45720</v>
      </c>
      <c r="S950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185.90000000000003</v>
      </c>
    </row>
    <row r="951" spans="1:19" x14ac:dyDescent="0.3">
      <c r="A951" t="s">
        <v>1282</v>
      </c>
      <c r="B951" t="s">
        <v>19</v>
      </c>
      <c r="C951" t="s">
        <v>20</v>
      </c>
      <c r="D951" s="3" t="s">
        <v>1283</v>
      </c>
      <c r="E951">
        <v>-73.988345492352707</v>
      </c>
      <c r="F951" t="s">
        <v>18</v>
      </c>
      <c r="G951">
        <v>2</v>
      </c>
      <c r="H951">
        <v>1</v>
      </c>
      <c r="I951">
        <v>1</v>
      </c>
      <c r="J951">
        <v>1</v>
      </c>
      <c r="K951">
        <v>1</v>
      </c>
      <c r="L951">
        <v>282</v>
      </c>
      <c r="M951">
        <v>6</v>
      </c>
      <c r="N951">
        <v>0.92</v>
      </c>
      <c r="O951">
        <f>IF(F951="Private room",1,0)</f>
        <v>1</v>
      </c>
      <c r="P951">
        <f>IF(C951="Manhattan",4,IF(C951="Brooklyn",2,0))</f>
        <v>4</v>
      </c>
      <c r="Q951" s="2">
        <v>162</v>
      </c>
      <c r="R951" s="1">
        <v>45726</v>
      </c>
      <c r="S951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207.28000000000003</v>
      </c>
    </row>
    <row r="952" spans="1:19" x14ac:dyDescent="0.3">
      <c r="A952" t="s">
        <v>1284</v>
      </c>
      <c r="B952" t="s">
        <v>58</v>
      </c>
      <c r="C952" t="s">
        <v>17</v>
      </c>
      <c r="D952">
        <v>40.680549999999997</v>
      </c>
      <c r="E952">
        <v>-73.983559999999997</v>
      </c>
      <c r="F952" t="s">
        <v>18</v>
      </c>
      <c r="G952">
        <v>4</v>
      </c>
      <c r="H952">
        <v>1</v>
      </c>
      <c r="I952">
        <v>1</v>
      </c>
      <c r="J952">
        <v>2</v>
      </c>
      <c r="K952">
        <v>1</v>
      </c>
      <c r="L952">
        <v>154</v>
      </c>
      <c r="M952">
        <v>3</v>
      </c>
      <c r="N952">
        <v>1.61</v>
      </c>
      <c r="O952">
        <f>IF(F952="Private room",1,0)</f>
        <v>1</v>
      </c>
      <c r="P952">
        <f>IF(C952="Manhattan",4,IF(C952="Brooklyn",2,0))</f>
        <v>2</v>
      </c>
      <c r="Q952" s="2">
        <v>418</v>
      </c>
      <c r="R952" s="1">
        <v>45738</v>
      </c>
      <c r="S952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219.90000000000006</v>
      </c>
    </row>
    <row r="953" spans="1:19" x14ac:dyDescent="0.3">
      <c r="A953" t="s">
        <v>1285</v>
      </c>
      <c r="B953" t="s">
        <v>44</v>
      </c>
      <c r="C953" t="s">
        <v>30</v>
      </c>
      <c r="D953">
        <v>40.702669999999998</v>
      </c>
      <c r="E953">
        <v>-73.807360000000003</v>
      </c>
      <c r="F953" t="s">
        <v>21</v>
      </c>
      <c r="G953">
        <v>7</v>
      </c>
      <c r="H953">
        <v>1</v>
      </c>
      <c r="I953">
        <v>3</v>
      </c>
      <c r="J953">
        <v>1</v>
      </c>
      <c r="K953">
        <v>30</v>
      </c>
      <c r="L953">
        <v>90</v>
      </c>
      <c r="M953">
        <v>1</v>
      </c>
      <c r="N953">
        <v>0.49</v>
      </c>
      <c r="O953">
        <f>IF(F953="Private room",1,0)</f>
        <v>0</v>
      </c>
      <c r="P953">
        <f>IF(C953="Manhattan",4,IF(C953="Brooklyn",2,0))</f>
        <v>0</v>
      </c>
      <c r="Q953" s="2">
        <v>100</v>
      </c>
      <c r="R953" s="1">
        <v>45719</v>
      </c>
      <c r="S953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195.09000000000006</v>
      </c>
    </row>
    <row r="954" spans="1:19" x14ac:dyDescent="0.3">
      <c r="A954" t="s">
        <v>1286</v>
      </c>
      <c r="B954" t="s">
        <v>119</v>
      </c>
      <c r="C954" t="s">
        <v>31</v>
      </c>
      <c r="D954" s="3" t="s">
        <v>1287</v>
      </c>
      <c r="E954">
        <v>-73.927211327041803</v>
      </c>
      <c r="F954" t="s">
        <v>21</v>
      </c>
      <c r="G954">
        <v>4</v>
      </c>
      <c r="H954">
        <v>2</v>
      </c>
      <c r="I954">
        <v>2</v>
      </c>
      <c r="J954">
        <v>2</v>
      </c>
      <c r="K954">
        <v>30</v>
      </c>
      <c r="L954">
        <v>116</v>
      </c>
      <c r="M954">
        <v>2</v>
      </c>
      <c r="N954">
        <v>0.3</v>
      </c>
      <c r="O954">
        <f>IF(F954="Private room",1,0)</f>
        <v>0</v>
      </c>
      <c r="P954">
        <f>IF(C954="Manhattan",4,IF(C954="Brooklyn",2,0))</f>
        <v>0</v>
      </c>
      <c r="Q954" s="2">
        <v>109</v>
      </c>
      <c r="R954" s="1">
        <v>45719</v>
      </c>
      <c r="S954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148.33000000000004</v>
      </c>
    </row>
    <row r="955" spans="1:19" x14ac:dyDescent="0.3">
      <c r="A955" t="s">
        <v>1288</v>
      </c>
      <c r="B955" t="s">
        <v>201</v>
      </c>
      <c r="C955" t="s">
        <v>30</v>
      </c>
      <c r="D955">
        <v>40.665140000000001</v>
      </c>
      <c r="E955">
        <v>-73.774640000000005</v>
      </c>
      <c r="F955" t="s">
        <v>21</v>
      </c>
      <c r="G955">
        <v>8</v>
      </c>
      <c r="H955">
        <v>2</v>
      </c>
      <c r="I955">
        <v>3</v>
      </c>
      <c r="J955">
        <v>4</v>
      </c>
      <c r="K955">
        <v>2</v>
      </c>
      <c r="L955">
        <v>142</v>
      </c>
      <c r="M955">
        <v>12</v>
      </c>
      <c r="N955">
        <v>1.72</v>
      </c>
      <c r="O955">
        <f>IF(F955="Private room",1,0)</f>
        <v>0</v>
      </c>
      <c r="P955">
        <f>IF(C955="Manhattan",4,IF(C955="Brooklyn",2,0))</f>
        <v>0</v>
      </c>
      <c r="Q955" s="2">
        <v>244</v>
      </c>
      <c r="R955" s="1">
        <v>45718</v>
      </c>
      <c r="S955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317.01000000000005</v>
      </c>
    </row>
    <row r="956" spans="1:19" x14ac:dyDescent="0.3">
      <c r="A956" t="s">
        <v>1289</v>
      </c>
      <c r="B956" t="s">
        <v>19</v>
      </c>
      <c r="C956" t="s">
        <v>20</v>
      </c>
      <c r="D956" s="3" t="s">
        <v>1290</v>
      </c>
      <c r="E956">
        <v>-73.986765091394304</v>
      </c>
      <c r="F956" t="s">
        <v>18</v>
      </c>
      <c r="G956">
        <v>4</v>
      </c>
      <c r="H956">
        <v>1</v>
      </c>
      <c r="I956">
        <v>1</v>
      </c>
      <c r="J956">
        <v>3</v>
      </c>
      <c r="K956">
        <v>1</v>
      </c>
      <c r="L956">
        <v>271</v>
      </c>
      <c r="M956">
        <v>8</v>
      </c>
      <c r="N956">
        <v>1.45</v>
      </c>
      <c r="O956">
        <f>IF(F956="Private room",1,0)</f>
        <v>1</v>
      </c>
      <c r="P956">
        <f>IF(C956="Manhattan",4,IF(C956="Brooklyn",2,0))</f>
        <v>4</v>
      </c>
      <c r="Q956" s="2">
        <v>154</v>
      </c>
      <c r="R956" s="1">
        <v>45735</v>
      </c>
      <c r="S956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245.68000000000006</v>
      </c>
    </row>
    <row r="957" spans="1:19" x14ac:dyDescent="0.3">
      <c r="A957" t="s">
        <v>1291</v>
      </c>
      <c r="B957" t="s">
        <v>95</v>
      </c>
      <c r="C957" t="s">
        <v>20</v>
      </c>
      <c r="D957">
        <v>40.749299999999998</v>
      </c>
      <c r="E957">
        <v>-73.976699999999994</v>
      </c>
      <c r="F957" t="s">
        <v>18</v>
      </c>
      <c r="G957">
        <v>2</v>
      </c>
      <c r="H957">
        <v>1</v>
      </c>
      <c r="I957">
        <v>1</v>
      </c>
      <c r="J957">
        <v>1</v>
      </c>
      <c r="K957">
        <v>1</v>
      </c>
      <c r="L957">
        <v>114</v>
      </c>
      <c r="M957">
        <v>2</v>
      </c>
      <c r="N957">
        <v>0.47</v>
      </c>
      <c r="O957">
        <f>IF(F957="Private room",1,0)</f>
        <v>1</v>
      </c>
      <c r="P957">
        <f>IF(C957="Manhattan",4,IF(C957="Brooklyn",2,0))</f>
        <v>4</v>
      </c>
      <c r="Q957" s="2">
        <v>240</v>
      </c>
      <c r="R957" s="1">
        <v>45733</v>
      </c>
      <c r="S957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214.00000000000006</v>
      </c>
    </row>
    <row r="958" spans="1:19" x14ac:dyDescent="0.3">
      <c r="A958" t="s">
        <v>1292</v>
      </c>
      <c r="B958" t="s">
        <v>19</v>
      </c>
      <c r="C958" t="s">
        <v>20</v>
      </c>
      <c r="D958">
        <v>40.755697900000001</v>
      </c>
      <c r="E958">
        <v>-73.969159599999998</v>
      </c>
      <c r="F958" t="s">
        <v>18</v>
      </c>
      <c r="G958">
        <v>2</v>
      </c>
      <c r="H958">
        <v>1</v>
      </c>
      <c r="I958">
        <v>1</v>
      </c>
      <c r="J958">
        <v>1</v>
      </c>
      <c r="K958">
        <v>1</v>
      </c>
      <c r="L958">
        <v>105</v>
      </c>
      <c r="M958">
        <v>2</v>
      </c>
      <c r="N958">
        <v>0.39</v>
      </c>
      <c r="O958">
        <f>IF(F958="Private room",1,0)</f>
        <v>1</v>
      </c>
      <c r="P958">
        <f>IF(C958="Manhattan",4,IF(C958="Brooklyn",2,0))</f>
        <v>4</v>
      </c>
      <c r="Q958" s="2">
        <v>226</v>
      </c>
      <c r="R958" s="1">
        <v>45722</v>
      </c>
      <c r="S958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214.36000000000007</v>
      </c>
    </row>
    <row r="959" spans="1:19" x14ac:dyDescent="0.3">
      <c r="A959" t="s">
        <v>1293</v>
      </c>
      <c r="B959" t="s">
        <v>95</v>
      </c>
      <c r="C959" t="s">
        <v>20</v>
      </c>
      <c r="D959">
        <v>40.749299999999998</v>
      </c>
      <c r="E959">
        <v>-73.976699999999994</v>
      </c>
      <c r="F959" t="s">
        <v>18</v>
      </c>
      <c r="G959">
        <v>2</v>
      </c>
      <c r="H959">
        <v>1</v>
      </c>
      <c r="I959">
        <v>1</v>
      </c>
      <c r="J959">
        <v>1</v>
      </c>
      <c r="K959">
        <v>1</v>
      </c>
      <c r="L959">
        <v>111</v>
      </c>
      <c r="M959">
        <v>8</v>
      </c>
      <c r="N959">
        <v>1.94</v>
      </c>
      <c r="O959">
        <f>IF(F959="Private room",1,0)</f>
        <v>1</v>
      </c>
      <c r="P959">
        <f>IF(C959="Manhattan",4,IF(C959="Brooklyn",2,0))</f>
        <v>4</v>
      </c>
      <c r="Q959" s="2">
        <v>222</v>
      </c>
      <c r="R959" s="1">
        <v>45746</v>
      </c>
      <c r="S959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214.12000000000006</v>
      </c>
    </row>
    <row r="960" spans="1:19" x14ac:dyDescent="0.3">
      <c r="A960" t="s">
        <v>1294</v>
      </c>
      <c r="B960" t="s">
        <v>36</v>
      </c>
      <c r="C960" t="s">
        <v>20</v>
      </c>
      <c r="D960" s="3" t="s">
        <v>1295</v>
      </c>
      <c r="E960">
        <v>-73.9501264674049</v>
      </c>
      <c r="F960" t="s">
        <v>21</v>
      </c>
      <c r="G960">
        <v>2</v>
      </c>
      <c r="H960">
        <v>1</v>
      </c>
      <c r="I960">
        <v>0</v>
      </c>
      <c r="J960">
        <v>1</v>
      </c>
      <c r="K960">
        <v>30</v>
      </c>
      <c r="L960">
        <v>336</v>
      </c>
      <c r="M960">
        <v>2</v>
      </c>
      <c r="N960">
        <v>0.71</v>
      </c>
      <c r="O960">
        <f>IF(F960="Private room",1,0)</f>
        <v>0</v>
      </c>
      <c r="P960">
        <f>IF(C960="Manhattan",4,IF(C960="Brooklyn",2,0))</f>
        <v>4</v>
      </c>
      <c r="Q960" s="2">
        <v>150</v>
      </c>
      <c r="R960" s="1">
        <v>45747</v>
      </c>
      <c r="S960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151.27000000000004</v>
      </c>
    </row>
    <row r="961" spans="1:19" x14ac:dyDescent="0.3">
      <c r="A961" t="s">
        <v>1296</v>
      </c>
      <c r="B961" t="s">
        <v>48</v>
      </c>
      <c r="C961" t="s">
        <v>20</v>
      </c>
      <c r="D961">
        <v>40.734470000000002</v>
      </c>
      <c r="E961">
        <v>-73.998059999999995</v>
      </c>
      <c r="F961" t="s">
        <v>21</v>
      </c>
      <c r="G961">
        <v>2</v>
      </c>
      <c r="H961">
        <v>1</v>
      </c>
      <c r="I961">
        <v>1</v>
      </c>
      <c r="J961">
        <v>1</v>
      </c>
      <c r="K961">
        <v>30</v>
      </c>
      <c r="L961">
        <v>119</v>
      </c>
      <c r="M961">
        <v>1</v>
      </c>
      <c r="N961">
        <v>0.53</v>
      </c>
      <c r="O961">
        <f>IF(F961="Private room",1,0)</f>
        <v>0</v>
      </c>
      <c r="P961">
        <f>IF(C961="Manhattan",4,IF(C961="Brooklyn",2,0))</f>
        <v>4</v>
      </c>
      <c r="Q961" s="2">
        <v>379</v>
      </c>
      <c r="R961" s="1">
        <v>45723</v>
      </c>
      <c r="S961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159.95000000000002</v>
      </c>
    </row>
    <row r="962" spans="1:19" x14ac:dyDescent="0.3">
      <c r="A962" t="s">
        <v>1297</v>
      </c>
      <c r="B962" t="s">
        <v>16</v>
      </c>
      <c r="C962" t="s">
        <v>17</v>
      </c>
      <c r="D962">
        <v>40.641739999999999</v>
      </c>
      <c r="E962">
        <v>-73.981070000000003</v>
      </c>
      <c r="F962" t="s">
        <v>18</v>
      </c>
      <c r="G962">
        <v>2</v>
      </c>
      <c r="H962">
        <v>1</v>
      </c>
      <c r="I962">
        <v>1</v>
      </c>
      <c r="J962">
        <v>1</v>
      </c>
      <c r="K962">
        <v>30</v>
      </c>
      <c r="L962">
        <v>351</v>
      </c>
      <c r="M962">
        <v>2</v>
      </c>
      <c r="N962">
        <v>0.34</v>
      </c>
      <c r="O962">
        <f>IF(F962="Private room",1,0)</f>
        <v>1</v>
      </c>
      <c r="P962">
        <f>IF(C962="Manhattan",4,IF(C962="Brooklyn",2,0))</f>
        <v>2</v>
      </c>
      <c r="Q962" s="2">
        <v>72</v>
      </c>
      <c r="R962" s="1">
        <v>45725</v>
      </c>
      <c r="S962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76.910000000000025</v>
      </c>
    </row>
    <row r="963" spans="1:19" x14ac:dyDescent="0.3">
      <c r="A963" t="s">
        <v>1298</v>
      </c>
      <c r="B963" t="s">
        <v>66</v>
      </c>
      <c r="C963" t="s">
        <v>30</v>
      </c>
      <c r="D963">
        <v>40.739559999999997</v>
      </c>
      <c r="E963">
        <v>-73.91722</v>
      </c>
      <c r="F963" t="s">
        <v>21</v>
      </c>
      <c r="G963">
        <v>4</v>
      </c>
      <c r="H963">
        <v>1</v>
      </c>
      <c r="I963">
        <v>1</v>
      </c>
      <c r="J963">
        <v>2</v>
      </c>
      <c r="K963">
        <v>30</v>
      </c>
      <c r="L963">
        <v>334</v>
      </c>
      <c r="M963">
        <v>1</v>
      </c>
      <c r="N963">
        <v>0.91</v>
      </c>
      <c r="O963">
        <f>IF(F963="Private room",1,0)</f>
        <v>0</v>
      </c>
      <c r="P963">
        <f>IF(C963="Manhattan",4,IF(C963="Brooklyn",2,0))</f>
        <v>0</v>
      </c>
      <c r="Q963" s="2">
        <v>170</v>
      </c>
      <c r="R963" s="1">
        <v>45747</v>
      </c>
      <c r="S963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128.39000000000004</v>
      </c>
    </row>
    <row r="964" spans="1:19" x14ac:dyDescent="0.3">
      <c r="A964" t="s">
        <v>1299</v>
      </c>
      <c r="B964" t="s">
        <v>19</v>
      </c>
      <c r="C964" t="s">
        <v>20</v>
      </c>
      <c r="D964">
        <v>40.75835</v>
      </c>
      <c r="E964">
        <v>-73.971559999999997</v>
      </c>
      <c r="F964" t="s">
        <v>21</v>
      </c>
      <c r="G964">
        <v>2</v>
      </c>
      <c r="H964">
        <v>1</v>
      </c>
      <c r="I964">
        <v>1</v>
      </c>
      <c r="J964">
        <v>1</v>
      </c>
      <c r="K964">
        <v>30</v>
      </c>
      <c r="L964">
        <v>348</v>
      </c>
      <c r="M964">
        <v>2</v>
      </c>
      <c r="N964">
        <v>0.44</v>
      </c>
      <c r="O964">
        <f>IF(F964="Private room",1,0)</f>
        <v>0</v>
      </c>
      <c r="P964">
        <f>IF(C964="Manhattan",4,IF(C964="Brooklyn",2,0))</f>
        <v>4</v>
      </c>
      <c r="Q964" s="2">
        <v>289</v>
      </c>
      <c r="R964" s="1">
        <v>45720</v>
      </c>
      <c r="S964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150.79000000000002</v>
      </c>
    </row>
    <row r="965" spans="1:19" x14ac:dyDescent="0.3">
      <c r="A965" t="s">
        <v>1300</v>
      </c>
      <c r="B965" t="s">
        <v>67</v>
      </c>
      <c r="C965" t="s">
        <v>17</v>
      </c>
      <c r="D965">
        <v>40.692329999999998</v>
      </c>
      <c r="E965">
        <v>-73.921310000000005</v>
      </c>
      <c r="F965" t="s">
        <v>18</v>
      </c>
      <c r="G965">
        <v>2</v>
      </c>
      <c r="H965">
        <v>1</v>
      </c>
      <c r="I965">
        <v>1</v>
      </c>
      <c r="J965">
        <v>1</v>
      </c>
      <c r="K965">
        <v>1</v>
      </c>
      <c r="L965">
        <v>159</v>
      </c>
      <c r="M965">
        <v>15</v>
      </c>
      <c r="N965">
        <v>2.15</v>
      </c>
      <c r="O965">
        <f>IF(F965="Private room",1,0)</f>
        <v>1</v>
      </c>
      <c r="P965">
        <f>IF(C965="Manhattan",4,IF(C965="Brooklyn",2,0))</f>
        <v>2</v>
      </c>
      <c r="Q965" s="2">
        <v>233</v>
      </c>
      <c r="R965" s="1">
        <v>45746</v>
      </c>
      <c r="S965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181.74000000000004</v>
      </c>
    </row>
    <row r="966" spans="1:19" x14ac:dyDescent="0.3">
      <c r="A966" t="s">
        <v>1301</v>
      </c>
      <c r="B966" t="s">
        <v>27</v>
      </c>
      <c r="C966" t="s">
        <v>17</v>
      </c>
      <c r="D966">
        <v>40.6869041</v>
      </c>
      <c r="E966">
        <v>-73.949384100000003</v>
      </c>
      <c r="F966" t="s">
        <v>21</v>
      </c>
      <c r="G966">
        <v>2</v>
      </c>
      <c r="H966">
        <v>1</v>
      </c>
      <c r="I966">
        <v>1</v>
      </c>
      <c r="J966">
        <v>1</v>
      </c>
      <c r="K966">
        <v>30</v>
      </c>
      <c r="L966">
        <v>148</v>
      </c>
      <c r="M966">
        <v>2</v>
      </c>
      <c r="N966">
        <v>0.85</v>
      </c>
      <c r="O966">
        <f>IF(F966="Private room",1,0)</f>
        <v>0</v>
      </c>
      <c r="P966">
        <f>IF(C966="Manhattan",4,IF(C966="Brooklyn",2,0))</f>
        <v>2</v>
      </c>
      <c r="Q966" s="2">
        <v>102</v>
      </c>
      <c r="R966" s="1">
        <v>45740</v>
      </c>
      <c r="S966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128.33000000000001</v>
      </c>
    </row>
    <row r="967" spans="1:19" x14ac:dyDescent="0.3">
      <c r="A967" t="s">
        <v>1303</v>
      </c>
      <c r="B967" t="s">
        <v>61</v>
      </c>
      <c r="C967" t="s">
        <v>30</v>
      </c>
      <c r="D967" s="3" t="s">
        <v>1304</v>
      </c>
      <c r="E967">
        <v>-73.923714627802497</v>
      </c>
      <c r="F967" t="s">
        <v>21</v>
      </c>
      <c r="G967">
        <v>1</v>
      </c>
      <c r="H967">
        <v>1</v>
      </c>
      <c r="I967">
        <v>1</v>
      </c>
      <c r="J967">
        <v>1</v>
      </c>
      <c r="K967">
        <v>30</v>
      </c>
      <c r="L967">
        <v>109</v>
      </c>
      <c r="M967">
        <v>2</v>
      </c>
      <c r="N967">
        <v>0.52</v>
      </c>
      <c r="O967">
        <f>IF(F967="Private room",1,0)</f>
        <v>0</v>
      </c>
      <c r="P967">
        <f>IF(C967="Manhattan",4,IF(C967="Brooklyn",2,0))</f>
        <v>0</v>
      </c>
      <c r="Q967" s="2">
        <v>115</v>
      </c>
      <c r="R967" s="1">
        <v>45717</v>
      </c>
      <c r="S967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80.45</v>
      </c>
    </row>
    <row r="968" spans="1:19" x14ac:dyDescent="0.3">
      <c r="A968" t="s">
        <v>1305</v>
      </c>
      <c r="B968" t="s">
        <v>356</v>
      </c>
      <c r="C968" t="s">
        <v>30</v>
      </c>
      <c r="D968" s="3" t="s">
        <v>1306</v>
      </c>
      <c r="E968">
        <v>-73.7578595894702</v>
      </c>
      <c r="F968" t="s">
        <v>18</v>
      </c>
      <c r="G968">
        <v>2</v>
      </c>
      <c r="H968">
        <v>1</v>
      </c>
      <c r="I968">
        <v>1</v>
      </c>
      <c r="J968">
        <v>1</v>
      </c>
      <c r="K968">
        <v>30</v>
      </c>
      <c r="L968">
        <v>350</v>
      </c>
      <c r="M968">
        <v>2</v>
      </c>
      <c r="N968">
        <v>0.5</v>
      </c>
      <c r="O968">
        <f>IF(F968="Private room",1,0)</f>
        <v>1</v>
      </c>
      <c r="P968">
        <f>IF(C968="Manhattan",4,IF(C968="Brooklyn",2,0))</f>
        <v>0</v>
      </c>
      <c r="Q968" s="2">
        <v>50</v>
      </c>
      <c r="R968" s="1">
        <v>45722</v>
      </c>
      <c r="S968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46.490000000000023</v>
      </c>
    </row>
    <row r="969" spans="1:19" x14ac:dyDescent="0.3">
      <c r="A969" t="s">
        <v>1307</v>
      </c>
      <c r="B969" t="s">
        <v>19</v>
      </c>
      <c r="C969" t="s">
        <v>20</v>
      </c>
      <c r="D969">
        <v>40.752429999999997</v>
      </c>
      <c r="E969">
        <v>-73.989459999999994</v>
      </c>
      <c r="F969" t="s">
        <v>18</v>
      </c>
      <c r="G969">
        <v>2</v>
      </c>
      <c r="H969">
        <v>1</v>
      </c>
      <c r="I969">
        <v>1</v>
      </c>
      <c r="J969">
        <v>1</v>
      </c>
      <c r="K969">
        <v>1</v>
      </c>
      <c r="L969">
        <v>96</v>
      </c>
      <c r="M969">
        <v>3</v>
      </c>
      <c r="N969">
        <v>0.45</v>
      </c>
      <c r="O969">
        <f>IF(F969="Private room",1,0)</f>
        <v>1</v>
      </c>
      <c r="P969">
        <f>IF(C969="Manhattan",4,IF(C969="Brooklyn",2,0))</f>
        <v>4</v>
      </c>
      <c r="Q969" s="2">
        <v>277</v>
      </c>
      <c r="R969" s="1">
        <v>45739</v>
      </c>
      <c r="S969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214.72000000000003</v>
      </c>
    </row>
    <row r="970" spans="1:19" x14ac:dyDescent="0.3">
      <c r="A970" t="s">
        <v>1308</v>
      </c>
      <c r="B970" t="s">
        <v>38</v>
      </c>
      <c r="C970" t="s">
        <v>20</v>
      </c>
      <c r="D970">
        <v>40.7611439</v>
      </c>
      <c r="E970">
        <v>-73.994135299999996</v>
      </c>
      <c r="F970" t="s">
        <v>21</v>
      </c>
      <c r="G970">
        <v>4</v>
      </c>
      <c r="H970">
        <v>1</v>
      </c>
      <c r="I970">
        <v>2</v>
      </c>
      <c r="J970">
        <v>2</v>
      </c>
      <c r="K970">
        <v>30</v>
      </c>
      <c r="L970">
        <v>275</v>
      </c>
      <c r="M970">
        <v>1</v>
      </c>
      <c r="N970">
        <v>0.56999999999999995</v>
      </c>
      <c r="O970">
        <f>IF(F970="Private room",1,0)</f>
        <v>0</v>
      </c>
      <c r="P970">
        <f>IF(C970="Manhattan",4,IF(C970="Brooklyn",2,0))</f>
        <v>4</v>
      </c>
      <c r="Q970" s="2">
        <v>135</v>
      </c>
      <c r="R970" s="1">
        <v>45727</v>
      </c>
      <c r="S970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191.67000000000002</v>
      </c>
    </row>
    <row r="971" spans="1:19" x14ac:dyDescent="0.3">
      <c r="A971" t="s">
        <v>1309</v>
      </c>
      <c r="B971" t="s">
        <v>62</v>
      </c>
      <c r="C971" t="s">
        <v>20</v>
      </c>
      <c r="D971">
        <v>40.717140000000001</v>
      </c>
      <c r="E971">
        <v>-73.993160000000003</v>
      </c>
      <c r="F971" t="s">
        <v>21</v>
      </c>
      <c r="G971">
        <v>3</v>
      </c>
      <c r="H971">
        <v>1.5</v>
      </c>
      <c r="I971">
        <v>1</v>
      </c>
      <c r="J971">
        <v>1</v>
      </c>
      <c r="K971">
        <v>30</v>
      </c>
      <c r="L971">
        <v>182</v>
      </c>
      <c r="M971">
        <v>2</v>
      </c>
      <c r="N971">
        <v>0.57999999999999996</v>
      </c>
      <c r="O971">
        <f>IF(F971="Private room",1,0)</f>
        <v>0</v>
      </c>
      <c r="P971">
        <f>IF(C971="Manhattan",4,IF(C971="Brooklyn",2,0))</f>
        <v>4</v>
      </c>
      <c r="Q971" s="2">
        <v>175</v>
      </c>
      <c r="R971" s="1">
        <v>45718</v>
      </c>
      <c r="S971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182.02000000000004</v>
      </c>
    </row>
    <row r="972" spans="1:19" x14ac:dyDescent="0.3">
      <c r="A972" t="s">
        <v>1310</v>
      </c>
      <c r="B972" t="s">
        <v>24</v>
      </c>
      <c r="C972" t="s">
        <v>20</v>
      </c>
      <c r="D972" s="3" t="s">
        <v>1311</v>
      </c>
      <c r="E972">
        <v>-73.941715588710395</v>
      </c>
      <c r="F972" t="s">
        <v>21</v>
      </c>
      <c r="G972">
        <v>5</v>
      </c>
      <c r="H972">
        <v>1</v>
      </c>
      <c r="I972">
        <v>2</v>
      </c>
      <c r="J972">
        <v>2</v>
      </c>
      <c r="K972">
        <v>30</v>
      </c>
      <c r="L972">
        <v>243</v>
      </c>
      <c r="M972">
        <v>3</v>
      </c>
      <c r="N972">
        <v>0.54</v>
      </c>
      <c r="O972">
        <f>IF(F972="Private room",1,0)</f>
        <v>0</v>
      </c>
      <c r="P972">
        <f>IF(C972="Manhattan",4,IF(C972="Brooklyn",2,0))</f>
        <v>4</v>
      </c>
      <c r="Q972" s="2">
        <v>143</v>
      </c>
      <c r="R972" s="1">
        <v>45747</v>
      </c>
      <c r="S972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211.93</v>
      </c>
    </row>
    <row r="973" spans="1:19" x14ac:dyDescent="0.3">
      <c r="A973" t="s">
        <v>1312</v>
      </c>
      <c r="B973" t="s">
        <v>50</v>
      </c>
      <c r="C973" t="s">
        <v>20</v>
      </c>
      <c r="D973">
        <v>40.7294921711268</v>
      </c>
      <c r="E973">
        <v>-74.002348245312504</v>
      </c>
      <c r="F973" t="s">
        <v>21</v>
      </c>
      <c r="G973">
        <v>2</v>
      </c>
      <c r="H973">
        <v>1</v>
      </c>
      <c r="I973">
        <v>1</v>
      </c>
      <c r="J973">
        <v>1</v>
      </c>
      <c r="K973">
        <v>30</v>
      </c>
      <c r="L973">
        <v>283</v>
      </c>
      <c r="M973">
        <v>1</v>
      </c>
      <c r="N973">
        <v>0.49</v>
      </c>
      <c r="O973">
        <f>IF(F973="Private room",1,0)</f>
        <v>0</v>
      </c>
      <c r="P973">
        <f>IF(C973="Manhattan",4,IF(C973="Brooklyn",2,0))</f>
        <v>4</v>
      </c>
      <c r="Q973" s="2">
        <v>185</v>
      </c>
      <c r="R973" s="1">
        <v>45718</v>
      </c>
      <c r="S973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153.39000000000004</v>
      </c>
    </row>
    <row r="974" spans="1:19" x14ac:dyDescent="0.3">
      <c r="A974" t="s">
        <v>1313</v>
      </c>
      <c r="B974" t="s">
        <v>38</v>
      </c>
      <c r="C974" t="s">
        <v>20</v>
      </c>
      <c r="D974" s="3" t="s">
        <v>1314</v>
      </c>
      <c r="E974">
        <v>-73.992519643799994</v>
      </c>
      <c r="F974" t="s">
        <v>18</v>
      </c>
      <c r="G974">
        <v>1</v>
      </c>
      <c r="H974">
        <v>1</v>
      </c>
      <c r="I974">
        <v>1</v>
      </c>
      <c r="J974">
        <v>1</v>
      </c>
      <c r="K974">
        <v>30</v>
      </c>
      <c r="L974">
        <v>169</v>
      </c>
      <c r="M974">
        <v>1</v>
      </c>
      <c r="N974">
        <v>0.48</v>
      </c>
      <c r="O974">
        <f>IF(F974="Private room",1,0)</f>
        <v>1</v>
      </c>
      <c r="P974">
        <f>IF(C974="Manhattan",4,IF(C974="Brooklyn",2,0))</f>
        <v>4</v>
      </c>
      <c r="Q974" s="2">
        <v>60</v>
      </c>
      <c r="R974" s="1">
        <v>45717</v>
      </c>
      <c r="S974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95.67</v>
      </c>
    </row>
    <row r="975" spans="1:19" x14ac:dyDescent="0.3">
      <c r="A975" t="s">
        <v>1315</v>
      </c>
      <c r="B975" t="s">
        <v>55</v>
      </c>
      <c r="C975" t="s">
        <v>17</v>
      </c>
      <c r="D975">
        <v>40.666679700000003</v>
      </c>
      <c r="E975">
        <v>-73.983266200000003</v>
      </c>
      <c r="F975" t="s">
        <v>21</v>
      </c>
      <c r="G975">
        <v>2</v>
      </c>
      <c r="H975">
        <v>1</v>
      </c>
      <c r="I975">
        <v>1</v>
      </c>
      <c r="J975">
        <v>1</v>
      </c>
      <c r="K975">
        <v>30</v>
      </c>
      <c r="L975">
        <v>112</v>
      </c>
      <c r="M975">
        <v>2</v>
      </c>
      <c r="N975">
        <v>0.63</v>
      </c>
      <c r="O975">
        <f>IF(F975="Private room",1,0)</f>
        <v>0</v>
      </c>
      <c r="P975">
        <f>IF(C975="Manhattan",4,IF(C975="Brooklyn",2,0))</f>
        <v>2</v>
      </c>
      <c r="Q975" s="2">
        <v>221</v>
      </c>
      <c r="R975" s="1">
        <v>45747</v>
      </c>
      <c r="S975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129.77000000000001</v>
      </c>
    </row>
    <row r="976" spans="1:19" x14ac:dyDescent="0.3">
      <c r="A976" t="s">
        <v>1316</v>
      </c>
      <c r="B976" t="s">
        <v>19</v>
      </c>
      <c r="C976" t="s">
        <v>20</v>
      </c>
      <c r="D976" s="3" t="s">
        <v>1317</v>
      </c>
      <c r="E976">
        <v>-73.986000125429399</v>
      </c>
      <c r="F976" t="s">
        <v>18</v>
      </c>
      <c r="G976">
        <v>1</v>
      </c>
      <c r="H976">
        <v>1</v>
      </c>
      <c r="I976">
        <v>1</v>
      </c>
      <c r="J976">
        <v>1</v>
      </c>
      <c r="K976">
        <v>30</v>
      </c>
      <c r="L976">
        <v>334</v>
      </c>
      <c r="M976">
        <v>1</v>
      </c>
      <c r="N976">
        <v>0.48</v>
      </c>
      <c r="O976">
        <f>IF(F976="Private room",1,0)</f>
        <v>1</v>
      </c>
      <c r="P976">
        <f>IF(C976="Manhattan",4,IF(C976="Brooklyn",2,0))</f>
        <v>4</v>
      </c>
      <c r="Q976" s="2">
        <v>80</v>
      </c>
      <c r="R976" s="1">
        <v>45718</v>
      </c>
      <c r="S976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89.070000000000007</v>
      </c>
    </row>
    <row r="977" spans="1:19" x14ac:dyDescent="0.3">
      <c r="A977" t="s">
        <v>1318</v>
      </c>
      <c r="B977" t="s">
        <v>24</v>
      </c>
      <c r="C977" t="s">
        <v>20</v>
      </c>
      <c r="D977">
        <v>40.789679999999997</v>
      </c>
      <c r="E977">
        <v>-73.941649999999996</v>
      </c>
      <c r="F977" t="s">
        <v>21</v>
      </c>
      <c r="G977">
        <v>2</v>
      </c>
      <c r="H977">
        <v>1</v>
      </c>
      <c r="I977">
        <v>1</v>
      </c>
      <c r="J977">
        <v>1</v>
      </c>
      <c r="K977">
        <v>30</v>
      </c>
      <c r="L977">
        <v>269</v>
      </c>
      <c r="M977">
        <v>1</v>
      </c>
      <c r="N977">
        <v>0.67</v>
      </c>
      <c r="O977">
        <f>IF(F977="Private room",1,0)</f>
        <v>0</v>
      </c>
      <c r="P977">
        <f>IF(C977="Manhattan",4,IF(C977="Brooklyn",2,0))</f>
        <v>4</v>
      </c>
      <c r="Q977" s="2">
        <v>75</v>
      </c>
      <c r="R977" s="1">
        <v>45734</v>
      </c>
      <c r="S977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153.95000000000002</v>
      </c>
    </row>
    <row r="978" spans="1:19" x14ac:dyDescent="0.3">
      <c r="A978" t="s">
        <v>938</v>
      </c>
      <c r="B978" t="s">
        <v>68</v>
      </c>
      <c r="C978" t="s">
        <v>20</v>
      </c>
      <c r="D978" s="3" t="s">
        <v>1319</v>
      </c>
      <c r="E978">
        <v>-73.935622085348299</v>
      </c>
      <c r="F978" t="s">
        <v>18</v>
      </c>
      <c r="G978">
        <v>2</v>
      </c>
      <c r="H978">
        <v>1</v>
      </c>
      <c r="I978">
        <v>1</v>
      </c>
      <c r="J978">
        <v>1</v>
      </c>
      <c r="K978">
        <v>30</v>
      </c>
      <c r="L978">
        <v>59</v>
      </c>
      <c r="M978">
        <v>1</v>
      </c>
      <c r="N978">
        <v>0.48</v>
      </c>
      <c r="O978">
        <f>IF(F978="Private room",1,0)</f>
        <v>1</v>
      </c>
      <c r="P978">
        <f>IF(C978="Manhattan",4,IF(C978="Brooklyn",2,0))</f>
        <v>4</v>
      </c>
      <c r="Q978" s="2">
        <v>53</v>
      </c>
      <c r="R978" s="1">
        <v>45718</v>
      </c>
      <c r="S978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119.05000000000003</v>
      </c>
    </row>
    <row r="979" spans="1:19" x14ac:dyDescent="0.3">
      <c r="A979" t="s">
        <v>1320</v>
      </c>
      <c r="B979" t="s">
        <v>60</v>
      </c>
      <c r="C979" t="s">
        <v>17</v>
      </c>
      <c r="D979">
        <v>40.644449999999999</v>
      </c>
      <c r="E979">
        <v>-73.925389999999993</v>
      </c>
      <c r="F979" t="s">
        <v>18</v>
      </c>
      <c r="G979">
        <v>4</v>
      </c>
      <c r="H979">
        <v>2.5</v>
      </c>
      <c r="I979">
        <v>2</v>
      </c>
      <c r="J979">
        <v>2</v>
      </c>
      <c r="K979">
        <v>1</v>
      </c>
      <c r="L979">
        <v>348</v>
      </c>
      <c r="M979">
        <v>5</v>
      </c>
      <c r="N979">
        <v>1.97</v>
      </c>
      <c r="O979">
        <f>IF(F979="Private room",1,0)</f>
        <v>1</v>
      </c>
      <c r="P979">
        <f>IF(C979="Manhattan",4,IF(C979="Brooklyn",2,0))</f>
        <v>2</v>
      </c>
      <c r="Q979" s="2">
        <v>350</v>
      </c>
      <c r="R979" s="1">
        <v>45746</v>
      </c>
      <c r="S979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228.97000000000006</v>
      </c>
    </row>
    <row r="980" spans="1:19" x14ac:dyDescent="0.3">
      <c r="A980" t="s">
        <v>1321</v>
      </c>
      <c r="B980" t="s">
        <v>160</v>
      </c>
      <c r="C980" t="s">
        <v>31</v>
      </c>
      <c r="D980" s="3" t="s">
        <v>1322</v>
      </c>
      <c r="E980">
        <v>-73.841151308557301</v>
      </c>
      <c r="F980" t="s">
        <v>21</v>
      </c>
      <c r="G980">
        <v>2</v>
      </c>
      <c r="H980">
        <v>1</v>
      </c>
      <c r="I980">
        <v>1</v>
      </c>
      <c r="J980">
        <v>2</v>
      </c>
      <c r="K980">
        <v>30</v>
      </c>
      <c r="L980">
        <v>58</v>
      </c>
      <c r="M980">
        <v>3</v>
      </c>
      <c r="N980">
        <v>0.66</v>
      </c>
      <c r="O980">
        <f>IF(F980="Private room",1,0)</f>
        <v>0</v>
      </c>
      <c r="P980">
        <f>IF(C980="Manhattan",4,IF(C980="Brooklyn",2,0))</f>
        <v>0</v>
      </c>
      <c r="Q980" s="2">
        <v>65</v>
      </c>
      <c r="R980" s="1">
        <v>45726</v>
      </c>
      <c r="S980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101.47000000000003</v>
      </c>
    </row>
    <row r="981" spans="1:19" x14ac:dyDescent="0.3">
      <c r="A981" t="s">
        <v>1323</v>
      </c>
      <c r="B981" t="s">
        <v>36</v>
      </c>
      <c r="C981" t="s">
        <v>20</v>
      </c>
      <c r="D981">
        <v>40.773600000000002</v>
      </c>
      <c r="E981">
        <v>-73.957579999999993</v>
      </c>
      <c r="F981" t="s">
        <v>21</v>
      </c>
      <c r="G981">
        <v>2</v>
      </c>
      <c r="H981">
        <v>1</v>
      </c>
      <c r="I981">
        <v>1</v>
      </c>
      <c r="J981">
        <v>1</v>
      </c>
      <c r="K981">
        <v>4</v>
      </c>
      <c r="L981">
        <v>244</v>
      </c>
      <c r="M981">
        <v>10</v>
      </c>
      <c r="N981">
        <v>1.89</v>
      </c>
      <c r="O981">
        <f>IF(F981="Private room",1,0)</f>
        <v>0</v>
      </c>
      <c r="P981">
        <f>IF(C981="Manhattan",4,IF(C981="Brooklyn",2,0))</f>
        <v>4</v>
      </c>
      <c r="Q981" s="2">
        <v>243</v>
      </c>
      <c r="R981" s="1">
        <v>45747</v>
      </c>
      <c r="S981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242.05</v>
      </c>
    </row>
    <row r="982" spans="1:19" x14ac:dyDescent="0.3">
      <c r="A982" t="s">
        <v>230</v>
      </c>
      <c r="B982" t="s">
        <v>23</v>
      </c>
      <c r="C982" t="s">
        <v>17</v>
      </c>
      <c r="D982">
        <v>40.719349999999999</v>
      </c>
      <c r="E982">
        <v>-73.941370000000006</v>
      </c>
      <c r="F982" t="s">
        <v>18</v>
      </c>
      <c r="G982">
        <v>1</v>
      </c>
      <c r="H982">
        <v>1</v>
      </c>
      <c r="I982">
        <v>1</v>
      </c>
      <c r="J982">
        <v>1</v>
      </c>
      <c r="K982">
        <v>30</v>
      </c>
      <c r="L982">
        <v>81</v>
      </c>
      <c r="M982">
        <v>1</v>
      </c>
      <c r="N982">
        <v>0.91</v>
      </c>
      <c r="O982">
        <f>IF(F982="Private room",1,0)</f>
        <v>1</v>
      </c>
      <c r="P982">
        <f>IF(C982="Manhattan",4,IF(C982="Brooklyn",2,0))</f>
        <v>2</v>
      </c>
      <c r="Q982" s="2">
        <v>55</v>
      </c>
      <c r="R982" s="1">
        <v>45746</v>
      </c>
      <c r="S982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68.730000000000018</v>
      </c>
    </row>
    <row r="983" spans="1:19" x14ac:dyDescent="0.3">
      <c r="A983" t="s">
        <v>1324</v>
      </c>
      <c r="B983" t="s">
        <v>24</v>
      </c>
      <c r="C983" t="s">
        <v>20</v>
      </c>
      <c r="D983">
        <v>40.801749999999998</v>
      </c>
      <c r="E983">
        <v>-73.9435</v>
      </c>
      <c r="F983" t="s">
        <v>21</v>
      </c>
      <c r="G983">
        <v>4</v>
      </c>
      <c r="H983">
        <v>1</v>
      </c>
      <c r="I983">
        <v>0</v>
      </c>
      <c r="J983">
        <v>2</v>
      </c>
      <c r="K983">
        <v>1</v>
      </c>
      <c r="L983">
        <v>191</v>
      </c>
      <c r="M983">
        <v>7</v>
      </c>
      <c r="N983">
        <v>1.72</v>
      </c>
      <c r="O983">
        <f>IF(F983="Private room",1,0)</f>
        <v>0</v>
      </c>
      <c r="P983">
        <f>IF(C983="Manhattan",4,IF(C983="Brooklyn",2,0))</f>
        <v>4</v>
      </c>
      <c r="Q983" s="2">
        <v>180</v>
      </c>
      <c r="R983" s="1">
        <v>45739</v>
      </c>
      <c r="S983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292.18000000000006</v>
      </c>
    </row>
    <row r="984" spans="1:19" x14ac:dyDescent="0.3">
      <c r="A984" t="s">
        <v>1325</v>
      </c>
      <c r="B984" t="s">
        <v>23</v>
      </c>
      <c r="C984" t="s">
        <v>17</v>
      </c>
      <c r="D984">
        <v>40.711701599999998</v>
      </c>
      <c r="E984">
        <v>-73.962876399999999</v>
      </c>
      <c r="F984" t="s">
        <v>18</v>
      </c>
      <c r="G984">
        <v>2</v>
      </c>
      <c r="H984">
        <v>1</v>
      </c>
      <c r="I984">
        <v>1</v>
      </c>
      <c r="J984">
        <v>1</v>
      </c>
      <c r="K984">
        <v>1</v>
      </c>
      <c r="L984">
        <v>109</v>
      </c>
      <c r="M984">
        <v>3</v>
      </c>
      <c r="N984">
        <v>0.99</v>
      </c>
      <c r="O984">
        <f>IF(F984="Private room",1,0)</f>
        <v>1</v>
      </c>
      <c r="P984">
        <f>IF(C984="Manhattan",4,IF(C984="Brooklyn",2,0))</f>
        <v>2</v>
      </c>
      <c r="Q984" s="2">
        <v>292</v>
      </c>
      <c r="R984" s="1">
        <v>45727</v>
      </c>
      <c r="S984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183.74000000000004</v>
      </c>
    </row>
    <row r="985" spans="1:19" x14ac:dyDescent="0.3">
      <c r="A985" t="s">
        <v>1326</v>
      </c>
      <c r="B985" t="s">
        <v>28</v>
      </c>
      <c r="C985" t="s">
        <v>20</v>
      </c>
      <c r="D985">
        <v>40.82123</v>
      </c>
      <c r="E985">
        <v>-73.940640000000002</v>
      </c>
      <c r="F985" t="s">
        <v>18</v>
      </c>
      <c r="G985">
        <v>1</v>
      </c>
      <c r="H985">
        <v>1</v>
      </c>
      <c r="I985">
        <v>1</v>
      </c>
      <c r="J985">
        <v>1</v>
      </c>
      <c r="K985">
        <v>30</v>
      </c>
      <c r="L985">
        <v>280</v>
      </c>
      <c r="M985">
        <v>2</v>
      </c>
      <c r="N985">
        <v>0.39</v>
      </c>
      <c r="O985">
        <f>IF(F985="Private room",1,0)</f>
        <v>1</v>
      </c>
      <c r="P985">
        <f>IF(C985="Manhattan",4,IF(C985="Brooklyn",2,0))</f>
        <v>4</v>
      </c>
      <c r="Q985" s="2">
        <v>54</v>
      </c>
      <c r="R985" s="1">
        <v>45742</v>
      </c>
      <c r="S985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91.23</v>
      </c>
    </row>
    <row r="986" spans="1:19" x14ac:dyDescent="0.3">
      <c r="A986" t="s">
        <v>1327</v>
      </c>
      <c r="B986" t="s">
        <v>84</v>
      </c>
      <c r="C986" t="s">
        <v>17</v>
      </c>
      <c r="D986">
        <v>40.659019999999998</v>
      </c>
      <c r="E986">
        <v>-73.952219999999997</v>
      </c>
      <c r="F986" t="s">
        <v>21</v>
      </c>
      <c r="G986">
        <v>2</v>
      </c>
      <c r="H986">
        <v>1</v>
      </c>
      <c r="I986">
        <v>1</v>
      </c>
      <c r="J986">
        <v>1</v>
      </c>
      <c r="K986">
        <v>30</v>
      </c>
      <c r="L986">
        <v>115</v>
      </c>
      <c r="M986">
        <v>1</v>
      </c>
      <c r="N986">
        <v>0.94</v>
      </c>
      <c r="O986">
        <f>IF(F986="Private room",1,0)</f>
        <v>0</v>
      </c>
      <c r="P986">
        <f>IF(C986="Manhattan",4,IF(C986="Brooklyn",2,0))</f>
        <v>2</v>
      </c>
      <c r="Q986" s="2">
        <v>116</v>
      </c>
      <c r="R986" s="1">
        <v>45747</v>
      </c>
      <c r="S986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129.65000000000003</v>
      </c>
    </row>
    <row r="987" spans="1:19" x14ac:dyDescent="0.3">
      <c r="A987" t="s">
        <v>1328</v>
      </c>
      <c r="B987" t="s">
        <v>140</v>
      </c>
      <c r="C987" t="s">
        <v>17</v>
      </c>
      <c r="D987" s="3" t="s">
        <v>1329</v>
      </c>
      <c r="E987">
        <v>-74.004845023155198</v>
      </c>
      <c r="F987" t="s">
        <v>21</v>
      </c>
      <c r="G987">
        <v>4</v>
      </c>
      <c r="H987">
        <v>1</v>
      </c>
      <c r="I987">
        <v>2</v>
      </c>
      <c r="J987">
        <v>2</v>
      </c>
      <c r="K987">
        <v>30</v>
      </c>
      <c r="L987">
        <v>364</v>
      </c>
      <c r="M987">
        <v>1</v>
      </c>
      <c r="N987">
        <v>0.88</v>
      </c>
      <c r="O987">
        <f>IF(F987="Private room",1,0)</f>
        <v>0</v>
      </c>
      <c r="P987">
        <f>IF(C987="Manhattan",4,IF(C987="Brooklyn",2,0))</f>
        <v>2</v>
      </c>
      <c r="Q987" s="2">
        <v>141</v>
      </c>
      <c r="R987" s="1">
        <v>45746</v>
      </c>
      <c r="S987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157.65000000000003</v>
      </c>
    </row>
    <row r="988" spans="1:19" x14ac:dyDescent="0.3">
      <c r="A988" t="s">
        <v>1330</v>
      </c>
      <c r="B988" t="s">
        <v>27</v>
      </c>
      <c r="C988" t="s">
        <v>17</v>
      </c>
      <c r="D988" s="3" t="s">
        <v>1331</v>
      </c>
      <c r="E988">
        <v>-73.922157286768297</v>
      </c>
      <c r="F988" t="s">
        <v>21</v>
      </c>
      <c r="G988">
        <v>2</v>
      </c>
      <c r="H988">
        <v>1</v>
      </c>
      <c r="I988">
        <v>1</v>
      </c>
      <c r="J988">
        <v>1</v>
      </c>
      <c r="K988">
        <v>30</v>
      </c>
      <c r="L988">
        <v>180</v>
      </c>
      <c r="M988">
        <v>2</v>
      </c>
      <c r="N988">
        <v>0.49</v>
      </c>
      <c r="O988">
        <f>IF(F988="Private room",1,0)</f>
        <v>0</v>
      </c>
      <c r="P988">
        <f>IF(C988="Manhattan",4,IF(C988="Brooklyn",2,0))</f>
        <v>2</v>
      </c>
      <c r="Q988" s="2">
        <v>130</v>
      </c>
      <c r="R988" s="1">
        <v>45718</v>
      </c>
      <c r="S988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127.05000000000001</v>
      </c>
    </row>
    <row r="989" spans="1:19" x14ac:dyDescent="0.3">
      <c r="A989" t="s">
        <v>1332</v>
      </c>
      <c r="B989" t="s">
        <v>27</v>
      </c>
      <c r="C989" t="s">
        <v>17</v>
      </c>
      <c r="D989" s="3" t="s">
        <v>1333</v>
      </c>
      <c r="E989">
        <v>-73.9287297230848</v>
      </c>
      <c r="F989" t="s">
        <v>18</v>
      </c>
      <c r="G989">
        <v>1</v>
      </c>
      <c r="H989">
        <v>3</v>
      </c>
      <c r="I989">
        <v>1</v>
      </c>
      <c r="J989">
        <v>1</v>
      </c>
      <c r="K989">
        <v>30</v>
      </c>
      <c r="L989">
        <v>265</v>
      </c>
      <c r="M989">
        <v>1</v>
      </c>
      <c r="N989">
        <v>0.48</v>
      </c>
      <c r="O989">
        <f>IF(F989="Private room",1,0)</f>
        <v>1</v>
      </c>
      <c r="P989">
        <f>IF(C989="Manhattan",4,IF(C989="Brooklyn",2,0))</f>
        <v>2</v>
      </c>
      <c r="Q989" s="2">
        <v>55</v>
      </c>
      <c r="R989" s="1">
        <v>45717</v>
      </c>
      <c r="S989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83.81</v>
      </c>
    </row>
    <row r="990" spans="1:19" x14ac:dyDescent="0.3">
      <c r="A990" t="s">
        <v>1334</v>
      </c>
      <c r="B990" t="s">
        <v>27</v>
      </c>
      <c r="C990" t="s">
        <v>17</v>
      </c>
      <c r="D990">
        <v>40.680010000000003</v>
      </c>
      <c r="E990">
        <v>-73.91919</v>
      </c>
      <c r="F990" t="s">
        <v>21</v>
      </c>
      <c r="G990">
        <v>2</v>
      </c>
      <c r="H990">
        <v>1</v>
      </c>
      <c r="I990">
        <v>1</v>
      </c>
      <c r="J990">
        <v>1</v>
      </c>
      <c r="K990">
        <v>30</v>
      </c>
      <c r="L990">
        <v>353</v>
      </c>
      <c r="M990">
        <v>1</v>
      </c>
      <c r="N990">
        <v>0.48</v>
      </c>
      <c r="O990">
        <f>IF(F990="Private room",1,0)</f>
        <v>0</v>
      </c>
      <c r="P990">
        <f>IF(C990="Manhattan",4,IF(C990="Brooklyn",2,0))</f>
        <v>2</v>
      </c>
      <c r="Q990" s="2">
        <v>96</v>
      </c>
      <c r="R990" s="1">
        <v>45717</v>
      </c>
      <c r="S990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120.13000000000002</v>
      </c>
    </row>
    <row r="991" spans="1:19" x14ac:dyDescent="0.3">
      <c r="A991" t="s">
        <v>1335</v>
      </c>
      <c r="B991" t="s">
        <v>19</v>
      </c>
      <c r="C991" t="s">
        <v>20</v>
      </c>
      <c r="D991" s="3" t="s">
        <v>1336</v>
      </c>
      <c r="E991">
        <v>-73.967232450403401</v>
      </c>
      <c r="F991" t="s">
        <v>21</v>
      </c>
      <c r="G991">
        <v>4</v>
      </c>
      <c r="H991">
        <v>1</v>
      </c>
      <c r="I991">
        <v>2</v>
      </c>
      <c r="J991">
        <v>2</v>
      </c>
      <c r="K991">
        <v>30</v>
      </c>
      <c r="L991">
        <v>254</v>
      </c>
      <c r="M991">
        <v>2</v>
      </c>
      <c r="N991">
        <v>0.5</v>
      </c>
      <c r="O991">
        <f>IF(F991="Private room",1,0)</f>
        <v>0</v>
      </c>
      <c r="P991">
        <f>IF(C991="Manhattan",4,IF(C991="Brooklyn",2,0))</f>
        <v>4</v>
      </c>
      <c r="Q991" s="2">
        <v>171</v>
      </c>
      <c r="R991" s="1">
        <v>45718</v>
      </c>
      <c r="S991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192.51000000000005</v>
      </c>
    </row>
    <row r="992" spans="1:19" x14ac:dyDescent="0.3">
      <c r="A992" t="s">
        <v>1337</v>
      </c>
      <c r="B992" t="s">
        <v>85</v>
      </c>
      <c r="C992" t="s">
        <v>20</v>
      </c>
      <c r="D992">
        <v>40.719136599999999</v>
      </c>
      <c r="E992">
        <v>-73.994767299999907</v>
      </c>
      <c r="F992" t="s">
        <v>21</v>
      </c>
      <c r="G992">
        <v>4</v>
      </c>
      <c r="H992">
        <v>2</v>
      </c>
      <c r="I992">
        <v>2</v>
      </c>
      <c r="J992">
        <v>2</v>
      </c>
      <c r="K992">
        <v>30</v>
      </c>
      <c r="L992">
        <v>335</v>
      </c>
      <c r="M992">
        <v>1</v>
      </c>
      <c r="N992">
        <v>0.59</v>
      </c>
      <c r="O992">
        <f>IF(F992="Private room",1,0)</f>
        <v>0</v>
      </c>
      <c r="P992">
        <f>IF(C992="Manhattan",4,IF(C992="Brooklyn",2,0))</f>
        <v>4</v>
      </c>
      <c r="Q992" s="2">
        <v>170</v>
      </c>
      <c r="R992" s="1">
        <v>45728</v>
      </c>
      <c r="S992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200.49</v>
      </c>
    </row>
    <row r="993" spans="1:19" x14ac:dyDescent="0.3">
      <c r="A993" t="s">
        <v>1338</v>
      </c>
      <c r="B993" t="s">
        <v>38</v>
      </c>
      <c r="C993" t="s">
        <v>20</v>
      </c>
      <c r="D993">
        <v>40.764480900000002</v>
      </c>
      <c r="E993">
        <v>-73.988945799999996</v>
      </c>
      <c r="F993" t="s">
        <v>21</v>
      </c>
      <c r="G993">
        <v>2</v>
      </c>
      <c r="H993">
        <v>1</v>
      </c>
      <c r="I993">
        <v>1</v>
      </c>
      <c r="J993">
        <v>1</v>
      </c>
      <c r="K993">
        <v>30</v>
      </c>
      <c r="L993">
        <v>294</v>
      </c>
      <c r="M993">
        <v>2</v>
      </c>
      <c r="N993">
        <v>0.49</v>
      </c>
      <c r="O993">
        <f>IF(F993="Private room",1,0)</f>
        <v>0</v>
      </c>
      <c r="P993">
        <f>IF(C993="Manhattan",4,IF(C993="Brooklyn",2,0))</f>
        <v>4</v>
      </c>
      <c r="Q993" s="2">
        <v>150</v>
      </c>
      <c r="R993" s="1">
        <v>45747</v>
      </c>
      <c r="S993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152.95000000000002</v>
      </c>
    </row>
    <row r="994" spans="1:19" x14ac:dyDescent="0.3">
      <c r="A994" t="s">
        <v>1339</v>
      </c>
      <c r="B994" t="s">
        <v>66</v>
      </c>
      <c r="C994" t="s">
        <v>30</v>
      </c>
      <c r="D994" s="3" t="s">
        <v>1340</v>
      </c>
      <c r="E994">
        <v>-73.915813118219305</v>
      </c>
      <c r="F994" t="s">
        <v>21</v>
      </c>
      <c r="G994">
        <v>5</v>
      </c>
      <c r="H994">
        <v>1</v>
      </c>
      <c r="I994">
        <v>1</v>
      </c>
      <c r="J994">
        <v>2</v>
      </c>
      <c r="K994">
        <v>30</v>
      </c>
      <c r="L994">
        <v>271</v>
      </c>
      <c r="M994">
        <v>2</v>
      </c>
      <c r="N994">
        <v>0.66</v>
      </c>
      <c r="O994">
        <f>IF(F994="Private room",1,0)</f>
        <v>0</v>
      </c>
      <c r="P994">
        <f>IF(C994="Manhattan",4,IF(C994="Brooklyn",2,0))</f>
        <v>0</v>
      </c>
      <c r="Q994" s="2">
        <v>110</v>
      </c>
      <c r="R994" s="1">
        <v>45719</v>
      </c>
      <c r="S994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149.89000000000001</v>
      </c>
    </row>
    <row r="995" spans="1:19" x14ac:dyDescent="0.3">
      <c r="A995" t="s">
        <v>1341</v>
      </c>
      <c r="B995" t="s">
        <v>23</v>
      </c>
      <c r="C995" t="s">
        <v>17</v>
      </c>
      <c r="D995">
        <v>40.718395673520099</v>
      </c>
      <c r="E995">
        <v>-73.958707181382806</v>
      </c>
      <c r="F995" t="s">
        <v>21</v>
      </c>
      <c r="G995">
        <v>2</v>
      </c>
      <c r="H995">
        <v>1</v>
      </c>
      <c r="I995">
        <v>1</v>
      </c>
      <c r="J995">
        <v>1</v>
      </c>
      <c r="K995">
        <v>30</v>
      </c>
      <c r="L995">
        <v>358</v>
      </c>
      <c r="M995">
        <v>1</v>
      </c>
      <c r="N995">
        <v>0.94</v>
      </c>
      <c r="O995">
        <f>IF(F995="Private room",1,0)</f>
        <v>0</v>
      </c>
      <c r="P995">
        <f>IF(C995="Manhattan",4,IF(C995="Brooklyn",2,0))</f>
        <v>2</v>
      </c>
      <c r="Q995" s="2">
        <v>163</v>
      </c>
      <c r="R995" s="1">
        <v>45747</v>
      </c>
      <c r="S995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119.93000000000004</v>
      </c>
    </row>
    <row r="996" spans="1:19" x14ac:dyDescent="0.3">
      <c r="A996" t="s">
        <v>1342</v>
      </c>
      <c r="B996" t="s">
        <v>53</v>
      </c>
      <c r="C996" t="s">
        <v>20</v>
      </c>
      <c r="D996" s="3" t="s">
        <v>1343</v>
      </c>
      <c r="E996">
        <v>-73.972854812917802</v>
      </c>
      <c r="F996" t="s">
        <v>21</v>
      </c>
      <c r="G996">
        <v>2</v>
      </c>
      <c r="H996">
        <v>1</v>
      </c>
      <c r="I996">
        <v>1</v>
      </c>
      <c r="J996">
        <v>1</v>
      </c>
      <c r="K996">
        <v>30</v>
      </c>
      <c r="L996">
        <v>32</v>
      </c>
      <c r="M996">
        <v>1</v>
      </c>
      <c r="N996">
        <v>0.91</v>
      </c>
      <c r="O996">
        <f>IF(F996="Private room",1,0)</f>
        <v>0</v>
      </c>
      <c r="P996">
        <f>IF(C996="Manhattan",4,IF(C996="Brooklyn",2,0))</f>
        <v>4</v>
      </c>
      <c r="Q996" s="2">
        <v>140</v>
      </c>
      <c r="R996" s="1">
        <v>45746</v>
      </c>
      <c r="S996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163.43</v>
      </c>
    </row>
    <row r="997" spans="1:19" x14ac:dyDescent="0.3">
      <c r="A997" t="s">
        <v>1344</v>
      </c>
      <c r="B997" t="s">
        <v>23</v>
      </c>
      <c r="C997" t="s">
        <v>17</v>
      </c>
      <c r="D997" s="3" t="s">
        <v>1345</v>
      </c>
      <c r="E997">
        <v>-73.953201315093906</v>
      </c>
      <c r="F997" t="s">
        <v>21</v>
      </c>
      <c r="G997">
        <v>2</v>
      </c>
      <c r="H997">
        <v>1</v>
      </c>
      <c r="I997">
        <v>1</v>
      </c>
      <c r="J997">
        <v>1</v>
      </c>
      <c r="K997">
        <v>30</v>
      </c>
      <c r="L997">
        <v>340</v>
      </c>
      <c r="M997">
        <v>1</v>
      </c>
      <c r="N997">
        <v>0.56999999999999995</v>
      </c>
      <c r="O997">
        <f>IF(F997="Private room",1,0)</f>
        <v>0</v>
      </c>
      <c r="P997">
        <f>IF(C997="Manhattan",4,IF(C997="Brooklyn",2,0))</f>
        <v>2</v>
      </c>
      <c r="Q997" s="2">
        <v>126</v>
      </c>
      <c r="R997" s="1">
        <v>45726</v>
      </c>
      <c r="S997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120.65000000000003</v>
      </c>
    </row>
    <row r="998" spans="1:19" x14ac:dyDescent="0.3">
      <c r="A998" t="s">
        <v>1346</v>
      </c>
      <c r="B998" t="s">
        <v>53</v>
      </c>
      <c r="C998" t="s">
        <v>20</v>
      </c>
      <c r="D998">
        <v>40.780686899999999</v>
      </c>
      <c r="E998">
        <v>-73.981035700000007</v>
      </c>
      <c r="F998" t="s">
        <v>21</v>
      </c>
      <c r="G998">
        <v>4</v>
      </c>
      <c r="H998">
        <v>1</v>
      </c>
      <c r="I998">
        <v>1</v>
      </c>
      <c r="J998">
        <v>2</v>
      </c>
      <c r="K998">
        <v>1</v>
      </c>
      <c r="L998">
        <v>257</v>
      </c>
      <c r="M998">
        <v>18</v>
      </c>
      <c r="N998">
        <v>0.47</v>
      </c>
      <c r="O998">
        <f>IF(F998="Private room",1,0)</f>
        <v>0</v>
      </c>
      <c r="P998">
        <f>IF(C998="Manhattan",4,IF(C998="Brooklyn",2,0))</f>
        <v>4</v>
      </c>
      <c r="Q998" s="2">
        <v>433</v>
      </c>
      <c r="R998" s="1">
        <v>45728</v>
      </c>
      <c r="S998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289.54000000000002</v>
      </c>
    </row>
    <row r="999" spans="1:19" x14ac:dyDescent="0.3">
      <c r="A999" t="s">
        <v>1347</v>
      </c>
      <c r="B999" t="s">
        <v>53</v>
      </c>
      <c r="C999" t="s">
        <v>20</v>
      </c>
      <c r="D999">
        <v>40.780686899999999</v>
      </c>
      <c r="E999">
        <v>-73.981035700000007</v>
      </c>
      <c r="F999" t="s">
        <v>21</v>
      </c>
      <c r="G999">
        <v>2</v>
      </c>
      <c r="H999">
        <v>1</v>
      </c>
      <c r="I999">
        <v>1</v>
      </c>
      <c r="J999">
        <v>1</v>
      </c>
      <c r="K999">
        <v>1</v>
      </c>
      <c r="L999">
        <v>300</v>
      </c>
      <c r="M999">
        <v>3</v>
      </c>
      <c r="N999">
        <v>0.18</v>
      </c>
      <c r="O999">
        <f>IF(F999="Private room",1,0)</f>
        <v>0</v>
      </c>
      <c r="P999">
        <f>IF(C999="Manhattan",4,IF(C999="Brooklyn",2,0))</f>
        <v>4</v>
      </c>
      <c r="Q999" s="2">
        <v>394</v>
      </c>
      <c r="R999" s="1">
        <v>45743</v>
      </c>
      <c r="S999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249.86</v>
      </c>
    </row>
    <row r="1000" spans="1:19" x14ac:dyDescent="0.3">
      <c r="A1000" t="s">
        <v>1348</v>
      </c>
      <c r="B1000" t="s">
        <v>53</v>
      </c>
      <c r="C1000" t="s">
        <v>20</v>
      </c>
      <c r="D1000">
        <v>40.780686899999999</v>
      </c>
      <c r="E1000">
        <v>-73.981035700000007</v>
      </c>
      <c r="F1000" t="s">
        <v>21</v>
      </c>
      <c r="G1000">
        <v>2</v>
      </c>
      <c r="H1000">
        <v>1</v>
      </c>
      <c r="I1000">
        <v>1</v>
      </c>
      <c r="J1000">
        <v>1</v>
      </c>
      <c r="K1000">
        <v>1</v>
      </c>
      <c r="L1000">
        <v>300</v>
      </c>
      <c r="M1000">
        <v>8</v>
      </c>
      <c r="N1000">
        <v>0.35</v>
      </c>
      <c r="O1000">
        <f>IF(F1000="Private room",1,0)</f>
        <v>0</v>
      </c>
      <c r="P1000">
        <f>IF(C1000="Manhattan",4,IF(C1000="Brooklyn",2,0))</f>
        <v>4</v>
      </c>
      <c r="Q1000" s="2">
        <v>394</v>
      </c>
      <c r="R1000" s="1">
        <v>45734</v>
      </c>
      <c r="S1000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249.86</v>
      </c>
    </row>
    <row r="1001" spans="1:19" x14ac:dyDescent="0.3">
      <c r="A1001" t="s">
        <v>1349</v>
      </c>
      <c r="B1001" t="s">
        <v>59</v>
      </c>
      <c r="C1001" t="s">
        <v>17</v>
      </c>
      <c r="D1001">
        <v>40.682279999999999</v>
      </c>
      <c r="E1001">
        <v>-73.963809999999995</v>
      </c>
      <c r="F1001" t="s">
        <v>21</v>
      </c>
      <c r="G1001">
        <v>4</v>
      </c>
      <c r="H1001">
        <v>1</v>
      </c>
      <c r="I1001">
        <v>1</v>
      </c>
      <c r="J1001">
        <v>1</v>
      </c>
      <c r="K1001">
        <v>30</v>
      </c>
      <c r="L1001">
        <v>180</v>
      </c>
      <c r="M1001">
        <v>1</v>
      </c>
      <c r="N1001">
        <v>0.48</v>
      </c>
      <c r="O1001">
        <f>IF(F1001="Private room",1,0)</f>
        <v>0</v>
      </c>
      <c r="P1001">
        <f>IF(C1001="Manhattan",4,IF(C1001="Brooklyn",2,0))</f>
        <v>2</v>
      </c>
      <c r="Q1001" s="2">
        <v>210</v>
      </c>
      <c r="R1001" s="1">
        <v>45717</v>
      </c>
      <c r="S1001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165.01000000000005</v>
      </c>
    </row>
    <row r="1002" spans="1:19" x14ac:dyDescent="0.3">
      <c r="A1002" t="s">
        <v>1350</v>
      </c>
      <c r="B1002" t="s">
        <v>27</v>
      </c>
      <c r="C1002" t="s">
        <v>17</v>
      </c>
      <c r="D1002">
        <v>40.682053099999997</v>
      </c>
      <c r="E1002">
        <v>-73.913321699999997</v>
      </c>
      <c r="F1002" t="s">
        <v>21</v>
      </c>
      <c r="G1002">
        <v>3</v>
      </c>
      <c r="H1002">
        <v>1</v>
      </c>
      <c r="I1002">
        <v>2</v>
      </c>
      <c r="J1002">
        <v>2</v>
      </c>
      <c r="K1002">
        <v>30</v>
      </c>
      <c r="L1002">
        <v>278</v>
      </c>
      <c r="M1002">
        <v>2</v>
      </c>
      <c r="N1002">
        <v>0.66</v>
      </c>
      <c r="O1002">
        <f>IF(F1002="Private room",1,0)</f>
        <v>0</v>
      </c>
      <c r="P1002">
        <f>IF(C1002="Manhattan",4,IF(C1002="Brooklyn",2,0))</f>
        <v>2</v>
      </c>
      <c r="Q1002" s="2">
        <v>117</v>
      </c>
      <c r="R1002" s="1">
        <v>45745</v>
      </c>
      <c r="S1002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142.11000000000001</v>
      </c>
    </row>
    <row r="1003" spans="1:19" x14ac:dyDescent="0.3">
      <c r="A1003" t="s">
        <v>1351</v>
      </c>
      <c r="B1003" t="s">
        <v>73</v>
      </c>
      <c r="C1003" t="s">
        <v>30</v>
      </c>
      <c r="D1003" s="3" t="s">
        <v>1352</v>
      </c>
      <c r="E1003">
        <v>-73.936735755450002</v>
      </c>
      <c r="F1003" t="s">
        <v>21</v>
      </c>
      <c r="G1003">
        <v>5</v>
      </c>
      <c r="H1003">
        <v>1</v>
      </c>
      <c r="I1003">
        <v>1</v>
      </c>
      <c r="J1003">
        <v>3</v>
      </c>
      <c r="K1003">
        <v>30</v>
      </c>
      <c r="L1003">
        <v>244</v>
      </c>
      <c r="M1003">
        <v>1</v>
      </c>
      <c r="N1003">
        <v>0.54</v>
      </c>
      <c r="O1003">
        <f>IF(F1003="Private room",1,0)</f>
        <v>0</v>
      </c>
      <c r="P1003">
        <f>IF(C1003="Manhattan",4,IF(C1003="Brooklyn",2,0))</f>
        <v>0</v>
      </c>
      <c r="Q1003" s="2">
        <v>80</v>
      </c>
      <c r="R1003" s="1">
        <v>45724</v>
      </c>
      <c r="S1003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150.97000000000003</v>
      </c>
    </row>
    <row r="1004" spans="1:19" x14ac:dyDescent="0.3">
      <c r="A1004" t="s">
        <v>1353</v>
      </c>
      <c r="B1004" t="s">
        <v>134</v>
      </c>
      <c r="C1004" t="s">
        <v>30</v>
      </c>
      <c r="D1004">
        <v>40.703838500000003</v>
      </c>
      <c r="E1004">
        <v>-73.748360300000002</v>
      </c>
      <c r="F1004" t="s">
        <v>21</v>
      </c>
      <c r="G1004">
        <v>4</v>
      </c>
      <c r="H1004">
        <v>1</v>
      </c>
      <c r="I1004">
        <v>2</v>
      </c>
      <c r="J1004">
        <v>2</v>
      </c>
      <c r="K1004">
        <v>30</v>
      </c>
      <c r="L1004">
        <v>212</v>
      </c>
      <c r="M1004">
        <v>2</v>
      </c>
      <c r="N1004">
        <v>0.46</v>
      </c>
      <c r="O1004">
        <f>IF(F1004="Private room",1,0)</f>
        <v>0</v>
      </c>
      <c r="P1004">
        <f>IF(C1004="Manhattan",4,IF(C1004="Brooklyn",2,0))</f>
        <v>0</v>
      </c>
      <c r="Q1004" s="2">
        <v>105</v>
      </c>
      <c r="R1004" s="1">
        <v>45717</v>
      </c>
      <c r="S1004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133.27000000000004</v>
      </c>
    </row>
    <row r="1005" spans="1:19" x14ac:dyDescent="0.3">
      <c r="A1005" t="s">
        <v>1354</v>
      </c>
      <c r="B1005" t="s">
        <v>42</v>
      </c>
      <c r="C1005" t="s">
        <v>17</v>
      </c>
      <c r="D1005" s="3" t="s">
        <v>1355</v>
      </c>
      <c r="E1005">
        <v>-73.939042389392796</v>
      </c>
      <c r="F1005" t="s">
        <v>21</v>
      </c>
      <c r="G1005">
        <v>3</v>
      </c>
      <c r="H1005">
        <v>1</v>
      </c>
      <c r="I1005">
        <v>1</v>
      </c>
      <c r="J1005">
        <v>1</v>
      </c>
      <c r="K1005">
        <v>30</v>
      </c>
      <c r="L1005">
        <v>179</v>
      </c>
      <c r="M1005">
        <v>2</v>
      </c>
      <c r="N1005">
        <v>0.67</v>
      </c>
      <c r="O1005">
        <f>IF(F1005="Private room",1,0)</f>
        <v>0</v>
      </c>
      <c r="P1005">
        <f>IF(C1005="Manhattan",4,IF(C1005="Brooklyn",2,0))</f>
        <v>2</v>
      </c>
      <c r="Q1005" s="2">
        <v>140</v>
      </c>
      <c r="R1005" s="1">
        <v>45742</v>
      </c>
      <c r="S1005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146.07000000000002</v>
      </c>
    </row>
    <row r="1006" spans="1:19" x14ac:dyDescent="0.3">
      <c r="A1006" t="s">
        <v>1357</v>
      </c>
      <c r="B1006" t="s">
        <v>202</v>
      </c>
      <c r="C1006" t="s">
        <v>20</v>
      </c>
      <c r="D1006" s="3" t="s">
        <v>1358</v>
      </c>
      <c r="E1006">
        <v>-73.909919969737501</v>
      </c>
      <c r="F1006" t="s">
        <v>21</v>
      </c>
      <c r="G1006">
        <v>2</v>
      </c>
      <c r="H1006">
        <v>1</v>
      </c>
      <c r="I1006">
        <v>1</v>
      </c>
      <c r="J1006">
        <v>1</v>
      </c>
      <c r="K1006">
        <v>30</v>
      </c>
      <c r="L1006">
        <v>92</v>
      </c>
      <c r="M1006">
        <v>1</v>
      </c>
      <c r="N1006">
        <v>0.48</v>
      </c>
      <c r="O1006">
        <f>IF(F1006="Private room",1,0)</f>
        <v>0</v>
      </c>
      <c r="P1006">
        <f>IF(C1006="Manhattan",4,IF(C1006="Brooklyn",2,0))</f>
        <v>4</v>
      </c>
      <c r="Q1006" s="2">
        <v>92</v>
      </c>
      <c r="R1006" s="1">
        <v>45718</v>
      </c>
      <c r="S1006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161.03000000000003</v>
      </c>
    </row>
    <row r="1007" spans="1:19" x14ac:dyDescent="0.3">
      <c r="A1007" t="s">
        <v>1359</v>
      </c>
      <c r="B1007" t="s">
        <v>32</v>
      </c>
      <c r="C1007" t="s">
        <v>20</v>
      </c>
      <c r="D1007" s="3" t="s">
        <v>1360</v>
      </c>
      <c r="E1007">
        <v>-73.964242209746203</v>
      </c>
      <c r="F1007" t="s">
        <v>21</v>
      </c>
      <c r="G1007">
        <v>4</v>
      </c>
      <c r="H1007">
        <v>1</v>
      </c>
      <c r="I1007">
        <v>2</v>
      </c>
      <c r="J1007">
        <v>2</v>
      </c>
      <c r="K1007">
        <v>30</v>
      </c>
      <c r="L1007">
        <v>133</v>
      </c>
      <c r="M1007">
        <v>1</v>
      </c>
      <c r="N1007">
        <v>0.51</v>
      </c>
      <c r="O1007">
        <f>IF(F1007="Private room",1,0)</f>
        <v>0</v>
      </c>
      <c r="P1007">
        <f>IF(C1007="Manhattan",4,IF(C1007="Brooklyn",2,0))</f>
        <v>4</v>
      </c>
      <c r="Q1007" s="2">
        <v>179</v>
      </c>
      <c r="R1007" s="1">
        <v>45721</v>
      </c>
      <c r="S1007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197.35000000000002</v>
      </c>
    </row>
    <row r="1008" spans="1:19" x14ac:dyDescent="0.3">
      <c r="A1008" t="s">
        <v>1356</v>
      </c>
      <c r="B1008" t="s">
        <v>53</v>
      </c>
      <c r="C1008" t="s">
        <v>20</v>
      </c>
      <c r="D1008">
        <v>40.790750000000003</v>
      </c>
      <c r="E1008">
        <v>-73.975930000000005</v>
      </c>
      <c r="F1008" t="s">
        <v>21</v>
      </c>
      <c r="G1008">
        <v>2</v>
      </c>
      <c r="H1008">
        <v>1</v>
      </c>
      <c r="I1008">
        <v>1</v>
      </c>
      <c r="J1008">
        <v>1</v>
      </c>
      <c r="K1008">
        <v>30</v>
      </c>
      <c r="L1008">
        <v>365</v>
      </c>
      <c r="M1008">
        <v>2</v>
      </c>
      <c r="N1008">
        <v>0.67</v>
      </c>
      <c r="O1008">
        <f>IF(F1008="Private room",1,0)</f>
        <v>0</v>
      </c>
      <c r="P1008">
        <f>IF(C1008="Manhattan",4,IF(C1008="Brooklyn",2,0))</f>
        <v>4</v>
      </c>
      <c r="Q1008" s="2">
        <v>150</v>
      </c>
      <c r="R1008" s="1">
        <v>45734</v>
      </c>
      <c r="S1008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150.11000000000001</v>
      </c>
    </row>
    <row r="1009" spans="1:19" x14ac:dyDescent="0.3">
      <c r="A1009" t="s">
        <v>1178</v>
      </c>
      <c r="B1009" t="s">
        <v>85</v>
      </c>
      <c r="C1009" t="s">
        <v>20</v>
      </c>
      <c r="D1009">
        <v>40.719136599999999</v>
      </c>
      <c r="E1009">
        <v>-73.994767299999907</v>
      </c>
      <c r="F1009" t="s">
        <v>21</v>
      </c>
      <c r="G1009">
        <v>2</v>
      </c>
      <c r="H1009">
        <v>1</v>
      </c>
      <c r="I1009">
        <v>0</v>
      </c>
      <c r="J1009">
        <v>1</v>
      </c>
      <c r="K1009">
        <v>30</v>
      </c>
      <c r="L1009">
        <v>270</v>
      </c>
      <c r="M1009">
        <v>1</v>
      </c>
      <c r="N1009">
        <v>0.48</v>
      </c>
      <c r="O1009">
        <f>IF(F1009="Private room",1,0)</f>
        <v>0</v>
      </c>
      <c r="P1009">
        <f>IF(C1009="Manhattan",4,IF(C1009="Brooklyn",2,0))</f>
        <v>4</v>
      </c>
      <c r="Q1009" s="2">
        <v>125</v>
      </c>
      <c r="R1009" s="1">
        <v>45717</v>
      </c>
      <c r="S1009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153.91000000000003</v>
      </c>
    </row>
    <row r="1010" spans="1:19" x14ac:dyDescent="0.3">
      <c r="A1010" t="s">
        <v>1361</v>
      </c>
      <c r="B1010" t="s">
        <v>62</v>
      </c>
      <c r="C1010" t="s">
        <v>20</v>
      </c>
      <c r="D1010" s="3" t="s">
        <v>1362</v>
      </c>
      <c r="E1010">
        <v>-73.991042262565102</v>
      </c>
      <c r="F1010" t="s">
        <v>21</v>
      </c>
      <c r="G1010">
        <v>3</v>
      </c>
      <c r="H1010">
        <v>1</v>
      </c>
      <c r="I1010">
        <v>1</v>
      </c>
      <c r="J1010">
        <v>1</v>
      </c>
      <c r="K1010">
        <v>3</v>
      </c>
      <c r="L1010">
        <v>218</v>
      </c>
      <c r="M1010">
        <v>1</v>
      </c>
      <c r="N1010">
        <v>0.79</v>
      </c>
      <c r="O1010">
        <f>IF(F1010="Private room",1,0)</f>
        <v>0</v>
      </c>
      <c r="P1010">
        <f>IF(C1010="Manhattan",4,IF(C1010="Brooklyn",2,0))</f>
        <v>4</v>
      </c>
      <c r="Q1010" s="2">
        <v>239</v>
      </c>
      <c r="R1010" s="1">
        <v>45741</v>
      </c>
      <c r="S1010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265.42</v>
      </c>
    </row>
    <row r="1011" spans="1:19" x14ac:dyDescent="0.3">
      <c r="A1011" t="s">
        <v>1363</v>
      </c>
      <c r="B1011" t="s">
        <v>94</v>
      </c>
      <c r="C1011" t="s">
        <v>17</v>
      </c>
      <c r="D1011" s="3" t="s">
        <v>1364</v>
      </c>
      <c r="E1011">
        <v>-73.879826840235495</v>
      </c>
      <c r="F1011" t="s">
        <v>21</v>
      </c>
      <c r="G1011">
        <v>2</v>
      </c>
      <c r="H1011">
        <v>1</v>
      </c>
      <c r="I1011">
        <v>0</v>
      </c>
      <c r="J1011">
        <v>1</v>
      </c>
      <c r="K1011">
        <v>30</v>
      </c>
      <c r="L1011">
        <v>264</v>
      </c>
      <c r="M1011">
        <v>1</v>
      </c>
      <c r="N1011">
        <v>0.48</v>
      </c>
      <c r="O1011">
        <f>IF(F1011="Private room",1,0)</f>
        <v>0</v>
      </c>
      <c r="P1011">
        <f>IF(C1011="Manhattan",4,IF(C1011="Brooklyn",2,0))</f>
        <v>2</v>
      </c>
      <c r="Q1011" s="2">
        <v>77</v>
      </c>
      <c r="R1011" s="1">
        <v>45718</v>
      </c>
      <c r="S1011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123.69000000000003</v>
      </c>
    </row>
    <row r="1012" spans="1:19" x14ac:dyDescent="0.3">
      <c r="A1012" t="s">
        <v>1365</v>
      </c>
      <c r="B1012" t="s">
        <v>38</v>
      </c>
      <c r="C1012" t="s">
        <v>20</v>
      </c>
      <c r="D1012">
        <v>40.7611439</v>
      </c>
      <c r="E1012">
        <v>-73.994135299999996</v>
      </c>
      <c r="F1012" t="s">
        <v>21</v>
      </c>
      <c r="G1012">
        <v>3</v>
      </c>
      <c r="H1012">
        <v>1</v>
      </c>
      <c r="I1012">
        <v>1</v>
      </c>
      <c r="J1012">
        <v>1</v>
      </c>
      <c r="K1012">
        <v>30</v>
      </c>
      <c r="L1012">
        <v>274</v>
      </c>
      <c r="M1012">
        <v>1</v>
      </c>
      <c r="N1012">
        <v>0.6</v>
      </c>
      <c r="O1012">
        <f>IF(F1012="Private room",1,0)</f>
        <v>0</v>
      </c>
      <c r="P1012">
        <f>IF(C1012="Manhattan",4,IF(C1012="Brooklyn",2,0))</f>
        <v>4</v>
      </c>
      <c r="Q1012" s="2">
        <v>105</v>
      </c>
      <c r="R1012" s="1">
        <v>45730</v>
      </c>
      <c r="S1012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172.73000000000002</v>
      </c>
    </row>
    <row r="1013" spans="1:19" x14ac:dyDescent="0.3">
      <c r="A1013" t="s">
        <v>1366</v>
      </c>
      <c r="B1013" t="s">
        <v>19</v>
      </c>
      <c r="C1013" t="s">
        <v>20</v>
      </c>
      <c r="D1013" s="3" t="s">
        <v>1367</v>
      </c>
      <c r="E1013">
        <v>-73.987108248895396</v>
      </c>
      <c r="F1013" t="s">
        <v>18</v>
      </c>
      <c r="G1013">
        <v>8</v>
      </c>
      <c r="H1013">
        <v>1</v>
      </c>
      <c r="I1013">
        <v>1</v>
      </c>
      <c r="J1013">
        <v>2</v>
      </c>
      <c r="K1013">
        <v>1</v>
      </c>
      <c r="L1013">
        <v>291</v>
      </c>
      <c r="M1013">
        <v>5</v>
      </c>
      <c r="N1013">
        <v>1.39</v>
      </c>
      <c r="O1013">
        <f>IF(F1013="Private room",1,0)</f>
        <v>1</v>
      </c>
      <c r="P1013">
        <f>IF(C1013="Manhattan",4,IF(C1013="Brooklyn",2,0))</f>
        <v>4</v>
      </c>
      <c r="Q1013" s="2">
        <v>260</v>
      </c>
      <c r="R1013" s="1">
        <v>45739</v>
      </c>
      <c r="S1013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320.80000000000007</v>
      </c>
    </row>
    <row r="1014" spans="1:19" x14ac:dyDescent="0.3">
      <c r="A1014" t="s">
        <v>1368</v>
      </c>
      <c r="B1014" t="s">
        <v>44</v>
      </c>
      <c r="C1014" t="s">
        <v>30</v>
      </c>
      <c r="D1014">
        <v>40.706499999999998</v>
      </c>
      <c r="E1014">
        <v>-73.803319999999999</v>
      </c>
      <c r="F1014" t="s">
        <v>21</v>
      </c>
      <c r="G1014">
        <v>2</v>
      </c>
      <c r="H1014">
        <v>1</v>
      </c>
      <c r="I1014">
        <v>0</v>
      </c>
      <c r="J1014">
        <v>1</v>
      </c>
      <c r="K1014">
        <v>30</v>
      </c>
      <c r="L1014">
        <v>175</v>
      </c>
      <c r="M1014">
        <v>1</v>
      </c>
      <c r="N1014">
        <v>0.51</v>
      </c>
      <c r="O1014">
        <f>IF(F1014="Private room",1,0)</f>
        <v>0</v>
      </c>
      <c r="P1014">
        <f>IF(C1014="Manhattan",4,IF(C1014="Brooklyn",2,0))</f>
        <v>0</v>
      </c>
      <c r="Q1014" s="2">
        <v>151</v>
      </c>
      <c r="R1014" s="1">
        <v>45721</v>
      </c>
      <c r="S1014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96.79000000000002</v>
      </c>
    </row>
    <row r="1015" spans="1:19" x14ac:dyDescent="0.3">
      <c r="A1015" t="s">
        <v>1302</v>
      </c>
      <c r="B1015" t="s">
        <v>111</v>
      </c>
      <c r="C1015" t="s">
        <v>30</v>
      </c>
      <c r="D1015">
        <v>40.761510000000001</v>
      </c>
      <c r="E1015">
        <v>-73.771739999999994</v>
      </c>
      <c r="F1015" t="s">
        <v>21</v>
      </c>
      <c r="G1015">
        <v>2</v>
      </c>
      <c r="H1015">
        <v>1</v>
      </c>
      <c r="I1015">
        <v>1</v>
      </c>
      <c r="J1015">
        <v>1</v>
      </c>
      <c r="K1015">
        <v>30</v>
      </c>
      <c r="L1015">
        <v>289</v>
      </c>
      <c r="M1015">
        <v>1</v>
      </c>
      <c r="N1015">
        <v>0.91</v>
      </c>
      <c r="O1015">
        <f>IF(F1015="Private room",1,0)</f>
        <v>0</v>
      </c>
      <c r="P1015">
        <f>IF(C1015="Manhattan",4,IF(C1015="Brooklyn",2,0))</f>
        <v>0</v>
      </c>
      <c r="Q1015" s="2">
        <v>120</v>
      </c>
      <c r="R1015" s="1">
        <v>45747</v>
      </c>
      <c r="S1015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92.230000000000018</v>
      </c>
    </row>
    <row r="1016" spans="1:19" x14ac:dyDescent="0.3">
      <c r="A1016" t="s">
        <v>1369</v>
      </c>
      <c r="B1016" t="s">
        <v>19</v>
      </c>
      <c r="C1016" t="s">
        <v>20</v>
      </c>
      <c r="D1016">
        <v>40.746180000000003</v>
      </c>
      <c r="E1016">
        <v>-73.988529999999997</v>
      </c>
      <c r="F1016" t="s">
        <v>18</v>
      </c>
      <c r="G1016">
        <v>8</v>
      </c>
      <c r="H1016">
        <v>0</v>
      </c>
      <c r="I1016">
        <v>1</v>
      </c>
      <c r="J1016">
        <v>4</v>
      </c>
      <c r="K1016">
        <v>1</v>
      </c>
      <c r="L1016">
        <v>282</v>
      </c>
      <c r="M1016">
        <v>2</v>
      </c>
      <c r="N1016">
        <v>0.46</v>
      </c>
      <c r="O1016">
        <f>IF(F1016="Private room",1,0)</f>
        <v>1</v>
      </c>
      <c r="P1016">
        <f>IF(C1016="Manhattan",4,IF(C1016="Brooklyn",2,0))</f>
        <v>4</v>
      </c>
      <c r="Q1016" s="2">
        <v>276</v>
      </c>
      <c r="R1016" s="1">
        <v>45718</v>
      </c>
      <c r="S1016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309.94000000000005</v>
      </c>
    </row>
    <row r="1017" spans="1:19" x14ac:dyDescent="0.3">
      <c r="A1017" t="s">
        <v>1178</v>
      </c>
      <c r="B1017" t="s">
        <v>85</v>
      </c>
      <c r="C1017" t="s">
        <v>20</v>
      </c>
      <c r="D1017">
        <v>40.719136599999999</v>
      </c>
      <c r="E1017">
        <v>-73.994767299999907</v>
      </c>
      <c r="F1017" t="s">
        <v>21</v>
      </c>
      <c r="G1017">
        <v>2</v>
      </c>
      <c r="H1017">
        <v>1</v>
      </c>
      <c r="I1017">
        <v>0</v>
      </c>
      <c r="J1017">
        <v>1</v>
      </c>
      <c r="K1017">
        <v>30</v>
      </c>
      <c r="L1017">
        <v>294</v>
      </c>
      <c r="M1017">
        <v>1</v>
      </c>
      <c r="N1017">
        <v>0.48</v>
      </c>
      <c r="O1017">
        <f>IF(F1017="Private room",1,0)</f>
        <v>0</v>
      </c>
      <c r="P1017">
        <f>IF(C1017="Manhattan",4,IF(C1017="Brooklyn",2,0))</f>
        <v>4</v>
      </c>
      <c r="Q1017" s="2">
        <v>120</v>
      </c>
      <c r="R1017" s="1">
        <v>45717</v>
      </c>
      <c r="S1017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152.95000000000002</v>
      </c>
    </row>
    <row r="1018" spans="1:19" x14ac:dyDescent="0.3">
      <c r="A1018" t="s">
        <v>1370</v>
      </c>
      <c r="B1018" t="s">
        <v>40</v>
      </c>
      <c r="C1018" t="s">
        <v>17</v>
      </c>
      <c r="D1018" s="3" t="s">
        <v>1371</v>
      </c>
      <c r="E1018">
        <v>-73.962621466608695</v>
      </c>
      <c r="F1018" t="s">
        <v>18</v>
      </c>
      <c r="G1018">
        <v>2</v>
      </c>
      <c r="H1018">
        <v>1</v>
      </c>
      <c r="I1018">
        <v>1</v>
      </c>
      <c r="J1018">
        <v>1</v>
      </c>
      <c r="K1018">
        <v>1</v>
      </c>
      <c r="L1018">
        <v>346</v>
      </c>
      <c r="M1018">
        <v>3</v>
      </c>
      <c r="N1018">
        <v>1.48</v>
      </c>
      <c r="O1018">
        <f>IF(F1018="Private room",1,0)</f>
        <v>1</v>
      </c>
      <c r="P1018">
        <f>IF(C1018="Manhattan",4,IF(C1018="Brooklyn",2,0))</f>
        <v>2</v>
      </c>
      <c r="Q1018" s="2">
        <v>114</v>
      </c>
      <c r="R1018" s="1">
        <v>45733</v>
      </c>
      <c r="S1018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174.26000000000002</v>
      </c>
    </row>
    <row r="1019" spans="1:19" x14ac:dyDescent="0.3">
      <c r="A1019" t="s">
        <v>1372</v>
      </c>
      <c r="B1019" t="s">
        <v>19</v>
      </c>
      <c r="C1019" t="s">
        <v>20</v>
      </c>
      <c r="D1019">
        <v>40.76473</v>
      </c>
      <c r="E1019">
        <v>-73.982230000000001</v>
      </c>
      <c r="F1019" t="s">
        <v>18</v>
      </c>
      <c r="G1019">
        <v>1</v>
      </c>
      <c r="H1019">
        <v>1</v>
      </c>
      <c r="I1019">
        <v>1</v>
      </c>
      <c r="J1019">
        <v>1</v>
      </c>
      <c r="K1019">
        <v>30</v>
      </c>
      <c r="L1019">
        <v>91</v>
      </c>
      <c r="M1019">
        <v>1</v>
      </c>
      <c r="N1019">
        <v>0.91</v>
      </c>
      <c r="O1019">
        <f>IF(F1019="Private room",1,0)</f>
        <v>1</v>
      </c>
      <c r="P1019">
        <f>IF(C1019="Manhattan",4,IF(C1019="Brooklyn",2,0))</f>
        <v>4</v>
      </c>
      <c r="Q1019" s="2">
        <v>97</v>
      </c>
      <c r="R1019" s="1">
        <v>45747</v>
      </c>
      <c r="S1019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98.79</v>
      </c>
    </row>
    <row r="1020" spans="1:19" x14ac:dyDescent="0.3">
      <c r="A1020" t="s">
        <v>1373</v>
      </c>
      <c r="B1020" t="s">
        <v>251</v>
      </c>
      <c r="C1020" t="s">
        <v>30</v>
      </c>
      <c r="D1020">
        <v>40.6845511</v>
      </c>
      <c r="E1020">
        <v>-73.746996899999999</v>
      </c>
      <c r="F1020" t="s">
        <v>18</v>
      </c>
      <c r="G1020">
        <v>2</v>
      </c>
      <c r="H1020">
        <v>1</v>
      </c>
      <c r="I1020">
        <v>1</v>
      </c>
      <c r="J1020">
        <v>1</v>
      </c>
      <c r="K1020">
        <v>1</v>
      </c>
      <c r="L1020">
        <v>229</v>
      </c>
      <c r="M1020">
        <v>2</v>
      </c>
      <c r="N1020">
        <v>0.87</v>
      </c>
      <c r="O1020">
        <f>IF(F1020="Private room",1,0)</f>
        <v>1</v>
      </c>
      <c r="P1020">
        <f>IF(C1020="Manhattan",4,IF(C1020="Brooklyn",2,0))</f>
        <v>0</v>
      </c>
      <c r="Q1020" s="2">
        <v>80</v>
      </c>
      <c r="R1020" s="1">
        <v>45739</v>
      </c>
      <c r="S1020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148.48000000000002</v>
      </c>
    </row>
    <row r="1021" spans="1:19" x14ac:dyDescent="0.3">
      <c r="A1021" t="s">
        <v>1374</v>
      </c>
      <c r="B1021" t="s">
        <v>65</v>
      </c>
      <c r="C1021" t="s">
        <v>17</v>
      </c>
      <c r="D1021">
        <v>40.687049999999999</v>
      </c>
      <c r="E1021">
        <v>-73.982159999999993</v>
      </c>
      <c r="F1021" t="s">
        <v>21</v>
      </c>
      <c r="G1021">
        <v>2</v>
      </c>
      <c r="H1021">
        <v>1</v>
      </c>
      <c r="I1021">
        <v>1</v>
      </c>
      <c r="J1021">
        <v>1</v>
      </c>
      <c r="K1021">
        <v>30</v>
      </c>
      <c r="L1021">
        <v>120</v>
      </c>
      <c r="M1021">
        <v>1</v>
      </c>
      <c r="N1021">
        <v>0.88</v>
      </c>
      <c r="O1021">
        <f>IF(F1021="Private room",1,0)</f>
        <v>0</v>
      </c>
      <c r="P1021">
        <f>IF(C1021="Manhattan",4,IF(C1021="Brooklyn",2,0))</f>
        <v>2</v>
      </c>
      <c r="Q1021" s="2">
        <v>128</v>
      </c>
      <c r="R1021" s="1">
        <v>45746</v>
      </c>
      <c r="S1021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129.45000000000002</v>
      </c>
    </row>
    <row r="1022" spans="1:19" x14ac:dyDescent="0.3">
      <c r="A1022" t="s">
        <v>1375</v>
      </c>
      <c r="B1022" t="s">
        <v>60</v>
      </c>
      <c r="C1022" t="s">
        <v>17</v>
      </c>
      <c r="D1022">
        <v>40.6509</v>
      </c>
      <c r="E1022">
        <v>-73.912610000000001</v>
      </c>
      <c r="F1022" t="s">
        <v>21</v>
      </c>
      <c r="G1022">
        <v>2</v>
      </c>
      <c r="H1022">
        <v>1</v>
      </c>
      <c r="I1022">
        <v>1</v>
      </c>
      <c r="J1022">
        <v>1</v>
      </c>
      <c r="K1022">
        <v>30</v>
      </c>
      <c r="L1022">
        <v>302</v>
      </c>
      <c r="M1022">
        <v>1</v>
      </c>
      <c r="N1022">
        <v>0.88</v>
      </c>
      <c r="O1022">
        <f>IF(F1022="Private room",1,0)</f>
        <v>0</v>
      </c>
      <c r="P1022">
        <f>IF(C1022="Manhattan",4,IF(C1022="Brooklyn",2,0))</f>
        <v>2</v>
      </c>
      <c r="Q1022" s="2">
        <v>85</v>
      </c>
      <c r="R1022" s="1">
        <v>45746</v>
      </c>
      <c r="S1022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122.17000000000002</v>
      </c>
    </row>
    <row r="1023" spans="1:19" x14ac:dyDescent="0.3">
      <c r="A1023" t="s">
        <v>1376</v>
      </c>
      <c r="B1023" t="s">
        <v>23</v>
      </c>
      <c r="C1023" t="s">
        <v>17</v>
      </c>
      <c r="D1023">
        <v>40.711860000000001</v>
      </c>
      <c r="E1023">
        <v>-73.958240000000004</v>
      </c>
      <c r="F1023" t="s">
        <v>21</v>
      </c>
      <c r="G1023">
        <v>2</v>
      </c>
      <c r="H1023">
        <v>1</v>
      </c>
      <c r="I1023">
        <v>1</v>
      </c>
      <c r="J1023">
        <v>1</v>
      </c>
      <c r="K1023">
        <v>30</v>
      </c>
      <c r="L1023">
        <v>122</v>
      </c>
      <c r="M1023">
        <v>1</v>
      </c>
      <c r="N1023">
        <v>0.71</v>
      </c>
      <c r="O1023">
        <f>IF(F1023="Private room",1,0)</f>
        <v>0</v>
      </c>
      <c r="P1023">
        <f>IF(C1023="Manhattan",4,IF(C1023="Brooklyn",2,0))</f>
        <v>2</v>
      </c>
      <c r="Q1023" s="2">
        <v>184</v>
      </c>
      <c r="R1023" s="1">
        <v>45737</v>
      </c>
      <c r="S1023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129.37000000000003</v>
      </c>
    </row>
    <row r="1024" spans="1:19" x14ac:dyDescent="0.3">
      <c r="A1024" t="s">
        <v>1377</v>
      </c>
      <c r="B1024" t="s">
        <v>67</v>
      </c>
      <c r="C1024" t="s">
        <v>17</v>
      </c>
      <c r="D1024">
        <v>40.689120000000003</v>
      </c>
      <c r="E1024">
        <v>-73.918949999999995</v>
      </c>
      <c r="F1024" t="s">
        <v>21</v>
      </c>
      <c r="G1024">
        <v>2</v>
      </c>
      <c r="H1024">
        <v>1</v>
      </c>
      <c r="I1024">
        <v>2</v>
      </c>
      <c r="J1024">
        <v>1</v>
      </c>
      <c r="K1024">
        <v>30</v>
      </c>
      <c r="L1024">
        <v>123</v>
      </c>
      <c r="M1024">
        <v>1</v>
      </c>
      <c r="N1024">
        <v>0.91</v>
      </c>
      <c r="O1024">
        <f>IF(F1024="Private room",1,0)</f>
        <v>0</v>
      </c>
      <c r="P1024">
        <f>IF(C1024="Manhattan",4,IF(C1024="Brooklyn",2,0))</f>
        <v>2</v>
      </c>
      <c r="Q1024" s="2">
        <v>150</v>
      </c>
      <c r="R1024" s="1">
        <v>45747</v>
      </c>
      <c r="S1024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129.33000000000001</v>
      </c>
    </row>
    <row r="1025" spans="1:19" x14ac:dyDescent="0.3">
      <c r="A1025" t="s">
        <v>1378</v>
      </c>
      <c r="B1025" t="s">
        <v>101</v>
      </c>
      <c r="C1025" t="s">
        <v>30</v>
      </c>
      <c r="D1025">
        <v>40.760689999999997</v>
      </c>
      <c r="E1025">
        <v>-73.872950000000003</v>
      </c>
      <c r="F1025" t="s">
        <v>18</v>
      </c>
      <c r="G1025">
        <v>2</v>
      </c>
      <c r="H1025">
        <v>1</v>
      </c>
      <c r="I1025">
        <v>1</v>
      </c>
      <c r="J1025">
        <v>1</v>
      </c>
      <c r="K1025">
        <v>1</v>
      </c>
      <c r="L1025">
        <v>350</v>
      </c>
      <c r="M1025">
        <v>1</v>
      </c>
      <c r="N1025">
        <v>0.65</v>
      </c>
      <c r="O1025">
        <f>IF(F1025="Private room",1,0)</f>
        <v>1</v>
      </c>
      <c r="P1025">
        <f>IF(C1025="Manhattan",4,IF(C1025="Brooklyn",2,0))</f>
        <v>0</v>
      </c>
      <c r="Q1025" s="2">
        <v>89</v>
      </c>
      <c r="R1025" s="1">
        <v>45734</v>
      </c>
      <c r="S1025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143.64000000000004</v>
      </c>
    </row>
    <row r="1026" spans="1:19" x14ac:dyDescent="0.3">
      <c r="A1026" t="s">
        <v>1379</v>
      </c>
      <c r="B1026" t="s">
        <v>42</v>
      </c>
      <c r="C1026" t="s">
        <v>17</v>
      </c>
      <c r="D1026" s="3" t="s">
        <v>1380</v>
      </c>
      <c r="E1026">
        <v>-73.945246229955202</v>
      </c>
      <c r="F1026" t="s">
        <v>21</v>
      </c>
      <c r="G1026">
        <v>2</v>
      </c>
      <c r="H1026">
        <v>1</v>
      </c>
      <c r="I1026">
        <v>1</v>
      </c>
      <c r="J1026">
        <v>2</v>
      </c>
      <c r="K1026">
        <v>30</v>
      </c>
      <c r="L1026">
        <v>169</v>
      </c>
      <c r="M1026">
        <v>1</v>
      </c>
      <c r="N1026">
        <v>0.94</v>
      </c>
      <c r="O1026">
        <f>IF(F1026="Private room",1,0)</f>
        <v>0</v>
      </c>
      <c r="P1026">
        <f>IF(C1026="Manhattan",4,IF(C1026="Brooklyn",2,0))</f>
        <v>2</v>
      </c>
      <c r="Q1026" s="2">
        <v>100</v>
      </c>
      <c r="R1026" s="1">
        <v>45747</v>
      </c>
      <c r="S1026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127.49000000000001</v>
      </c>
    </row>
    <row r="1027" spans="1:19" x14ac:dyDescent="0.3">
      <c r="A1027" t="s">
        <v>1381</v>
      </c>
      <c r="B1027" t="s">
        <v>273</v>
      </c>
      <c r="C1027" t="s">
        <v>30</v>
      </c>
      <c r="D1027" s="3" t="s">
        <v>1382</v>
      </c>
      <c r="E1027">
        <v>-73.7266455386644</v>
      </c>
      <c r="F1027" t="s">
        <v>21</v>
      </c>
      <c r="G1027">
        <v>2</v>
      </c>
      <c r="H1027">
        <v>1</v>
      </c>
      <c r="I1027">
        <v>0</v>
      </c>
      <c r="J1027">
        <v>1</v>
      </c>
      <c r="K1027">
        <v>5</v>
      </c>
      <c r="L1027">
        <v>322</v>
      </c>
      <c r="M1027">
        <v>1</v>
      </c>
      <c r="N1027">
        <v>0.88</v>
      </c>
      <c r="O1027">
        <f>IF(F1027="Private room",1,0)</f>
        <v>0</v>
      </c>
      <c r="P1027">
        <f>IF(C1027="Manhattan",4,IF(C1027="Brooklyn",2,0))</f>
        <v>0</v>
      </c>
      <c r="Q1027" s="2">
        <v>90</v>
      </c>
      <c r="R1027" s="1">
        <v>45746</v>
      </c>
      <c r="S1027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174.66000000000003</v>
      </c>
    </row>
    <row r="1028" spans="1:19" x14ac:dyDescent="0.3">
      <c r="A1028" t="s">
        <v>1383</v>
      </c>
      <c r="B1028" t="s">
        <v>37</v>
      </c>
      <c r="C1028" t="s">
        <v>30</v>
      </c>
      <c r="D1028" s="3" t="s">
        <v>1384</v>
      </c>
      <c r="E1028">
        <v>-73.906062413795794</v>
      </c>
      <c r="F1028" t="s">
        <v>21</v>
      </c>
      <c r="G1028">
        <v>4</v>
      </c>
      <c r="H1028">
        <v>1</v>
      </c>
      <c r="I1028">
        <v>2</v>
      </c>
      <c r="J1028">
        <v>2</v>
      </c>
      <c r="K1028">
        <v>30</v>
      </c>
      <c r="L1028">
        <v>265</v>
      </c>
      <c r="M1028">
        <v>1</v>
      </c>
      <c r="N1028">
        <v>0.88</v>
      </c>
      <c r="O1028">
        <f>IF(F1028="Private room",1,0)</f>
        <v>0</v>
      </c>
      <c r="P1028">
        <f>IF(C1028="Manhattan",4,IF(C1028="Brooklyn",2,0))</f>
        <v>0</v>
      </c>
      <c r="Q1028" s="2">
        <v>141</v>
      </c>
      <c r="R1028" s="1">
        <v>45746</v>
      </c>
      <c r="S1028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131.15000000000003</v>
      </c>
    </row>
    <row r="1029" spans="1:19" x14ac:dyDescent="0.3">
      <c r="A1029" t="s">
        <v>1385</v>
      </c>
      <c r="B1029" t="s">
        <v>83</v>
      </c>
      <c r="C1029" t="s">
        <v>20</v>
      </c>
      <c r="D1029">
        <v>40.868087299999999</v>
      </c>
      <c r="E1029">
        <v>-73.924474799999999</v>
      </c>
      <c r="F1029" t="s">
        <v>21</v>
      </c>
      <c r="G1029">
        <v>2</v>
      </c>
      <c r="H1029">
        <v>1</v>
      </c>
      <c r="I1029">
        <v>1</v>
      </c>
      <c r="J1029">
        <v>2</v>
      </c>
      <c r="K1029">
        <v>30</v>
      </c>
      <c r="L1029">
        <v>349</v>
      </c>
      <c r="M1029">
        <v>1</v>
      </c>
      <c r="N1029">
        <v>0.64</v>
      </c>
      <c r="O1029">
        <f>IF(F1029="Private room",1,0)</f>
        <v>0</v>
      </c>
      <c r="P1029">
        <f>IF(C1029="Manhattan",4,IF(C1029="Brooklyn",2,0))</f>
        <v>4</v>
      </c>
      <c r="Q1029" s="2">
        <v>103</v>
      </c>
      <c r="R1029" s="1">
        <v>45733</v>
      </c>
      <c r="S1029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150.75</v>
      </c>
    </row>
    <row r="1030" spans="1:19" x14ac:dyDescent="0.3">
      <c r="A1030" t="s">
        <v>1386</v>
      </c>
      <c r="B1030" t="s">
        <v>38</v>
      </c>
      <c r="C1030" t="s">
        <v>20</v>
      </c>
      <c r="D1030">
        <v>40.759671300000001</v>
      </c>
      <c r="E1030">
        <v>-73.990988899999905</v>
      </c>
      <c r="F1030" t="s">
        <v>21</v>
      </c>
      <c r="G1030">
        <v>1</v>
      </c>
      <c r="H1030">
        <v>1</v>
      </c>
      <c r="I1030">
        <v>1</v>
      </c>
      <c r="J1030">
        <v>1</v>
      </c>
      <c r="K1030">
        <v>30</v>
      </c>
      <c r="L1030">
        <v>268</v>
      </c>
      <c r="M1030">
        <v>1</v>
      </c>
      <c r="N1030">
        <v>0.56000000000000005</v>
      </c>
      <c r="O1030">
        <f>IF(F1030="Private room",1,0)</f>
        <v>0</v>
      </c>
      <c r="P1030">
        <f>IF(C1030="Manhattan",4,IF(C1030="Brooklyn",2,0))</f>
        <v>4</v>
      </c>
      <c r="Q1030" s="2">
        <v>53</v>
      </c>
      <c r="R1030" s="1">
        <v>45726</v>
      </c>
      <c r="S1030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135.01</v>
      </c>
    </row>
    <row r="1031" spans="1:19" x14ac:dyDescent="0.3">
      <c r="A1031" t="s">
        <v>1387</v>
      </c>
      <c r="B1031" t="s">
        <v>27</v>
      </c>
      <c r="C1031" t="s">
        <v>17</v>
      </c>
      <c r="D1031">
        <v>40.680039999999998</v>
      </c>
      <c r="E1031">
        <v>-73.941800000000001</v>
      </c>
      <c r="F1031" t="s">
        <v>18</v>
      </c>
      <c r="G1031">
        <v>6</v>
      </c>
      <c r="H1031">
        <v>3</v>
      </c>
      <c r="I1031">
        <v>3</v>
      </c>
      <c r="J1031">
        <v>3</v>
      </c>
      <c r="K1031">
        <v>30</v>
      </c>
      <c r="L1031">
        <v>326</v>
      </c>
      <c r="M1031">
        <v>1</v>
      </c>
      <c r="N1031">
        <v>0.91</v>
      </c>
      <c r="O1031">
        <f>IF(F1031="Private room",1,0)</f>
        <v>1</v>
      </c>
      <c r="P1031">
        <f>IF(C1031="Manhattan",4,IF(C1031="Brooklyn",2,0))</f>
        <v>2</v>
      </c>
      <c r="Q1031" s="2">
        <v>292</v>
      </c>
      <c r="R1031" s="1">
        <v>45746</v>
      </c>
      <c r="S1031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176.27000000000007</v>
      </c>
    </row>
    <row r="1032" spans="1:19" x14ac:dyDescent="0.3">
      <c r="A1032" t="s">
        <v>1388</v>
      </c>
      <c r="B1032" t="s">
        <v>36</v>
      </c>
      <c r="C1032" t="s">
        <v>20</v>
      </c>
      <c r="D1032">
        <v>40.765320000000003</v>
      </c>
      <c r="E1032">
        <v>-73.969740000000002</v>
      </c>
      <c r="F1032" t="s">
        <v>21</v>
      </c>
      <c r="G1032">
        <v>4</v>
      </c>
      <c r="H1032">
        <v>1</v>
      </c>
      <c r="I1032">
        <v>0</v>
      </c>
      <c r="J1032">
        <v>2</v>
      </c>
      <c r="K1032">
        <v>30</v>
      </c>
      <c r="L1032">
        <v>126</v>
      </c>
      <c r="M1032">
        <v>1</v>
      </c>
      <c r="N1032">
        <v>0.73</v>
      </c>
      <c r="O1032">
        <f>IF(F1032="Private room",1,0)</f>
        <v>0</v>
      </c>
      <c r="P1032">
        <f>IF(C1032="Manhattan",4,IF(C1032="Brooklyn",2,0))</f>
        <v>4</v>
      </c>
      <c r="Q1032" s="2">
        <v>92</v>
      </c>
      <c r="R1032" s="1">
        <v>45738</v>
      </c>
      <c r="S1032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197.63000000000005</v>
      </c>
    </row>
    <row r="1033" spans="1:19" x14ac:dyDescent="0.3">
      <c r="A1033" t="s">
        <v>1389</v>
      </c>
      <c r="B1033" t="s">
        <v>62</v>
      </c>
      <c r="C1033" t="s">
        <v>20</v>
      </c>
      <c r="D1033">
        <v>40.714604420672799</v>
      </c>
      <c r="E1033">
        <v>-73.991059765557907</v>
      </c>
      <c r="F1033" t="s">
        <v>18</v>
      </c>
      <c r="G1033">
        <v>1</v>
      </c>
      <c r="H1033">
        <v>2</v>
      </c>
      <c r="I1033">
        <v>1</v>
      </c>
      <c r="J1033">
        <v>1</v>
      </c>
      <c r="K1033">
        <v>30</v>
      </c>
      <c r="L1033">
        <v>338</v>
      </c>
      <c r="M1033">
        <v>1</v>
      </c>
      <c r="N1033">
        <v>0.77</v>
      </c>
      <c r="O1033">
        <f>IF(F1033="Private room",1,0)</f>
        <v>1</v>
      </c>
      <c r="P1033">
        <f>IF(C1033="Manhattan",4,IF(C1033="Brooklyn",2,0))</f>
        <v>4</v>
      </c>
      <c r="Q1033" s="2">
        <v>68</v>
      </c>
      <c r="R1033" s="1">
        <v>45740</v>
      </c>
      <c r="S1033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100.13000000000001</v>
      </c>
    </row>
    <row r="1034" spans="1:19" x14ac:dyDescent="0.3">
      <c r="A1034" t="s">
        <v>1390</v>
      </c>
      <c r="B1034" t="s">
        <v>67</v>
      </c>
      <c r="C1034" t="s">
        <v>17</v>
      </c>
      <c r="D1034">
        <v>40.695632699999997</v>
      </c>
      <c r="E1034">
        <v>-73.930981699999904</v>
      </c>
      <c r="F1034" t="s">
        <v>21</v>
      </c>
      <c r="G1034">
        <v>2</v>
      </c>
      <c r="H1034">
        <v>1.5</v>
      </c>
      <c r="I1034">
        <v>1</v>
      </c>
      <c r="J1034">
        <v>1</v>
      </c>
      <c r="K1034">
        <v>30</v>
      </c>
      <c r="L1034">
        <v>308</v>
      </c>
      <c r="M1034">
        <v>1</v>
      </c>
      <c r="N1034">
        <v>0.86</v>
      </c>
      <c r="O1034">
        <f>IF(F1034="Private room",1,0)</f>
        <v>0</v>
      </c>
      <c r="P1034">
        <f>IF(C1034="Manhattan",4,IF(C1034="Brooklyn",2,0))</f>
        <v>2</v>
      </c>
      <c r="Q1034" s="2">
        <v>115</v>
      </c>
      <c r="R1034" s="1">
        <v>45744</v>
      </c>
      <c r="S1034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127.54000000000005</v>
      </c>
    </row>
    <row r="1035" spans="1:19" x14ac:dyDescent="0.3">
      <c r="A1035" t="s">
        <v>1391</v>
      </c>
      <c r="B1035" t="s">
        <v>45</v>
      </c>
      <c r="C1035" t="s">
        <v>20</v>
      </c>
      <c r="D1035">
        <v>40.750565999999999</v>
      </c>
      <c r="E1035">
        <v>-73.996878999999893</v>
      </c>
      <c r="F1035" t="s">
        <v>21</v>
      </c>
      <c r="G1035">
        <v>1</v>
      </c>
      <c r="H1035">
        <v>1</v>
      </c>
      <c r="I1035">
        <v>1</v>
      </c>
      <c r="J1035">
        <v>1</v>
      </c>
      <c r="K1035">
        <v>30</v>
      </c>
      <c r="L1035">
        <v>153</v>
      </c>
      <c r="M1035">
        <v>1</v>
      </c>
      <c r="N1035">
        <v>0.79</v>
      </c>
      <c r="O1035">
        <f>IF(F1035="Private room",1,0)</f>
        <v>0</v>
      </c>
      <c r="P1035">
        <f>IF(C1035="Manhattan",4,IF(C1035="Brooklyn",2,0))</f>
        <v>4</v>
      </c>
      <c r="Q1035" s="2">
        <v>53</v>
      </c>
      <c r="R1035" s="1">
        <v>45741</v>
      </c>
      <c r="S1035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139.61000000000001</v>
      </c>
    </row>
    <row r="1036" spans="1:19" x14ac:dyDescent="0.3">
      <c r="A1036" t="s">
        <v>1392</v>
      </c>
      <c r="B1036" t="s">
        <v>84</v>
      </c>
      <c r="C1036" t="s">
        <v>17</v>
      </c>
      <c r="D1036" s="3" t="s">
        <v>1393</v>
      </c>
      <c r="E1036">
        <v>-73.960965752682</v>
      </c>
      <c r="F1036" t="s">
        <v>21</v>
      </c>
      <c r="G1036">
        <v>6</v>
      </c>
      <c r="H1036">
        <v>1</v>
      </c>
      <c r="I1036">
        <v>2</v>
      </c>
      <c r="J1036">
        <v>3</v>
      </c>
      <c r="K1036">
        <v>30</v>
      </c>
      <c r="L1036">
        <v>288</v>
      </c>
      <c r="M1036">
        <v>1</v>
      </c>
      <c r="N1036">
        <v>0.79</v>
      </c>
      <c r="O1036">
        <f>IF(F1036="Private room",1,0)</f>
        <v>0</v>
      </c>
      <c r="P1036">
        <f>IF(C1036="Manhattan",4,IF(C1036="Brooklyn",2,0))</f>
        <v>2</v>
      </c>
      <c r="Q1036" s="2">
        <v>108</v>
      </c>
      <c r="R1036" s="1">
        <v>45741</v>
      </c>
      <c r="S1036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198.65000000000003</v>
      </c>
    </row>
    <row r="1037" spans="1:19" x14ac:dyDescent="0.3">
      <c r="A1037" t="s">
        <v>1394</v>
      </c>
      <c r="B1037" t="s">
        <v>196</v>
      </c>
      <c r="C1037" t="s">
        <v>17</v>
      </c>
      <c r="D1037" s="3" t="s">
        <v>1395</v>
      </c>
      <c r="E1037">
        <v>-73.8764532500592</v>
      </c>
      <c r="F1037" t="s">
        <v>21</v>
      </c>
      <c r="G1037">
        <v>2</v>
      </c>
      <c r="H1037">
        <v>1</v>
      </c>
      <c r="I1037">
        <v>1</v>
      </c>
      <c r="J1037">
        <v>1</v>
      </c>
      <c r="K1037">
        <v>30</v>
      </c>
      <c r="L1037">
        <v>292</v>
      </c>
      <c r="M1037">
        <v>1</v>
      </c>
      <c r="N1037">
        <v>0.91</v>
      </c>
      <c r="O1037">
        <f>IF(F1037="Private room",1,0)</f>
        <v>0</v>
      </c>
      <c r="P1037">
        <f>IF(C1037="Manhattan",4,IF(C1037="Brooklyn",2,0))</f>
        <v>2</v>
      </c>
      <c r="Q1037" s="2">
        <v>70</v>
      </c>
      <c r="R1037" s="1">
        <v>45747</v>
      </c>
      <c r="S1037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122.57000000000002</v>
      </c>
    </row>
    <row r="1038" spans="1:19" x14ac:dyDescent="0.3">
      <c r="A1038" t="s">
        <v>1396</v>
      </c>
      <c r="B1038" t="s">
        <v>149</v>
      </c>
      <c r="C1038" t="s">
        <v>30</v>
      </c>
      <c r="D1038" s="3" t="s">
        <v>1397</v>
      </c>
      <c r="E1038">
        <v>-73.851520983827697</v>
      </c>
      <c r="F1038" t="s">
        <v>21</v>
      </c>
      <c r="G1038">
        <v>2</v>
      </c>
      <c r="H1038">
        <v>1</v>
      </c>
      <c r="I1038">
        <v>1</v>
      </c>
      <c r="J1038">
        <v>1</v>
      </c>
      <c r="K1038">
        <v>30</v>
      </c>
      <c r="L1038">
        <v>150</v>
      </c>
      <c r="M1038">
        <v>1</v>
      </c>
      <c r="N1038">
        <v>0.86</v>
      </c>
      <c r="O1038">
        <f>IF(F1038="Private room",1,0)</f>
        <v>0</v>
      </c>
      <c r="P1038">
        <f>IF(C1038="Manhattan",4,IF(C1038="Brooklyn",2,0))</f>
        <v>0</v>
      </c>
      <c r="Q1038" s="2">
        <v>250</v>
      </c>
      <c r="R1038" s="1">
        <v>45745</v>
      </c>
      <c r="S1038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97.79000000000002</v>
      </c>
    </row>
    <row r="1039" spans="1:19" x14ac:dyDescent="0.3">
      <c r="A1039" t="s">
        <v>1398</v>
      </c>
      <c r="B1039" t="s">
        <v>295</v>
      </c>
      <c r="C1039" t="s">
        <v>31</v>
      </c>
      <c r="D1039" s="3" t="s">
        <v>1399</v>
      </c>
      <c r="E1039">
        <v>-73.840800114388799</v>
      </c>
      <c r="F1039" t="s">
        <v>18</v>
      </c>
      <c r="G1039">
        <v>2</v>
      </c>
      <c r="H1039">
        <v>2</v>
      </c>
      <c r="I1039">
        <v>1</v>
      </c>
      <c r="J1039">
        <v>1</v>
      </c>
      <c r="K1039">
        <v>30</v>
      </c>
      <c r="L1039">
        <v>336</v>
      </c>
      <c r="M1039">
        <v>1</v>
      </c>
      <c r="N1039">
        <v>0.91</v>
      </c>
      <c r="O1039">
        <f>IF(F1039="Private room",1,0)</f>
        <v>1</v>
      </c>
      <c r="P1039">
        <f>IF(C1039="Manhattan",4,IF(C1039="Brooklyn",2,0))</f>
        <v>0</v>
      </c>
      <c r="Q1039" s="2">
        <v>50</v>
      </c>
      <c r="R1039" s="1">
        <v>45747</v>
      </c>
      <c r="S1039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58.270000000000024</v>
      </c>
    </row>
    <row r="1040" spans="1:19" x14ac:dyDescent="0.3">
      <c r="A1040" t="s">
        <v>1400</v>
      </c>
      <c r="B1040" t="s">
        <v>19</v>
      </c>
      <c r="C1040" t="s">
        <v>20</v>
      </c>
      <c r="D1040">
        <v>40.747321900000003</v>
      </c>
      <c r="E1040">
        <v>-73.988025999999905</v>
      </c>
      <c r="F1040" t="s">
        <v>21</v>
      </c>
      <c r="G1040">
        <v>6</v>
      </c>
      <c r="H1040">
        <v>1</v>
      </c>
      <c r="I1040">
        <v>1</v>
      </c>
      <c r="J1040">
        <v>6</v>
      </c>
      <c r="K1040">
        <v>5</v>
      </c>
      <c r="L1040">
        <v>222</v>
      </c>
      <c r="M1040">
        <v>1</v>
      </c>
      <c r="N1040">
        <v>0.52</v>
      </c>
      <c r="O1040">
        <f>IF(F1040="Private room",1,0)</f>
        <v>0</v>
      </c>
      <c r="P1040">
        <f>IF(C1040="Manhattan",4,IF(C1040="Brooklyn",2,0))</f>
        <v>4</v>
      </c>
      <c r="Q1040" s="2">
        <v>354</v>
      </c>
      <c r="R1040" s="1">
        <v>45721</v>
      </c>
      <c r="S1040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315.50000000000006</v>
      </c>
    </row>
    <row r="1041" spans="1:19" x14ac:dyDescent="0.3">
      <c r="A1041" t="s">
        <v>1401</v>
      </c>
      <c r="B1041" t="s">
        <v>72</v>
      </c>
      <c r="C1041" t="s">
        <v>20</v>
      </c>
      <c r="D1041">
        <v>40.734738200000002</v>
      </c>
      <c r="E1041">
        <v>-73.986961499999893</v>
      </c>
      <c r="F1041" t="s">
        <v>21</v>
      </c>
      <c r="G1041">
        <v>2</v>
      </c>
      <c r="H1041">
        <v>1</v>
      </c>
      <c r="I1041">
        <v>1</v>
      </c>
      <c r="J1041">
        <v>3</v>
      </c>
      <c r="K1041">
        <v>1</v>
      </c>
      <c r="L1041">
        <v>52</v>
      </c>
      <c r="M1041">
        <v>2</v>
      </c>
      <c r="N1041">
        <v>1.22</v>
      </c>
      <c r="O1041">
        <f>IF(F1041="Private room",1,0)</f>
        <v>0</v>
      </c>
      <c r="P1041">
        <f>IF(C1041="Manhattan",4,IF(C1041="Brooklyn",2,0))</f>
        <v>4</v>
      </c>
      <c r="Q1041" s="2">
        <v>104</v>
      </c>
      <c r="R1041" s="1">
        <v>45739</v>
      </c>
      <c r="S1041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259.78000000000003</v>
      </c>
    </row>
    <row r="1042" spans="1:19" x14ac:dyDescent="0.3">
      <c r="A1042" t="s">
        <v>1402</v>
      </c>
      <c r="B1042" t="s">
        <v>49</v>
      </c>
      <c r="C1042" t="s">
        <v>20</v>
      </c>
      <c r="D1042">
        <v>40.740951000000003</v>
      </c>
      <c r="E1042">
        <v>-73.983440000000002</v>
      </c>
      <c r="F1042" t="s">
        <v>18</v>
      </c>
      <c r="G1042">
        <v>2</v>
      </c>
      <c r="H1042">
        <v>1</v>
      </c>
      <c r="I1042">
        <v>1</v>
      </c>
      <c r="J1042">
        <v>1</v>
      </c>
      <c r="K1042">
        <v>1</v>
      </c>
      <c r="L1042">
        <v>91</v>
      </c>
      <c r="M1042">
        <v>1</v>
      </c>
      <c r="N1042">
        <v>0.56000000000000005</v>
      </c>
      <c r="O1042">
        <f>IF(F1042="Private room",1,0)</f>
        <v>1</v>
      </c>
      <c r="P1042">
        <f>IF(C1042="Manhattan",4,IF(C1042="Brooklyn",2,0))</f>
        <v>4</v>
      </c>
      <c r="Q1042" s="2">
        <v>274</v>
      </c>
      <c r="R1042" s="1">
        <v>45726</v>
      </c>
      <c r="S1042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214.92000000000007</v>
      </c>
    </row>
    <row r="1043" spans="1:19" x14ac:dyDescent="0.3">
      <c r="A1043" t="s">
        <v>1403</v>
      </c>
      <c r="B1043" t="s">
        <v>43</v>
      </c>
      <c r="C1043" t="s">
        <v>20</v>
      </c>
      <c r="D1043" s="3" t="s">
        <v>1404</v>
      </c>
      <c r="E1043">
        <v>-73.990166675817505</v>
      </c>
      <c r="F1043" t="s">
        <v>18</v>
      </c>
      <c r="G1043">
        <v>4</v>
      </c>
      <c r="H1043">
        <v>1</v>
      </c>
      <c r="I1043">
        <v>0</v>
      </c>
      <c r="J1043">
        <v>2</v>
      </c>
      <c r="K1043">
        <v>1</v>
      </c>
      <c r="L1043">
        <v>66</v>
      </c>
      <c r="M1043">
        <v>1</v>
      </c>
      <c r="N1043">
        <v>0.83</v>
      </c>
      <c r="O1043">
        <f>IF(F1043="Private room",1,0)</f>
        <v>1</v>
      </c>
      <c r="P1043">
        <f>IF(C1043="Manhattan",4,IF(C1043="Brooklyn",2,0))</f>
        <v>4</v>
      </c>
      <c r="Q1043" s="2">
        <v>359</v>
      </c>
      <c r="R1043" s="1">
        <v>45744</v>
      </c>
      <c r="S1043">
        <f>155.11+(18.98*Table95[[#This Row],[Accommodates]])+(11.22*Table95[[#This Row],[Bathrooms]])-(3.35*Table95[[#This Row],[Minimum Nights]])-(0.04*Table95[[#This Row],[Availability 365]])-(43.3*Table95[[#This Row],[Room]])+(15.23*Table95[[#This Row],[Borough]])</f>
        <v>253.88000000000005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1C23A-C644-4F6F-8046-0E10F9A76135}">
  <dimension ref="A1:Q1043"/>
  <sheetViews>
    <sheetView zoomScale="91" zoomScaleNormal="91" workbookViewId="0">
      <selection activeCell="D1" sqref="D1"/>
    </sheetView>
  </sheetViews>
  <sheetFormatPr defaultRowHeight="14.4" x14ac:dyDescent="0.3"/>
  <cols>
    <col min="1" max="1" width="7.88671875" bestFit="1" customWidth="1"/>
    <col min="2" max="2" width="12.88671875" bestFit="1" customWidth="1"/>
    <col min="3" max="3" width="10.77734375" bestFit="1" customWidth="1"/>
    <col min="4" max="4" width="8.21875" bestFit="1" customWidth="1"/>
    <col min="5" max="5" width="16.5546875" bestFit="1" customWidth="1"/>
    <col min="6" max="6" width="17.5546875" bestFit="1" customWidth="1"/>
    <col min="7" max="7" width="17.109375" bestFit="1" customWidth="1"/>
    <col min="8" max="8" width="12.33203125" customWidth="1"/>
    <col min="9" max="9" width="16.5546875" bestFit="1" customWidth="1"/>
    <col min="10" max="10" width="12.6640625" bestFit="1" customWidth="1"/>
    <col min="11" max="11" width="13.21875" bestFit="1" customWidth="1"/>
    <col min="12" max="12" width="12.6640625" bestFit="1" customWidth="1"/>
    <col min="13" max="13" width="12.109375" bestFit="1" customWidth="1"/>
    <col min="14" max="14" width="12.77734375" bestFit="1" customWidth="1"/>
    <col min="15" max="17" width="12.6640625" bestFit="1" customWidth="1"/>
  </cols>
  <sheetData>
    <row r="1" spans="1:14" x14ac:dyDescent="0.3">
      <c r="A1" t="s">
        <v>1407</v>
      </c>
      <c r="B1" t="s">
        <v>1422</v>
      </c>
      <c r="C1" t="s">
        <v>1423</v>
      </c>
      <c r="D1" t="s">
        <v>1424</v>
      </c>
      <c r="E1" t="s">
        <v>11</v>
      </c>
      <c r="F1" t="s">
        <v>10</v>
      </c>
      <c r="G1" t="s">
        <v>6</v>
      </c>
    </row>
    <row r="2" spans="1:14" x14ac:dyDescent="0.3">
      <c r="A2">
        <v>59</v>
      </c>
      <c r="B2">
        <v>1</v>
      </c>
      <c r="C2">
        <v>4</v>
      </c>
      <c r="D2">
        <v>1</v>
      </c>
      <c r="E2">
        <v>209</v>
      </c>
      <c r="F2">
        <v>30</v>
      </c>
      <c r="G2">
        <v>1</v>
      </c>
      <c r="I2" t="s">
        <v>1427</v>
      </c>
    </row>
    <row r="3" spans="1:14" ht="15" thickBot="1" x14ac:dyDescent="0.35">
      <c r="A3">
        <v>85</v>
      </c>
      <c r="B3">
        <v>1</v>
      </c>
      <c r="C3">
        <v>2</v>
      </c>
      <c r="D3">
        <v>1</v>
      </c>
      <c r="E3">
        <v>211</v>
      </c>
      <c r="F3">
        <v>30</v>
      </c>
      <c r="G3">
        <v>2</v>
      </c>
    </row>
    <row r="4" spans="1:14" x14ac:dyDescent="0.3">
      <c r="A4">
        <v>90</v>
      </c>
      <c r="B4">
        <v>1</v>
      </c>
      <c r="C4">
        <v>2</v>
      </c>
      <c r="D4">
        <v>1</v>
      </c>
      <c r="E4">
        <v>182</v>
      </c>
      <c r="F4">
        <v>30</v>
      </c>
      <c r="G4">
        <v>2</v>
      </c>
      <c r="I4" s="6" t="s">
        <v>1428</v>
      </c>
      <c r="J4" s="6"/>
    </row>
    <row r="5" spans="1:14" x14ac:dyDescent="0.3">
      <c r="A5">
        <v>116</v>
      </c>
      <c r="B5">
        <v>1</v>
      </c>
      <c r="C5">
        <v>4</v>
      </c>
      <c r="D5">
        <v>0</v>
      </c>
      <c r="E5">
        <v>244</v>
      </c>
      <c r="F5">
        <v>30</v>
      </c>
      <c r="G5">
        <v>2</v>
      </c>
      <c r="I5" t="s">
        <v>1429</v>
      </c>
      <c r="J5">
        <v>0.68441269723998499</v>
      </c>
    </row>
    <row r="6" spans="1:14" x14ac:dyDescent="0.3">
      <c r="A6">
        <v>60</v>
      </c>
      <c r="B6">
        <v>1.5</v>
      </c>
      <c r="C6">
        <v>4</v>
      </c>
      <c r="D6">
        <v>1</v>
      </c>
      <c r="E6">
        <v>59</v>
      </c>
      <c r="F6">
        <v>30</v>
      </c>
      <c r="G6">
        <v>2</v>
      </c>
      <c r="I6" t="s">
        <v>1430</v>
      </c>
      <c r="J6">
        <v>0.46842074014331131</v>
      </c>
    </row>
    <row r="7" spans="1:14" x14ac:dyDescent="0.3">
      <c r="A7">
        <v>195</v>
      </c>
      <c r="B7">
        <v>1</v>
      </c>
      <c r="C7">
        <v>2</v>
      </c>
      <c r="D7">
        <v>0</v>
      </c>
      <c r="E7">
        <v>191</v>
      </c>
      <c r="F7">
        <v>30</v>
      </c>
      <c r="G7">
        <v>2</v>
      </c>
      <c r="I7" t="s">
        <v>1431</v>
      </c>
      <c r="J7" s="8">
        <v>0.4653391212455914</v>
      </c>
    </row>
    <row r="8" spans="1:14" x14ac:dyDescent="0.3">
      <c r="A8">
        <v>336</v>
      </c>
      <c r="B8">
        <v>2.5</v>
      </c>
      <c r="C8">
        <v>2</v>
      </c>
      <c r="D8">
        <v>1</v>
      </c>
      <c r="E8">
        <v>55</v>
      </c>
      <c r="F8">
        <v>2</v>
      </c>
      <c r="G8">
        <v>4</v>
      </c>
      <c r="I8" t="s">
        <v>1409</v>
      </c>
      <c r="J8">
        <v>64.312950992493072</v>
      </c>
    </row>
    <row r="9" spans="1:14" ht="15" thickBot="1" x14ac:dyDescent="0.35">
      <c r="A9">
        <v>246</v>
      </c>
      <c r="B9">
        <v>1</v>
      </c>
      <c r="C9">
        <v>4</v>
      </c>
      <c r="D9">
        <v>0</v>
      </c>
      <c r="E9">
        <v>99</v>
      </c>
      <c r="F9">
        <v>30</v>
      </c>
      <c r="G9">
        <v>2</v>
      </c>
      <c r="I9" s="4" t="s">
        <v>1432</v>
      </c>
      <c r="J9" s="4">
        <v>1042</v>
      </c>
    </row>
    <row r="10" spans="1:14" x14ac:dyDescent="0.3">
      <c r="A10">
        <v>130</v>
      </c>
      <c r="B10">
        <v>1</v>
      </c>
      <c r="C10">
        <v>4</v>
      </c>
      <c r="D10">
        <v>0</v>
      </c>
      <c r="E10">
        <v>281</v>
      </c>
      <c r="F10">
        <v>30</v>
      </c>
      <c r="G10">
        <v>3</v>
      </c>
    </row>
    <row r="11" spans="1:14" ht="15" thickBot="1" x14ac:dyDescent="0.35">
      <c r="A11">
        <v>78</v>
      </c>
      <c r="B11">
        <v>1</v>
      </c>
      <c r="C11">
        <v>2</v>
      </c>
      <c r="D11">
        <v>1</v>
      </c>
      <c r="E11">
        <v>53</v>
      </c>
      <c r="F11">
        <v>30</v>
      </c>
      <c r="G11">
        <v>1</v>
      </c>
      <c r="I11" t="s">
        <v>1433</v>
      </c>
    </row>
    <row r="12" spans="1:14" x14ac:dyDescent="0.3">
      <c r="A12">
        <v>95</v>
      </c>
      <c r="B12">
        <v>1</v>
      </c>
      <c r="C12">
        <v>2</v>
      </c>
      <c r="D12">
        <v>0</v>
      </c>
      <c r="E12">
        <v>249</v>
      </c>
      <c r="F12">
        <v>30</v>
      </c>
      <c r="G12">
        <v>4</v>
      </c>
      <c r="I12" s="5"/>
      <c r="J12" s="5" t="s">
        <v>1438</v>
      </c>
      <c r="K12" s="5" t="s">
        <v>1439</v>
      </c>
      <c r="L12" s="5" t="s">
        <v>1440</v>
      </c>
      <c r="M12" s="5" t="s">
        <v>1441</v>
      </c>
      <c r="N12" s="5" t="s">
        <v>1442</v>
      </c>
    </row>
    <row r="13" spans="1:14" x14ac:dyDescent="0.3">
      <c r="A13">
        <v>50</v>
      </c>
      <c r="B13">
        <v>1</v>
      </c>
      <c r="C13">
        <v>2</v>
      </c>
      <c r="D13">
        <v>1</v>
      </c>
      <c r="E13">
        <v>173</v>
      </c>
      <c r="F13">
        <v>30</v>
      </c>
      <c r="G13">
        <v>2</v>
      </c>
      <c r="I13" t="s">
        <v>1434</v>
      </c>
      <c r="J13">
        <v>6</v>
      </c>
      <c r="K13">
        <v>3772292.0888446895</v>
      </c>
      <c r="L13">
        <v>628715.34814078163</v>
      </c>
      <c r="M13">
        <v>152.00475973518081</v>
      </c>
      <c r="N13">
        <v>2.8440168097533312E-138</v>
      </c>
    </row>
    <row r="14" spans="1:14" x14ac:dyDescent="0.3">
      <c r="A14">
        <v>150</v>
      </c>
      <c r="B14">
        <v>1</v>
      </c>
      <c r="C14">
        <v>4</v>
      </c>
      <c r="D14">
        <v>0</v>
      </c>
      <c r="E14">
        <v>81</v>
      </c>
      <c r="F14">
        <v>30</v>
      </c>
      <c r="G14">
        <v>2</v>
      </c>
      <c r="I14" t="s">
        <v>1435</v>
      </c>
      <c r="J14">
        <v>1035</v>
      </c>
      <c r="K14">
        <v>4280921.1136505138</v>
      </c>
      <c r="L14">
        <v>4136.1556653628149</v>
      </c>
    </row>
    <row r="15" spans="1:14" ht="15" thickBot="1" x14ac:dyDescent="0.35">
      <c r="A15">
        <v>117</v>
      </c>
      <c r="B15">
        <v>1</v>
      </c>
      <c r="C15">
        <v>2</v>
      </c>
      <c r="D15">
        <v>0</v>
      </c>
      <c r="E15">
        <v>136</v>
      </c>
      <c r="F15">
        <v>30</v>
      </c>
      <c r="G15">
        <v>2</v>
      </c>
      <c r="I15" s="4" t="s">
        <v>1436</v>
      </c>
      <c r="J15" s="4">
        <v>1041</v>
      </c>
      <c r="K15" s="4">
        <v>8053213.2024952034</v>
      </c>
      <c r="L15" s="4"/>
      <c r="M15" s="4"/>
      <c r="N15" s="4"/>
    </row>
    <row r="16" spans="1:14" ht="15" thickBot="1" x14ac:dyDescent="0.35">
      <c r="A16">
        <v>297</v>
      </c>
      <c r="B16">
        <v>1</v>
      </c>
      <c r="C16">
        <v>4</v>
      </c>
      <c r="D16">
        <v>0</v>
      </c>
      <c r="E16">
        <v>70</v>
      </c>
      <c r="F16">
        <v>30</v>
      </c>
      <c r="G16">
        <v>2</v>
      </c>
    </row>
    <row r="17" spans="1:17" x14ac:dyDescent="0.3">
      <c r="A17">
        <v>109</v>
      </c>
      <c r="B17">
        <v>1</v>
      </c>
      <c r="C17">
        <v>2</v>
      </c>
      <c r="D17">
        <v>0</v>
      </c>
      <c r="E17">
        <v>86</v>
      </c>
      <c r="F17">
        <v>30</v>
      </c>
      <c r="G17">
        <v>4</v>
      </c>
      <c r="I17" s="5"/>
      <c r="J17" s="5" t="s">
        <v>1443</v>
      </c>
      <c r="K17" s="5" t="s">
        <v>1409</v>
      </c>
      <c r="L17" s="5" t="s">
        <v>1444</v>
      </c>
      <c r="M17" s="5" t="s">
        <v>1445</v>
      </c>
      <c r="N17" s="5" t="s">
        <v>1446</v>
      </c>
      <c r="O17" s="5" t="s">
        <v>1447</v>
      </c>
      <c r="P17" s="5" t="s">
        <v>1448</v>
      </c>
      <c r="Q17" s="5" t="s">
        <v>1449</v>
      </c>
    </row>
    <row r="18" spans="1:17" x14ac:dyDescent="0.3">
      <c r="A18">
        <v>293</v>
      </c>
      <c r="B18">
        <v>1</v>
      </c>
      <c r="C18">
        <v>4</v>
      </c>
      <c r="D18">
        <v>0</v>
      </c>
      <c r="E18">
        <v>317</v>
      </c>
      <c r="F18">
        <v>30</v>
      </c>
      <c r="G18">
        <v>3</v>
      </c>
      <c r="I18" t="s">
        <v>1437</v>
      </c>
      <c r="J18">
        <v>155.11625531070283</v>
      </c>
      <c r="K18">
        <v>9.960109617723969</v>
      </c>
      <c r="L18">
        <v>15.57374981442716</v>
      </c>
      <c r="M18">
        <v>2.7284610795203878E-49</v>
      </c>
      <c r="N18">
        <v>135.57194384744844</v>
      </c>
      <c r="O18">
        <v>174.66056677395721</v>
      </c>
      <c r="P18">
        <v>135.57194384744844</v>
      </c>
      <c r="Q18">
        <v>174.66056677395721</v>
      </c>
    </row>
    <row r="19" spans="1:17" x14ac:dyDescent="0.3">
      <c r="A19">
        <v>165</v>
      </c>
      <c r="B19">
        <v>1</v>
      </c>
      <c r="C19">
        <v>2</v>
      </c>
      <c r="D19">
        <v>1</v>
      </c>
      <c r="E19">
        <v>194</v>
      </c>
      <c r="F19">
        <v>4</v>
      </c>
      <c r="G19">
        <v>2</v>
      </c>
      <c r="I19" t="s">
        <v>1422</v>
      </c>
      <c r="J19">
        <v>11.223456221452711</v>
      </c>
      <c r="K19">
        <v>4.3512223098842808</v>
      </c>
      <c r="L19">
        <v>2.5793800964748215</v>
      </c>
      <c r="M19">
        <v>1.0034805544465272E-2</v>
      </c>
      <c r="N19">
        <v>2.6852325136625517</v>
      </c>
      <c r="O19">
        <v>19.76167992924287</v>
      </c>
      <c r="P19">
        <v>2.6852325136625517</v>
      </c>
      <c r="Q19">
        <v>19.76167992924287</v>
      </c>
    </row>
    <row r="20" spans="1:17" x14ac:dyDescent="0.3">
      <c r="A20">
        <v>128</v>
      </c>
      <c r="B20">
        <v>1</v>
      </c>
      <c r="C20">
        <v>2</v>
      </c>
      <c r="D20">
        <v>0</v>
      </c>
      <c r="E20">
        <v>64</v>
      </c>
      <c r="F20">
        <v>30</v>
      </c>
      <c r="G20">
        <v>4</v>
      </c>
      <c r="I20" t="s">
        <v>1423</v>
      </c>
      <c r="J20">
        <v>15.236176594462004</v>
      </c>
      <c r="K20">
        <v>1.3604838079334403</v>
      </c>
      <c r="L20">
        <v>11.199087049485422</v>
      </c>
      <c r="M20">
        <v>1.4704462740790136E-27</v>
      </c>
      <c r="N20">
        <v>12.566555445348421</v>
      </c>
      <c r="O20">
        <v>17.905797743575587</v>
      </c>
      <c r="P20">
        <v>12.566555445348421</v>
      </c>
      <c r="Q20">
        <v>17.905797743575587</v>
      </c>
    </row>
    <row r="21" spans="1:17" x14ac:dyDescent="0.3">
      <c r="A21">
        <v>110</v>
      </c>
      <c r="B21">
        <v>1</v>
      </c>
      <c r="C21">
        <v>2</v>
      </c>
      <c r="D21">
        <v>0</v>
      </c>
      <c r="E21">
        <v>166</v>
      </c>
      <c r="F21">
        <v>30</v>
      </c>
      <c r="G21">
        <v>2</v>
      </c>
      <c r="I21" t="s">
        <v>1424</v>
      </c>
      <c r="J21">
        <v>-43.304012320614255</v>
      </c>
      <c r="K21">
        <v>5.1102402208728188</v>
      </c>
      <c r="L21">
        <v>-8.4739680423903856</v>
      </c>
      <c r="M21">
        <v>8.0661841039449218E-17</v>
      </c>
      <c r="N21">
        <v>-53.331625505820483</v>
      </c>
      <c r="O21">
        <v>-33.276399135408028</v>
      </c>
      <c r="P21">
        <v>-53.331625505820483</v>
      </c>
      <c r="Q21">
        <v>-33.276399135408028</v>
      </c>
    </row>
    <row r="22" spans="1:17" x14ac:dyDescent="0.3">
      <c r="A22">
        <v>232</v>
      </c>
      <c r="B22">
        <v>1</v>
      </c>
      <c r="C22">
        <v>4</v>
      </c>
      <c r="D22">
        <v>0</v>
      </c>
      <c r="E22">
        <v>365</v>
      </c>
      <c r="F22">
        <v>30</v>
      </c>
      <c r="G22">
        <v>3</v>
      </c>
      <c r="I22" t="s">
        <v>11</v>
      </c>
      <c r="J22">
        <v>-4.4805030254134459E-2</v>
      </c>
      <c r="K22">
        <v>2.0861685700651524E-2</v>
      </c>
      <c r="L22">
        <v>-2.1477185926895239</v>
      </c>
      <c r="M22">
        <v>3.1967763716603918E-2</v>
      </c>
      <c r="N22">
        <v>-8.5741053915611515E-2</v>
      </c>
      <c r="O22">
        <v>-3.8690065926573966E-3</v>
      </c>
      <c r="P22">
        <v>-8.5741053915611515E-2</v>
      </c>
      <c r="Q22">
        <v>-3.8690065926573966E-3</v>
      </c>
    </row>
    <row r="23" spans="1:17" x14ac:dyDescent="0.3">
      <c r="A23">
        <v>143</v>
      </c>
      <c r="B23">
        <v>1</v>
      </c>
      <c r="C23">
        <v>2</v>
      </c>
      <c r="D23">
        <v>0</v>
      </c>
      <c r="E23">
        <v>288</v>
      </c>
      <c r="F23">
        <v>30</v>
      </c>
      <c r="G23">
        <v>4</v>
      </c>
      <c r="I23" t="s">
        <v>10</v>
      </c>
      <c r="J23">
        <v>-3.35364237189712</v>
      </c>
      <c r="K23">
        <v>0.18439845336320398</v>
      </c>
      <c r="L23">
        <v>-18.186933299768807</v>
      </c>
      <c r="M23">
        <v>2.3748150202861593E-64</v>
      </c>
      <c r="N23">
        <v>-3.7154798359607333</v>
      </c>
      <c r="O23">
        <v>-2.9918049078335067</v>
      </c>
      <c r="P23">
        <v>-3.7154798359607333</v>
      </c>
      <c r="Q23">
        <v>-2.9918049078335067</v>
      </c>
    </row>
    <row r="24" spans="1:17" ht="15" thickBot="1" x14ac:dyDescent="0.35">
      <c r="A24">
        <v>165</v>
      </c>
      <c r="B24">
        <v>1</v>
      </c>
      <c r="C24">
        <v>0</v>
      </c>
      <c r="D24">
        <v>0</v>
      </c>
      <c r="E24">
        <v>246</v>
      </c>
      <c r="F24">
        <v>30</v>
      </c>
      <c r="G24">
        <v>1</v>
      </c>
      <c r="I24" s="4" t="s">
        <v>6</v>
      </c>
      <c r="J24" s="4">
        <v>18.985495106865621</v>
      </c>
      <c r="K24" s="4">
        <v>1.4430299041172818</v>
      </c>
      <c r="L24" s="4">
        <v>13.156688612409088</v>
      </c>
      <c r="M24" s="4">
        <v>1.1415008388959502E-36</v>
      </c>
      <c r="N24" s="4">
        <v>16.153897164743466</v>
      </c>
      <c r="O24" s="4">
        <v>21.817093048987775</v>
      </c>
      <c r="P24" s="4">
        <v>16.153897164743466</v>
      </c>
      <c r="Q24" s="4">
        <v>21.817093048987775</v>
      </c>
    </row>
    <row r="25" spans="1:17" x14ac:dyDescent="0.3">
      <c r="A25">
        <v>98</v>
      </c>
      <c r="B25">
        <v>1</v>
      </c>
      <c r="C25">
        <v>4</v>
      </c>
      <c r="D25">
        <v>0</v>
      </c>
      <c r="E25">
        <v>242</v>
      </c>
      <c r="F25">
        <v>30</v>
      </c>
      <c r="G25">
        <v>3</v>
      </c>
    </row>
    <row r="26" spans="1:17" x14ac:dyDescent="0.3">
      <c r="A26">
        <v>159</v>
      </c>
      <c r="B26">
        <v>1.5</v>
      </c>
      <c r="C26">
        <v>4</v>
      </c>
      <c r="D26">
        <v>1</v>
      </c>
      <c r="E26">
        <v>284</v>
      </c>
      <c r="F26">
        <v>30</v>
      </c>
      <c r="G26">
        <v>1</v>
      </c>
    </row>
    <row r="27" spans="1:17" x14ac:dyDescent="0.3">
      <c r="A27">
        <v>153</v>
      </c>
      <c r="B27">
        <v>1</v>
      </c>
      <c r="C27">
        <v>2</v>
      </c>
      <c r="D27">
        <v>0</v>
      </c>
      <c r="E27">
        <v>239</v>
      </c>
      <c r="F27">
        <v>30</v>
      </c>
      <c r="G27">
        <v>2</v>
      </c>
    </row>
    <row r="28" spans="1:17" x14ac:dyDescent="0.3">
      <c r="A28">
        <v>93</v>
      </c>
      <c r="B28">
        <v>1</v>
      </c>
      <c r="C28">
        <v>4</v>
      </c>
      <c r="D28">
        <v>1</v>
      </c>
      <c r="E28">
        <v>107</v>
      </c>
      <c r="F28">
        <v>30</v>
      </c>
      <c r="G28">
        <v>1</v>
      </c>
    </row>
    <row r="29" spans="1:17" x14ac:dyDescent="0.3">
      <c r="A29">
        <v>223</v>
      </c>
      <c r="B29">
        <v>1</v>
      </c>
      <c r="C29">
        <v>0</v>
      </c>
      <c r="D29">
        <v>0</v>
      </c>
      <c r="E29">
        <v>153</v>
      </c>
      <c r="F29">
        <v>30</v>
      </c>
      <c r="G29">
        <v>7</v>
      </c>
    </row>
    <row r="30" spans="1:17" x14ac:dyDescent="0.3">
      <c r="A30">
        <v>140</v>
      </c>
      <c r="B30">
        <v>1</v>
      </c>
      <c r="C30">
        <v>4</v>
      </c>
      <c r="D30">
        <v>0</v>
      </c>
      <c r="E30">
        <v>89</v>
      </c>
      <c r="F30">
        <v>30</v>
      </c>
      <c r="G30">
        <v>2</v>
      </c>
    </row>
    <row r="31" spans="1:17" x14ac:dyDescent="0.3">
      <c r="A31">
        <v>140</v>
      </c>
      <c r="B31">
        <v>1</v>
      </c>
      <c r="C31">
        <v>4</v>
      </c>
      <c r="D31">
        <v>0</v>
      </c>
      <c r="E31">
        <v>277</v>
      </c>
      <c r="F31">
        <v>30</v>
      </c>
      <c r="G31">
        <v>2</v>
      </c>
    </row>
    <row r="32" spans="1:17" x14ac:dyDescent="0.3">
      <c r="A32">
        <v>160</v>
      </c>
      <c r="B32">
        <v>1</v>
      </c>
      <c r="C32">
        <v>2</v>
      </c>
      <c r="D32">
        <v>0</v>
      </c>
      <c r="E32">
        <v>272</v>
      </c>
      <c r="F32">
        <v>30</v>
      </c>
      <c r="G32">
        <v>4</v>
      </c>
    </row>
    <row r="33" spans="1:7" x14ac:dyDescent="0.3">
      <c r="A33">
        <v>86</v>
      </c>
      <c r="B33">
        <v>1</v>
      </c>
      <c r="C33">
        <v>2</v>
      </c>
      <c r="D33">
        <v>0</v>
      </c>
      <c r="E33">
        <v>144</v>
      </c>
      <c r="F33">
        <v>30</v>
      </c>
      <c r="G33">
        <v>2</v>
      </c>
    </row>
    <row r="34" spans="1:7" x14ac:dyDescent="0.3">
      <c r="A34">
        <v>153</v>
      </c>
      <c r="B34">
        <v>1</v>
      </c>
      <c r="C34">
        <v>4</v>
      </c>
      <c r="D34">
        <v>0</v>
      </c>
      <c r="E34">
        <v>83</v>
      </c>
      <c r="F34">
        <v>30</v>
      </c>
      <c r="G34">
        <v>3</v>
      </c>
    </row>
    <row r="35" spans="1:7" x14ac:dyDescent="0.3">
      <c r="A35">
        <v>168</v>
      </c>
      <c r="B35">
        <v>1</v>
      </c>
      <c r="C35">
        <v>2</v>
      </c>
      <c r="D35">
        <v>0</v>
      </c>
      <c r="E35">
        <v>248</v>
      </c>
      <c r="F35">
        <v>30</v>
      </c>
      <c r="G35">
        <v>2</v>
      </c>
    </row>
    <row r="36" spans="1:7" x14ac:dyDescent="0.3">
      <c r="A36">
        <v>125</v>
      </c>
      <c r="B36">
        <v>1</v>
      </c>
      <c r="C36">
        <v>4</v>
      </c>
      <c r="D36">
        <v>0</v>
      </c>
      <c r="E36">
        <v>338</v>
      </c>
      <c r="F36">
        <v>30</v>
      </c>
      <c r="G36">
        <v>2</v>
      </c>
    </row>
    <row r="37" spans="1:7" x14ac:dyDescent="0.3">
      <c r="A37">
        <v>100</v>
      </c>
      <c r="B37">
        <v>1</v>
      </c>
      <c r="C37">
        <v>4</v>
      </c>
      <c r="D37">
        <v>0</v>
      </c>
      <c r="E37">
        <v>193</v>
      </c>
      <c r="F37">
        <v>30</v>
      </c>
      <c r="G37">
        <v>2</v>
      </c>
    </row>
    <row r="38" spans="1:7" x14ac:dyDescent="0.3">
      <c r="A38">
        <v>117</v>
      </c>
      <c r="B38">
        <v>1</v>
      </c>
      <c r="C38">
        <v>4</v>
      </c>
      <c r="D38">
        <v>0</v>
      </c>
      <c r="E38">
        <v>257</v>
      </c>
      <c r="F38">
        <v>30</v>
      </c>
      <c r="G38">
        <v>2</v>
      </c>
    </row>
    <row r="39" spans="1:7" x14ac:dyDescent="0.3">
      <c r="A39">
        <v>110</v>
      </c>
      <c r="B39">
        <v>1</v>
      </c>
      <c r="C39">
        <v>4</v>
      </c>
      <c r="D39">
        <v>1</v>
      </c>
      <c r="E39">
        <v>270</v>
      </c>
      <c r="F39">
        <v>7</v>
      </c>
      <c r="G39">
        <v>1</v>
      </c>
    </row>
    <row r="40" spans="1:7" x14ac:dyDescent="0.3">
      <c r="A40">
        <v>220</v>
      </c>
      <c r="B40">
        <v>1</v>
      </c>
      <c r="C40">
        <v>2</v>
      </c>
      <c r="D40">
        <v>0</v>
      </c>
      <c r="E40">
        <v>268</v>
      </c>
      <c r="F40">
        <v>30</v>
      </c>
      <c r="G40">
        <v>3</v>
      </c>
    </row>
    <row r="41" spans="1:7" x14ac:dyDescent="0.3">
      <c r="A41">
        <v>83</v>
      </c>
      <c r="B41">
        <v>1</v>
      </c>
      <c r="C41">
        <v>0</v>
      </c>
      <c r="D41">
        <v>1</v>
      </c>
      <c r="E41">
        <v>338</v>
      </c>
      <c r="F41">
        <v>1</v>
      </c>
      <c r="G41">
        <v>2</v>
      </c>
    </row>
    <row r="42" spans="1:7" x14ac:dyDescent="0.3">
      <c r="A42">
        <v>149</v>
      </c>
      <c r="B42">
        <v>2</v>
      </c>
      <c r="C42">
        <v>2</v>
      </c>
      <c r="D42">
        <v>0</v>
      </c>
      <c r="E42">
        <v>325</v>
      </c>
      <c r="F42">
        <v>30</v>
      </c>
      <c r="G42">
        <v>5</v>
      </c>
    </row>
    <row r="43" spans="1:7" x14ac:dyDescent="0.3">
      <c r="A43">
        <v>241</v>
      </c>
      <c r="B43">
        <v>1</v>
      </c>
      <c r="C43">
        <v>4</v>
      </c>
      <c r="D43">
        <v>0</v>
      </c>
      <c r="E43">
        <v>132</v>
      </c>
      <c r="F43">
        <v>30</v>
      </c>
      <c r="G43">
        <v>2</v>
      </c>
    </row>
    <row r="44" spans="1:7" x14ac:dyDescent="0.3">
      <c r="A44">
        <v>200</v>
      </c>
      <c r="B44">
        <v>1</v>
      </c>
      <c r="C44">
        <v>2</v>
      </c>
      <c r="D44">
        <v>0</v>
      </c>
      <c r="E44">
        <v>121</v>
      </c>
      <c r="F44">
        <v>30</v>
      </c>
      <c r="G44">
        <v>3</v>
      </c>
    </row>
    <row r="45" spans="1:7" x14ac:dyDescent="0.3">
      <c r="A45">
        <v>75</v>
      </c>
      <c r="B45">
        <v>1.5</v>
      </c>
      <c r="C45">
        <v>0</v>
      </c>
      <c r="D45">
        <v>1</v>
      </c>
      <c r="E45">
        <v>358</v>
      </c>
      <c r="F45">
        <v>30</v>
      </c>
      <c r="G45">
        <v>3</v>
      </c>
    </row>
    <row r="46" spans="1:7" x14ac:dyDescent="0.3">
      <c r="A46">
        <v>121</v>
      </c>
      <c r="B46">
        <v>1</v>
      </c>
      <c r="C46">
        <v>4</v>
      </c>
      <c r="D46">
        <v>0</v>
      </c>
      <c r="E46">
        <v>228</v>
      </c>
      <c r="F46">
        <v>30</v>
      </c>
      <c r="G46">
        <v>2</v>
      </c>
    </row>
    <row r="47" spans="1:7" x14ac:dyDescent="0.3">
      <c r="A47">
        <v>154</v>
      </c>
      <c r="B47">
        <v>1</v>
      </c>
      <c r="C47">
        <v>2</v>
      </c>
      <c r="D47">
        <v>1</v>
      </c>
      <c r="E47">
        <v>319</v>
      </c>
      <c r="F47">
        <v>2</v>
      </c>
      <c r="G47">
        <v>2</v>
      </c>
    </row>
    <row r="48" spans="1:7" x14ac:dyDescent="0.3">
      <c r="A48">
        <v>119</v>
      </c>
      <c r="B48">
        <v>1</v>
      </c>
      <c r="C48">
        <v>2</v>
      </c>
      <c r="D48">
        <v>0</v>
      </c>
      <c r="E48">
        <v>98</v>
      </c>
      <c r="F48">
        <v>30</v>
      </c>
      <c r="G48">
        <v>2</v>
      </c>
    </row>
    <row r="49" spans="1:7" x14ac:dyDescent="0.3">
      <c r="A49">
        <v>150</v>
      </c>
      <c r="B49">
        <v>1</v>
      </c>
      <c r="C49">
        <v>4</v>
      </c>
      <c r="D49">
        <v>0</v>
      </c>
      <c r="E49">
        <v>268</v>
      </c>
      <c r="F49">
        <v>30</v>
      </c>
      <c r="G49">
        <v>2</v>
      </c>
    </row>
    <row r="50" spans="1:7" x14ac:dyDescent="0.3">
      <c r="A50">
        <v>100</v>
      </c>
      <c r="B50">
        <v>1</v>
      </c>
      <c r="C50">
        <v>4</v>
      </c>
      <c r="D50">
        <v>0</v>
      </c>
      <c r="E50">
        <v>280</v>
      </c>
      <c r="F50">
        <v>30</v>
      </c>
      <c r="G50">
        <v>3</v>
      </c>
    </row>
    <row r="51" spans="1:7" x14ac:dyDescent="0.3">
      <c r="A51">
        <v>166</v>
      </c>
      <c r="B51">
        <v>1</v>
      </c>
      <c r="C51">
        <v>4</v>
      </c>
      <c r="D51">
        <v>0</v>
      </c>
      <c r="E51">
        <v>114</v>
      </c>
      <c r="F51">
        <v>30</v>
      </c>
      <c r="G51">
        <v>2</v>
      </c>
    </row>
    <row r="52" spans="1:7" x14ac:dyDescent="0.3">
      <c r="A52">
        <v>96</v>
      </c>
      <c r="B52">
        <v>1</v>
      </c>
      <c r="C52">
        <v>4</v>
      </c>
      <c r="D52">
        <v>1</v>
      </c>
      <c r="E52">
        <v>106</v>
      </c>
      <c r="F52">
        <v>30</v>
      </c>
      <c r="G52">
        <v>2</v>
      </c>
    </row>
    <row r="53" spans="1:7" x14ac:dyDescent="0.3">
      <c r="A53">
        <v>90</v>
      </c>
      <c r="B53">
        <v>1.5</v>
      </c>
      <c r="C53">
        <v>4</v>
      </c>
      <c r="D53">
        <v>1</v>
      </c>
      <c r="E53">
        <v>111</v>
      </c>
      <c r="F53">
        <v>30</v>
      </c>
      <c r="G53">
        <v>2</v>
      </c>
    </row>
    <row r="54" spans="1:7" x14ac:dyDescent="0.3">
      <c r="A54">
        <v>68</v>
      </c>
      <c r="B54">
        <v>1.5</v>
      </c>
      <c r="C54">
        <v>4</v>
      </c>
      <c r="D54">
        <v>1</v>
      </c>
      <c r="E54">
        <v>146</v>
      </c>
      <c r="F54">
        <v>30</v>
      </c>
      <c r="G54">
        <v>1</v>
      </c>
    </row>
    <row r="55" spans="1:7" x14ac:dyDescent="0.3">
      <c r="A55">
        <v>52</v>
      </c>
      <c r="B55">
        <v>1</v>
      </c>
      <c r="C55">
        <v>4</v>
      </c>
      <c r="D55">
        <v>1</v>
      </c>
      <c r="E55">
        <v>274</v>
      </c>
      <c r="F55">
        <v>30</v>
      </c>
      <c r="G55">
        <v>1</v>
      </c>
    </row>
    <row r="56" spans="1:7" x14ac:dyDescent="0.3">
      <c r="A56">
        <v>119</v>
      </c>
      <c r="B56">
        <v>1</v>
      </c>
      <c r="C56">
        <v>2</v>
      </c>
      <c r="D56">
        <v>0</v>
      </c>
      <c r="E56">
        <v>270</v>
      </c>
      <c r="F56">
        <v>30</v>
      </c>
      <c r="G56">
        <v>2</v>
      </c>
    </row>
    <row r="57" spans="1:7" x14ac:dyDescent="0.3">
      <c r="A57">
        <v>140</v>
      </c>
      <c r="B57">
        <v>1</v>
      </c>
      <c r="C57">
        <v>4</v>
      </c>
      <c r="D57">
        <v>0</v>
      </c>
      <c r="E57">
        <v>291</v>
      </c>
      <c r="F57">
        <v>30</v>
      </c>
      <c r="G57">
        <v>4</v>
      </c>
    </row>
    <row r="58" spans="1:7" x14ac:dyDescent="0.3">
      <c r="A58">
        <v>95</v>
      </c>
      <c r="B58">
        <v>1</v>
      </c>
      <c r="C58">
        <v>2</v>
      </c>
      <c r="D58">
        <v>0</v>
      </c>
      <c r="E58">
        <v>242</v>
      </c>
      <c r="F58">
        <v>30</v>
      </c>
      <c r="G58">
        <v>4</v>
      </c>
    </row>
    <row r="59" spans="1:7" x14ac:dyDescent="0.3">
      <c r="A59">
        <v>126</v>
      </c>
      <c r="B59">
        <v>1</v>
      </c>
      <c r="C59">
        <v>4</v>
      </c>
      <c r="D59">
        <v>1</v>
      </c>
      <c r="E59">
        <v>136</v>
      </c>
      <c r="F59">
        <v>30</v>
      </c>
      <c r="G59">
        <v>1</v>
      </c>
    </row>
    <row r="60" spans="1:7" x14ac:dyDescent="0.3">
      <c r="A60">
        <v>160</v>
      </c>
      <c r="B60">
        <v>1</v>
      </c>
      <c r="C60">
        <v>4</v>
      </c>
      <c r="D60">
        <v>0</v>
      </c>
      <c r="E60">
        <v>158</v>
      </c>
      <c r="F60">
        <v>30</v>
      </c>
      <c r="G60">
        <v>2</v>
      </c>
    </row>
    <row r="61" spans="1:7" x14ac:dyDescent="0.3">
      <c r="A61">
        <v>114</v>
      </c>
      <c r="B61">
        <v>1</v>
      </c>
      <c r="C61">
        <v>4</v>
      </c>
      <c r="D61">
        <v>0</v>
      </c>
      <c r="E61">
        <v>364</v>
      </c>
      <c r="F61">
        <v>30</v>
      </c>
      <c r="G61">
        <v>3</v>
      </c>
    </row>
    <row r="62" spans="1:7" x14ac:dyDescent="0.3">
      <c r="A62">
        <v>117</v>
      </c>
      <c r="B62">
        <v>1</v>
      </c>
      <c r="C62">
        <v>4</v>
      </c>
      <c r="D62">
        <v>0</v>
      </c>
      <c r="E62">
        <v>337</v>
      </c>
      <c r="F62">
        <v>30</v>
      </c>
      <c r="G62">
        <v>2</v>
      </c>
    </row>
    <row r="63" spans="1:7" x14ac:dyDescent="0.3">
      <c r="A63">
        <v>219</v>
      </c>
      <c r="B63">
        <v>1</v>
      </c>
      <c r="C63">
        <v>4</v>
      </c>
      <c r="D63">
        <v>0</v>
      </c>
      <c r="E63">
        <v>348</v>
      </c>
      <c r="F63">
        <v>30</v>
      </c>
      <c r="G63">
        <v>3</v>
      </c>
    </row>
    <row r="64" spans="1:7" x14ac:dyDescent="0.3">
      <c r="A64">
        <v>118</v>
      </c>
      <c r="B64">
        <v>10.5</v>
      </c>
      <c r="C64">
        <v>4</v>
      </c>
      <c r="D64">
        <v>1</v>
      </c>
      <c r="E64">
        <v>243</v>
      </c>
      <c r="F64">
        <v>30</v>
      </c>
      <c r="G64">
        <v>1</v>
      </c>
    </row>
    <row r="65" spans="1:7" x14ac:dyDescent="0.3">
      <c r="A65">
        <v>89</v>
      </c>
      <c r="B65">
        <v>1</v>
      </c>
      <c r="C65">
        <v>2</v>
      </c>
      <c r="D65">
        <v>1</v>
      </c>
      <c r="E65">
        <v>334</v>
      </c>
      <c r="F65">
        <v>30</v>
      </c>
      <c r="G65">
        <v>2</v>
      </c>
    </row>
    <row r="66" spans="1:7" x14ac:dyDescent="0.3">
      <c r="A66">
        <v>69</v>
      </c>
      <c r="B66">
        <v>1</v>
      </c>
      <c r="C66">
        <v>0</v>
      </c>
      <c r="D66">
        <v>1</v>
      </c>
      <c r="E66">
        <v>49</v>
      </c>
      <c r="F66">
        <v>30</v>
      </c>
      <c r="G66">
        <v>2</v>
      </c>
    </row>
    <row r="67" spans="1:7" x14ac:dyDescent="0.3">
      <c r="A67">
        <v>163</v>
      </c>
      <c r="B67">
        <v>1</v>
      </c>
      <c r="C67">
        <v>4</v>
      </c>
      <c r="D67">
        <v>0</v>
      </c>
      <c r="E67">
        <v>159</v>
      </c>
      <c r="F67">
        <v>30</v>
      </c>
      <c r="G67">
        <v>2</v>
      </c>
    </row>
    <row r="68" spans="1:7" x14ac:dyDescent="0.3">
      <c r="A68">
        <v>68</v>
      </c>
      <c r="B68">
        <v>1</v>
      </c>
      <c r="C68">
        <v>2</v>
      </c>
      <c r="D68">
        <v>1</v>
      </c>
      <c r="E68">
        <v>296</v>
      </c>
      <c r="F68">
        <v>30</v>
      </c>
      <c r="G68">
        <v>1</v>
      </c>
    </row>
    <row r="69" spans="1:7" x14ac:dyDescent="0.3">
      <c r="A69">
        <v>252</v>
      </c>
      <c r="B69">
        <v>1</v>
      </c>
      <c r="C69">
        <v>2</v>
      </c>
      <c r="D69">
        <v>0</v>
      </c>
      <c r="E69">
        <v>229</v>
      </c>
      <c r="F69">
        <v>30</v>
      </c>
      <c r="G69">
        <v>2</v>
      </c>
    </row>
    <row r="70" spans="1:7" x14ac:dyDescent="0.3">
      <c r="A70">
        <v>100</v>
      </c>
      <c r="B70">
        <v>1</v>
      </c>
      <c r="C70">
        <v>4</v>
      </c>
      <c r="D70">
        <v>1</v>
      </c>
      <c r="E70">
        <v>209</v>
      </c>
      <c r="F70">
        <v>30</v>
      </c>
      <c r="G70">
        <v>1</v>
      </c>
    </row>
    <row r="71" spans="1:7" x14ac:dyDescent="0.3">
      <c r="A71">
        <v>76</v>
      </c>
      <c r="B71">
        <v>1</v>
      </c>
      <c r="C71">
        <v>2</v>
      </c>
      <c r="D71">
        <v>0</v>
      </c>
      <c r="E71">
        <v>149</v>
      </c>
      <c r="F71">
        <v>30</v>
      </c>
      <c r="G71">
        <v>4</v>
      </c>
    </row>
    <row r="72" spans="1:7" x14ac:dyDescent="0.3">
      <c r="A72">
        <v>173</v>
      </c>
      <c r="B72">
        <v>1</v>
      </c>
      <c r="C72">
        <v>2</v>
      </c>
      <c r="D72">
        <v>1</v>
      </c>
      <c r="E72">
        <v>155</v>
      </c>
      <c r="F72">
        <v>30</v>
      </c>
      <c r="G72">
        <v>2</v>
      </c>
    </row>
    <row r="73" spans="1:7" x14ac:dyDescent="0.3">
      <c r="A73">
        <v>191</v>
      </c>
      <c r="B73">
        <v>1</v>
      </c>
      <c r="C73">
        <v>2</v>
      </c>
      <c r="D73">
        <v>0</v>
      </c>
      <c r="E73">
        <v>237</v>
      </c>
      <c r="F73">
        <v>30</v>
      </c>
      <c r="G73">
        <v>2</v>
      </c>
    </row>
    <row r="74" spans="1:7" x14ac:dyDescent="0.3">
      <c r="A74">
        <v>158</v>
      </c>
      <c r="B74">
        <v>1</v>
      </c>
      <c r="C74">
        <v>2</v>
      </c>
      <c r="D74">
        <v>0</v>
      </c>
      <c r="E74">
        <v>333</v>
      </c>
      <c r="F74">
        <v>30</v>
      </c>
      <c r="G74">
        <v>2</v>
      </c>
    </row>
    <row r="75" spans="1:7" x14ac:dyDescent="0.3">
      <c r="A75">
        <v>197</v>
      </c>
      <c r="B75">
        <v>1</v>
      </c>
      <c r="C75">
        <v>2</v>
      </c>
      <c r="D75">
        <v>0</v>
      </c>
      <c r="E75">
        <v>324</v>
      </c>
      <c r="F75">
        <v>30</v>
      </c>
      <c r="G75">
        <v>4</v>
      </c>
    </row>
    <row r="76" spans="1:7" x14ac:dyDescent="0.3">
      <c r="A76">
        <v>110</v>
      </c>
      <c r="B76">
        <v>1</v>
      </c>
      <c r="C76">
        <v>2</v>
      </c>
      <c r="D76">
        <v>0</v>
      </c>
      <c r="E76">
        <v>303</v>
      </c>
      <c r="F76">
        <v>30</v>
      </c>
      <c r="G76">
        <v>2</v>
      </c>
    </row>
    <row r="77" spans="1:7" x14ac:dyDescent="0.3">
      <c r="A77">
        <v>62</v>
      </c>
      <c r="B77">
        <v>1</v>
      </c>
      <c r="C77">
        <v>4</v>
      </c>
      <c r="D77">
        <v>1</v>
      </c>
      <c r="E77">
        <v>74</v>
      </c>
      <c r="F77">
        <v>30</v>
      </c>
      <c r="G77">
        <v>2</v>
      </c>
    </row>
    <row r="78" spans="1:7" x14ac:dyDescent="0.3">
      <c r="A78">
        <v>50</v>
      </c>
      <c r="B78">
        <v>1</v>
      </c>
      <c r="C78">
        <v>0</v>
      </c>
      <c r="D78">
        <v>1</v>
      </c>
      <c r="E78">
        <v>326</v>
      </c>
      <c r="F78">
        <v>30</v>
      </c>
      <c r="G78">
        <v>2</v>
      </c>
    </row>
    <row r="79" spans="1:7" x14ac:dyDescent="0.3">
      <c r="A79">
        <v>106</v>
      </c>
      <c r="B79">
        <v>1</v>
      </c>
      <c r="C79">
        <v>2</v>
      </c>
      <c r="D79">
        <v>0</v>
      </c>
      <c r="E79">
        <v>333</v>
      </c>
      <c r="F79">
        <v>30</v>
      </c>
      <c r="G79">
        <v>4</v>
      </c>
    </row>
    <row r="80" spans="1:7" x14ac:dyDescent="0.3">
      <c r="A80">
        <v>101</v>
      </c>
      <c r="B80">
        <v>1</v>
      </c>
      <c r="C80">
        <v>4</v>
      </c>
      <c r="D80">
        <v>1</v>
      </c>
      <c r="E80">
        <v>250</v>
      </c>
      <c r="F80">
        <v>30</v>
      </c>
      <c r="G80">
        <v>1</v>
      </c>
    </row>
    <row r="81" spans="1:7" x14ac:dyDescent="0.3">
      <c r="A81">
        <v>112</v>
      </c>
      <c r="B81">
        <v>1</v>
      </c>
      <c r="C81">
        <v>0</v>
      </c>
      <c r="D81">
        <v>0</v>
      </c>
      <c r="E81">
        <v>323</v>
      </c>
      <c r="F81">
        <v>30</v>
      </c>
      <c r="G81">
        <v>7</v>
      </c>
    </row>
    <row r="82" spans="1:7" x14ac:dyDescent="0.3">
      <c r="A82">
        <v>325</v>
      </c>
      <c r="B82">
        <v>1</v>
      </c>
      <c r="C82">
        <v>2</v>
      </c>
      <c r="D82">
        <v>0</v>
      </c>
      <c r="E82">
        <v>147</v>
      </c>
      <c r="F82">
        <v>30</v>
      </c>
      <c r="G82">
        <v>4</v>
      </c>
    </row>
    <row r="83" spans="1:7" x14ac:dyDescent="0.3">
      <c r="A83">
        <v>125</v>
      </c>
      <c r="B83">
        <v>1</v>
      </c>
      <c r="C83">
        <v>2</v>
      </c>
      <c r="D83">
        <v>0</v>
      </c>
      <c r="E83">
        <v>285</v>
      </c>
      <c r="F83">
        <v>30</v>
      </c>
      <c r="G83">
        <v>6</v>
      </c>
    </row>
    <row r="84" spans="1:7" x14ac:dyDescent="0.3">
      <c r="A84">
        <v>140</v>
      </c>
      <c r="B84">
        <v>1</v>
      </c>
      <c r="C84">
        <v>2</v>
      </c>
      <c r="D84">
        <v>0</v>
      </c>
      <c r="E84">
        <v>228</v>
      </c>
      <c r="F84">
        <v>30</v>
      </c>
      <c r="G84">
        <v>5</v>
      </c>
    </row>
    <row r="85" spans="1:7" x14ac:dyDescent="0.3">
      <c r="A85">
        <v>59</v>
      </c>
      <c r="B85">
        <v>1</v>
      </c>
      <c r="C85">
        <v>4</v>
      </c>
      <c r="D85">
        <v>1</v>
      </c>
      <c r="E85">
        <v>54</v>
      </c>
      <c r="F85">
        <v>30</v>
      </c>
      <c r="G85">
        <v>1</v>
      </c>
    </row>
    <row r="86" spans="1:7" x14ac:dyDescent="0.3">
      <c r="A86">
        <v>135</v>
      </c>
      <c r="B86">
        <v>2</v>
      </c>
      <c r="C86">
        <v>2</v>
      </c>
      <c r="D86">
        <v>0</v>
      </c>
      <c r="E86">
        <v>335</v>
      </c>
      <c r="F86">
        <v>30</v>
      </c>
      <c r="G86">
        <v>4</v>
      </c>
    </row>
    <row r="87" spans="1:7" x14ac:dyDescent="0.3">
      <c r="A87">
        <v>170</v>
      </c>
      <c r="B87">
        <v>1</v>
      </c>
      <c r="C87">
        <v>2</v>
      </c>
      <c r="D87">
        <v>1</v>
      </c>
      <c r="E87">
        <v>136</v>
      </c>
      <c r="F87">
        <v>4</v>
      </c>
      <c r="G87">
        <v>2</v>
      </c>
    </row>
    <row r="88" spans="1:7" x14ac:dyDescent="0.3">
      <c r="A88">
        <v>127</v>
      </c>
      <c r="B88">
        <v>1</v>
      </c>
      <c r="C88">
        <v>4</v>
      </c>
      <c r="D88">
        <v>1</v>
      </c>
      <c r="E88">
        <v>121</v>
      </c>
      <c r="F88">
        <v>5</v>
      </c>
      <c r="G88">
        <v>2</v>
      </c>
    </row>
    <row r="89" spans="1:7" x14ac:dyDescent="0.3">
      <c r="A89">
        <v>90</v>
      </c>
      <c r="B89">
        <v>1</v>
      </c>
      <c r="C89">
        <v>4</v>
      </c>
      <c r="D89">
        <v>1</v>
      </c>
      <c r="E89">
        <v>104</v>
      </c>
      <c r="F89">
        <v>30</v>
      </c>
      <c r="G89">
        <v>2</v>
      </c>
    </row>
    <row r="90" spans="1:7" x14ac:dyDescent="0.3">
      <c r="A90">
        <v>64</v>
      </c>
      <c r="B90">
        <v>1</v>
      </c>
      <c r="C90">
        <v>0</v>
      </c>
      <c r="D90">
        <v>1</v>
      </c>
      <c r="E90">
        <v>284</v>
      </c>
      <c r="F90">
        <v>30</v>
      </c>
      <c r="G90">
        <v>1</v>
      </c>
    </row>
    <row r="91" spans="1:7" x14ac:dyDescent="0.3">
      <c r="A91">
        <v>81</v>
      </c>
      <c r="B91">
        <v>1</v>
      </c>
      <c r="C91">
        <v>2</v>
      </c>
      <c r="D91">
        <v>0</v>
      </c>
      <c r="E91">
        <v>32</v>
      </c>
      <c r="F91">
        <v>30</v>
      </c>
      <c r="G91">
        <v>2</v>
      </c>
    </row>
    <row r="92" spans="1:7" x14ac:dyDescent="0.3">
      <c r="A92">
        <v>58</v>
      </c>
      <c r="B92">
        <v>1.5</v>
      </c>
      <c r="C92">
        <v>2</v>
      </c>
      <c r="D92">
        <v>1</v>
      </c>
      <c r="E92">
        <v>242</v>
      </c>
      <c r="F92">
        <v>30</v>
      </c>
      <c r="G92">
        <v>2</v>
      </c>
    </row>
    <row r="93" spans="1:7" x14ac:dyDescent="0.3">
      <c r="A93">
        <v>145</v>
      </c>
      <c r="B93">
        <v>1</v>
      </c>
      <c r="C93">
        <v>2</v>
      </c>
      <c r="D93">
        <v>0</v>
      </c>
      <c r="E93">
        <v>113</v>
      </c>
      <c r="F93">
        <v>30</v>
      </c>
      <c r="G93">
        <v>2</v>
      </c>
    </row>
    <row r="94" spans="1:7" x14ac:dyDescent="0.3">
      <c r="A94">
        <v>65</v>
      </c>
      <c r="B94">
        <v>1</v>
      </c>
      <c r="C94">
        <v>2</v>
      </c>
      <c r="D94">
        <v>0</v>
      </c>
      <c r="E94">
        <v>243</v>
      </c>
      <c r="F94">
        <v>30</v>
      </c>
      <c r="G94">
        <v>2</v>
      </c>
    </row>
    <row r="95" spans="1:7" x14ac:dyDescent="0.3">
      <c r="A95">
        <v>115</v>
      </c>
      <c r="B95">
        <v>1</v>
      </c>
      <c r="C95">
        <v>4</v>
      </c>
      <c r="D95">
        <v>0</v>
      </c>
      <c r="E95">
        <v>335</v>
      </c>
      <c r="F95">
        <v>30</v>
      </c>
      <c r="G95">
        <v>3</v>
      </c>
    </row>
    <row r="96" spans="1:7" x14ac:dyDescent="0.3">
      <c r="A96">
        <v>102</v>
      </c>
      <c r="B96">
        <v>1</v>
      </c>
      <c r="C96">
        <v>2</v>
      </c>
      <c r="D96">
        <v>1</v>
      </c>
      <c r="E96">
        <v>159</v>
      </c>
      <c r="F96">
        <v>30</v>
      </c>
      <c r="G96">
        <v>2</v>
      </c>
    </row>
    <row r="97" spans="1:7" x14ac:dyDescent="0.3">
      <c r="A97">
        <v>109</v>
      </c>
      <c r="B97">
        <v>1</v>
      </c>
      <c r="C97">
        <v>2</v>
      </c>
      <c r="D97">
        <v>0</v>
      </c>
      <c r="E97">
        <v>60</v>
      </c>
      <c r="F97">
        <v>30</v>
      </c>
      <c r="G97">
        <v>4</v>
      </c>
    </row>
    <row r="98" spans="1:7" x14ac:dyDescent="0.3">
      <c r="A98">
        <v>102</v>
      </c>
      <c r="B98">
        <v>1</v>
      </c>
      <c r="C98">
        <v>2</v>
      </c>
      <c r="D98">
        <v>0</v>
      </c>
      <c r="E98">
        <v>62</v>
      </c>
      <c r="F98">
        <v>30</v>
      </c>
      <c r="G98">
        <v>2</v>
      </c>
    </row>
    <row r="99" spans="1:7" x14ac:dyDescent="0.3">
      <c r="A99">
        <v>175</v>
      </c>
      <c r="B99">
        <v>1</v>
      </c>
      <c r="C99">
        <v>4</v>
      </c>
      <c r="D99">
        <v>0</v>
      </c>
      <c r="E99">
        <v>232</v>
      </c>
      <c r="F99">
        <v>30</v>
      </c>
      <c r="G99">
        <v>4</v>
      </c>
    </row>
    <row r="100" spans="1:7" x14ac:dyDescent="0.3">
      <c r="A100">
        <v>129</v>
      </c>
      <c r="B100">
        <v>1</v>
      </c>
      <c r="C100">
        <v>4</v>
      </c>
      <c r="D100">
        <v>0</v>
      </c>
      <c r="E100">
        <v>258</v>
      </c>
      <c r="F100">
        <v>30</v>
      </c>
      <c r="G100">
        <v>2</v>
      </c>
    </row>
    <row r="101" spans="1:7" x14ac:dyDescent="0.3">
      <c r="A101">
        <v>130</v>
      </c>
      <c r="B101">
        <v>1</v>
      </c>
      <c r="C101">
        <v>4</v>
      </c>
      <c r="D101">
        <v>0</v>
      </c>
      <c r="E101">
        <v>286</v>
      </c>
      <c r="F101">
        <v>30</v>
      </c>
      <c r="G101">
        <v>2</v>
      </c>
    </row>
    <row r="102" spans="1:7" x14ac:dyDescent="0.3">
      <c r="A102">
        <v>119</v>
      </c>
      <c r="B102">
        <v>1</v>
      </c>
      <c r="C102">
        <v>4</v>
      </c>
      <c r="D102">
        <v>1</v>
      </c>
      <c r="E102">
        <v>203</v>
      </c>
      <c r="F102">
        <v>30</v>
      </c>
      <c r="G102">
        <v>2</v>
      </c>
    </row>
    <row r="103" spans="1:7" x14ac:dyDescent="0.3">
      <c r="A103">
        <v>120</v>
      </c>
      <c r="B103">
        <v>1</v>
      </c>
      <c r="C103">
        <v>4</v>
      </c>
      <c r="D103">
        <v>0</v>
      </c>
      <c r="E103">
        <v>305</v>
      </c>
      <c r="F103">
        <v>30</v>
      </c>
      <c r="G103">
        <v>2</v>
      </c>
    </row>
    <row r="104" spans="1:7" x14ac:dyDescent="0.3">
      <c r="A104">
        <v>121</v>
      </c>
      <c r="B104">
        <v>1</v>
      </c>
      <c r="C104">
        <v>0</v>
      </c>
      <c r="D104">
        <v>1</v>
      </c>
      <c r="E104">
        <v>350</v>
      </c>
      <c r="F104">
        <v>3</v>
      </c>
      <c r="G104">
        <v>2</v>
      </c>
    </row>
    <row r="105" spans="1:7" x14ac:dyDescent="0.3">
      <c r="A105">
        <v>148</v>
      </c>
      <c r="B105">
        <v>1.5</v>
      </c>
      <c r="C105">
        <v>4</v>
      </c>
      <c r="D105">
        <v>1</v>
      </c>
      <c r="E105">
        <v>33</v>
      </c>
      <c r="F105">
        <v>3</v>
      </c>
      <c r="G105">
        <v>2</v>
      </c>
    </row>
    <row r="106" spans="1:7" x14ac:dyDescent="0.3">
      <c r="A106">
        <v>179</v>
      </c>
      <c r="B106">
        <v>1</v>
      </c>
      <c r="C106">
        <v>4</v>
      </c>
      <c r="D106">
        <v>0</v>
      </c>
      <c r="E106">
        <v>173</v>
      </c>
      <c r="F106">
        <v>30</v>
      </c>
      <c r="G106">
        <v>2</v>
      </c>
    </row>
    <row r="107" spans="1:7" x14ac:dyDescent="0.3">
      <c r="A107">
        <v>137</v>
      </c>
      <c r="B107">
        <v>1</v>
      </c>
      <c r="C107">
        <v>4</v>
      </c>
      <c r="D107">
        <v>0</v>
      </c>
      <c r="E107">
        <v>345</v>
      </c>
      <c r="F107">
        <v>30</v>
      </c>
      <c r="G107">
        <v>2</v>
      </c>
    </row>
    <row r="108" spans="1:7" x14ac:dyDescent="0.3">
      <c r="A108">
        <v>209</v>
      </c>
      <c r="B108">
        <v>1</v>
      </c>
      <c r="C108">
        <v>2</v>
      </c>
      <c r="D108">
        <v>1</v>
      </c>
      <c r="E108">
        <v>149</v>
      </c>
      <c r="F108">
        <v>2</v>
      </c>
      <c r="G108">
        <v>2</v>
      </c>
    </row>
    <row r="109" spans="1:7" x14ac:dyDescent="0.3">
      <c r="A109">
        <v>120</v>
      </c>
      <c r="B109">
        <v>1</v>
      </c>
      <c r="C109">
        <v>4</v>
      </c>
      <c r="D109">
        <v>0</v>
      </c>
      <c r="E109">
        <v>271</v>
      </c>
      <c r="F109">
        <v>30</v>
      </c>
      <c r="G109">
        <v>4</v>
      </c>
    </row>
    <row r="110" spans="1:7" x14ac:dyDescent="0.3">
      <c r="A110">
        <v>152</v>
      </c>
      <c r="B110">
        <v>1</v>
      </c>
      <c r="C110">
        <v>2</v>
      </c>
      <c r="D110">
        <v>0</v>
      </c>
      <c r="E110">
        <v>342</v>
      </c>
      <c r="F110">
        <v>5</v>
      </c>
      <c r="G110">
        <v>2</v>
      </c>
    </row>
    <row r="111" spans="1:7" x14ac:dyDescent="0.3">
      <c r="A111">
        <v>60</v>
      </c>
      <c r="B111">
        <v>2</v>
      </c>
      <c r="C111">
        <v>2</v>
      </c>
      <c r="D111">
        <v>1</v>
      </c>
      <c r="E111">
        <v>173</v>
      </c>
      <c r="F111">
        <v>30</v>
      </c>
      <c r="G111">
        <v>2</v>
      </c>
    </row>
    <row r="112" spans="1:7" x14ac:dyDescent="0.3">
      <c r="A112">
        <v>215</v>
      </c>
      <c r="B112">
        <v>1</v>
      </c>
      <c r="C112">
        <v>2</v>
      </c>
      <c r="D112">
        <v>0</v>
      </c>
      <c r="E112">
        <v>137</v>
      </c>
      <c r="F112">
        <v>30</v>
      </c>
      <c r="G112">
        <v>3</v>
      </c>
    </row>
    <row r="113" spans="1:7" x14ac:dyDescent="0.3">
      <c r="A113">
        <v>158</v>
      </c>
      <c r="B113">
        <v>1</v>
      </c>
      <c r="C113">
        <v>2</v>
      </c>
      <c r="D113">
        <v>0</v>
      </c>
      <c r="E113">
        <v>336</v>
      </c>
      <c r="F113">
        <v>30</v>
      </c>
      <c r="G113">
        <v>4</v>
      </c>
    </row>
    <row r="114" spans="1:7" x14ac:dyDescent="0.3">
      <c r="A114">
        <v>175</v>
      </c>
      <c r="B114">
        <v>1</v>
      </c>
      <c r="C114">
        <v>4</v>
      </c>
      <c r="D114">
        <v>0</v>
      </c>
      <c r="E114">
        <v>362</v>
      </c>
      <c r="F114">
        <v>30</v>
      </c>
      <c r="G114">
        <v>3</v>
      </c>
    </row>
    <row r="115" spans="1:7" x14ac:dyDescent="0.3">
      <c r="A115">
        <v>175</v>
      </c>
      <c r="B115">
        <v>1</v>
      </c>
      <c r="C115">
        <v>2</v>
      </c>
      <c r="D115">
        <v>0</v>
      </c>
      <c r="E115">
        <v>58</v>
      </c>
      <c r="F115">
        <v>30</v>
      </c>
      <c r="G115">
        <v>4</v>
      </c>
    </row>
    <row r="116" spans="1:7" x14ac:dyDescent="0.3">
      <c r="A116">
        <v>140</v>
      </c>
      <c r="B116">
        <v>1</v>
      </c>
      <c r="C116">
        <v>0</v>
      </c>
      <c r="D116">
        <v>0</v>
      </c>
      <c r="E116">
        <v>181</v>
      </c>
      <c r="F116">
        <v>30</v>
      </c>
      <c r="G116">
        <v>3</v>
      </c>
    </row>
    <row r="117" spans="1:7" x14ac:dyDescent="0.3">
      <c r="A117">
        <v>99</v>
      </c>
      <c r="B117">
        <v>1</v>
      </c>
      <c r="C117">
        <v>2</v>
      </c>
      <c r="D117">
        <v>0</v>
      </c>
      <c r="E117">
        <v>122</v>
      </c>
      <c r="F117">
        <v>30</v>
      </c>
      <c r="G117">
        <v>2</v>
      </c>
    </row>
    <row r="118" spans="1:7" x14ac:dyDescent="0.3">
      <c r="A118">
        <v>224</v>
      </c>
      <c r="B118">
        <v>1</v>
      </c>
      <c r="C118">
        <v>2</v>
      </c>
      <c r="D118">
        <v>0</v>
      </c>
      <c r="E118">
        <v>228</v>
      </c>
      <c r="F118">
        <v>30</v>
      </c>
      <c r="G118">
        <v>2</v>
      </c>
    </row>
    <row r="119" spans="1:7" x14ac:dyDescent="0.3">
      <c r="A119">
        <v>122</v>
      </c>
      <c r="B119">
        <v>1</v>
      </c>
      <c r="C119">
        <v>4</v>
      </c>
      <c r="D119">
        <v>0</v>
      </c>
      <c r="E119">
        <v>320</v>
      </c>
      <c r="F119">
        <v>30</v>
      </c>
      <c r="G119">
        <v>2</v>
      </c>
    </row>
    <row r="120" spans="1:7" x14ac:dyDescent="0.3">
      <c r="A120">
        <v>160</v>
      </c>
      <c r="B120">
        <v>1</v>
      </c>
      <c r="C120">
        <v>4</v>
      </c>
      <c r="D120">
        <v>0</v>
      </c>
      <c r="E120">
        <v>173</v>
      </c>
      <c r="F120">
        <v>30</v>
      </c>
      <c r="G120">
        <v>3</v>
      </c>
    </row>
    <row r="121" spans="1:7" x14ac:dyDescent="0.3">
      <c r="A121">
        <v>136</v>
      </c>
      <c r="B121">
        <v>1</v>
      </c>
      <c r="C121">
        <v>0</v>
      </c>
      <c r="D121">
        <v>0</v>
      </c>
      <c r="E121">
        <v>163</v>
      </c>
      <c r="F121">
        <v>30</v>
      </c>
      <c r="G121">
        <v>2</v>
      </c>
    </row>
    <row r="122" spans="1:7" x14ac:dyDescent="0.3">
      <c r="A122">
        <v>74</v>
      </c>
      <c r="B122">
        <v>1</v>
      </c>
      <c r="C122">
        <v>2</v>
      </c>
      <c r="D122">
        <v>1</v>
      </c>
      <c r="E122">
        <v>76</v>
      </c>
      <c r="F122">
        <v>30</v>
      </c>
      <c r="G122">
        <v>1</v>
      </c>
    </row>
    <row r="123" spans="1:7" x14ac:dyDescent="0.3">
      <c r="A123">
        <v>175</v>
      </c>
      <c r="B123">
        <v>1</v>
      </c>
      <c r="C123">
        <v>2</v>
      </c>
      <c r="D123">
        <v>0</v>
      </c>
      <c r="E123">
        <v>282</v>
      </c>
      <c r="F123">
        <v>30</v>
      </c>
      <c r="G123">
        <v>2</v>
      </c>
    </row>
    <row r="124" spans="1:7" x14ac:dyDescent="0.3">
      <c r="A124">
        <v>68</v>
      </c>
      <c r="B124">
        <v>1</v>
      </c>
      <c r="C124">
        <v>2</v>
      </c>
      <c r="D124">
        <v>1</v>
      </c>
      <c r="E124">
        <v>84</v>
      </c>
      <c r="F124">
        <v>30</v>
      </c>
      <c r="G124">
        <v>1</v>
      </c>
    </row>
    <row r="125" spans="1:7" x14ac:dyDescent="0.3">
      <c r="A125">
        <v>136</v>
      </c>
      <c r="B125">
        <v>1</v>
      </c>
      <c r="C125">
        <v>4</v>
      </c>
      <c r="D125">
        <v>0</v>
      </c>
      <c r="E125">
        <v>334</v>
      </c>
      <c r="F125">
        <v>30</v>
      </c>
      <c r="G125">
        <v>2</v>
      </c>
    </row>
    <row r="126" spans="1:7" x14ac:dyDescent="0.3">
      <c r="A126">
        <v>132</v>
      </c>
      <c r="B126">
        <v>1</v>
      </c>
      <c r="C126">
        <v>4</v>
      </c>
      <c r="D126">
        <v>0</v>
      </c>
      <c r="E126">
        <v>335</v>
      </c>
      <c r="F126">
        <v>30</v>
      </c>
      <c r="G126">
        <v>2</v>
      </c>
    </row>
    <row r="127" spans="1:7" x14ac:dyDescent="0.3">
      <c r="A127">
        <v>188</v>
      </c>
      <c r="B127">
        <v>1</v>
      </c>
      <c r="C127">
        <v>2</v>
      </c>
      <c r="D127">
        <v>0</v>
      </c>
      <c r="E127">
        <v>334</v>
      </c>
      <c r="F127">
        <v>30</v>
      </c>
      <c r="G127">
        <v>2</v>
      </c>
    </row>
    <row r="128" spans="1:7" x14ac:dyDescent="0.3">
      <c r="A128">
        <v>110</v>
      </c>
      <c r="B128">
        <v>1</v>
      </c>
      <c r="C128">
        <v>2</v>
      </c>
      <c r="D128">
        <v>0</v>
      </c>
      <c r="E128">
        <v>362</v>
      </c>
      <c r="F128">
        <v>30</v>
      </c>
      <c r="G128">
        <v>6</v>
      </c>
    </row>
    <row r="129" spans="1:7" x14ac:dyDescent="0.3">
      <c r="A129">
        <v>194</v>
      </c>
      <c r="B129">
        <v>1</v>
      </c>
      <c r="C129">
        <v>2</v>
      </c>
      <c r="D129">
        <v>0</v>
      </c>
      <c r="E129">
        <v>285</v>
      </c>
      <c r="F129">
        <v>30</v>
      </c>
      <c r="G129">
        <v>4</v>
      </c>
    </row>
    <row r="130" spans="1:7" x14ac:dyDescent="0.3">
      <c r="A130">
        <v>56</v>
      </c>
      <c r="B130">
        <v>1</v>
      </c>
      <c r="C130">
        <v>0</v>
      </c>
      <c r="D130">
        <v>1</v>
      </c>
      <c r="E130">
        <v>181</v>
      </c>
      <c r="F130">
        <v>30</v>
      </c>
      <c r="G130">
        <v>2</v>
      </c>
    </row>
    <row r="131" spans="1:7" x14ac:dyDescent="0.3">
      <c r="A131">
        <v>59</v>
      </c>
      <c r="B131">
        <v>1</v>
      </c>
      <c r="C131">
        <v>4</v>
      </c>
      <c r="D131">
        <v>1</v>
      </c>
      <c r="E131">
        <v>129</v>
      </c>
      <c r="F131">
        <v>30</v>
      </c>
      <c r="G131">
        <v>1</v>
      </c>
    </row>
    <row r="132" spans="1:7" x14ac:dyDescent="0.3">
      <c r="A132">
        <v>55</v>
      </c>
      <c r="B132">
        <v>1</v>
      </c>
      <c r="C132">
        <v>2</v>
      </c>
      <c r="D132">
        <v>1</v>
      </c>
      <c r="E132">
        <v>57</v>
      </c>
      <c r="F132">
        <v>30</v>
      </c>
      <c r="G132">
        <v>1</v>
      </c>
    </row>
    <row r="133" spans="1:7" x14ac:dyDescent="0.3">
      <c r="A133">
        <v>170</v>
      </c>
      <c r="B133">
        <v>1</v>
      </c>
      <c r="C133">
        <v>4</v>
      </c>
      <c r="D133">
        <v>0</v>
      </c>
      <c r="E133">
        <v>208</v>
      </c>
      <c r="F133">
        <v>30</v>
      </c>
      <c r="G133">
        <v>2</v>
      </c>
    </row>
    <row r="134" spans="1:7" x14ac:dyDescent="0.3">
      <c r="A134">
        <v>72</v>
      </c>
      <c r="B134">
        <v>1</v>
      </c>
      <c r="C134">
        <v>0</v>
      </c>
      <c r="D134">
        <v>0</v>
      </c>
      <c r="E134">
        <v>120</v>
      </c>
      <c r="F134">
        <v>30</v>
      </c>
      <c r="G134">
        <v>2</v>
      </c>
    </row>
    <row r="135" spans="1:7" x14ac:dyDescent="0.3">
      <c r="A135">
        <v>122</v>
      </c>
      <c r="B135">
        <v>1</v>
      </c>
      <c r="C135">
        <v>4</v>
      </c>
      <c r="D135">
        <v>0</v>
      </c>
      <c r="E135">
        <v>246</v>
      </c>
      <c r="F135">
        <v>30</v>
      </c>
      <c r="G135">
        <v>4</v>
      </c>
    </row>
    <row r="136" spans="1:7" x14ac:dyDescent="0.3">
      <c r="A136">
        <v>120</v>
      </c>
      <c r="B136">
        <v>1</v>
      </c>
      <c r="C136">
        <v>4</v>
      </c>
      <c r="D136">
        <v>0</v>
      </c>
      <c r="E136">
        <v>265</v>
      </c>
      <c r="F136">
        <v>30</v>
      </c>
      <c r="G136">
        <v>6</v>
      </c>
    </row>
    <row r="137" spans="1:7" x14ac:dyDescent="0.3">
      <c r="A137">
        <v>108</v>
      </c>
      <c r="B137">
        <v>1</v>
      </c>
      <c r="C137">
        <v>4</v>
      </c>
      <c r="D137">
        <v>0</v>
      </c>
      <c r="E137">
        <v>147</v>
      </c>
      <c r="F137">
        <v>30</v>
      </c>
      <c r="G137">
        <v>1</v>
      </c>
    </row>
    <row r="138" spans="1:7" x14ac:dyDescent="0.3">
      <c r="A138">
        <v>240</v>
      </c>
      <c r="B138">
        <v>1</v>
      </c>
      <c r="C138">
        <v>2</v>
      </c>
      <c r="D138">
        <v>0</v>
      </c>
      <c r="E138">
        <v>36</v>
      </c>
      <c r="F138">
        <v>30</v>
      </c>
      <c r="G138">
        <v>4</v>
      </c>
    </row>
    <row r="139" spans="1:7" x14ac:dyDescent="0.3">
      <c r="A139">
        <v>50</v>
      </c>
      <c r="B139">
        <v>1</v>
      </c>
      <c r="C139">
        <v>4</v>
      </c>
      <c r="D139">
        <v>1</v>
      </c>
      <c r="E139">
        <v>182</v>
      </c>
      <c r="F139">
        <v>30</v>
      </c>
      <c r="G139">
        <v>1</v>
      </c>
    </row>
    <row r="140" spans="1:7" x14ac:dyDescent="0.3">
      <c r="A140">
        <v>90</v>
      </c>
      <c r="B140">
        <v>1</v>
      </c>
      <c r="C140">
        <v>2</v>
      </c>
      <c r="D140">
        <v>1</v>
      </c>
      <c r="E140">
        <v>293</v>
      </c>
      <c r="F140">
        <v>14</v>
      </c>
      <c r="G140">
        <v>1</v>
      </c>
    </row>
    <row r="141" spans="1:7" x14ac:dyDescent="0.3">
      <c r="A141">
        <v>155</v>
      </c>
      <c r="B141">
        <v>1</v>
      </c>
      <c r="C141">
        <v>2</v>
      </c>
      <c r="D141">
        <v>1</v>
      </c>
      <c r="E141">
        <v>141</v>
      </c>
      <c r="F141">
        <v>5</v>
      </c>
      <c r="G141">
        <v>2</v>
      </c>
    </row>
    <row r="142" spans="1:7" x14ac:dyDescent="0.3">
      <c r="A142">
        <v>95</v>
      </c>
      <c r="B142">
        <v>1</v>
      </c>
      <c r="C142">
        <v>2</v>
      </c>
      <c r="D142">
        <v>0</v>
      </c>
      <c r="E142">
        <v>285</v>
      </c>
      <c r="F142">
        <v>30</v>
      </c>
      <c r="G142">
        <v>2</v>
      </c>
    </row>
    <row r="143" spans="1:7" x14ac:dyDescent="0.3">
      <c r="A143">
        <v>110</v>
      </c>
      <c r="B143">
        <v>1</v>
      </c>
      <c r="C143">
        <v>4</v>
      </c>
      <c r="D143">
        <v>0</v>
      </c>
      <c r="E143">
        <v>180</v>
      </c>
      <c r="F143">
        <v>30</v>
      </c>
      <c r="G143">
        <v>2</v>
      </c>
    </row>
    <row r="144" spans="1:7" x14ac:dyDescent="0.3">
      <c r="A144">
        <v>220</v>
      </c>
      <c r="B144">
        <v>1</v>
      </c>
      <c r="C144">
        <v>4</v>
      </c>
      <c r="D144">
        <v>0</v>
      </c>
      <c r="E144">
        <v>221</v>
      </c>
      <c r="F144">
        <v>30</v>
      </c>
      <c r="G144">
        <v>3</v>
      </c>
    </row>
    <row r="145" spans="1:7" x14ac:dyDescent="0.3">
      <c r="A145">
        <v>139</v>
      </c>
      <c r="B145">
        <v>1</v>
      </c>
      <c r="C145">
        <v>4</v>
      </c>
      <c r="D145">
        <v>0</v>
      </c>
      <c r="E145">
        <v>243</v>
      </c>
      <c r="F145">
        <v>30</v>
      </c>
      <c r="G145">
        <v>2</v>
      </c>
    </row>
    <row r="146" spans="1:7" x14ac:dyDescent="0.3">
      <c r="A146">
        <v>113</v>
      </c>
      <c r="B146">
        <v>1</v>
      </c>
      <c r="C146">
        <v>4</v>
      </c>
      <c r="D146">
        <v>0</v>
      </c>
      <c r="E146">
        <v>222</v>
      </c>
      <c r="F146">
        <v>30</v>
      </c>
      <c r="G146">
        <v>2</v>
      </c>
    </row>
    <row r="147" spans="1:7" x14ac:dyDescent="0.3">
      <c r="A147">
        <v>120</v>
      </c>
      <c r="B147">
        <v>1</v>
      </c>
      <c r="C147">
        <v>4</v>
      </c>
      <c r="D147">
        <v>0</v>
      </c>
      <c r="E147">
        <v>286</v>
      </c>
      <c r="F147">
        <v>30</v>
      </c>
      <c r="G147">
        <v>6</v>
      </c>
    </row>
    <row r="148" spans="1:7" x14ac:dyDescent="0.3">
      <c r="A148">
        <v>135</v>
      </c>
      <c r="B148">
        <v>1</v>
      </c>
      <c r="C148">
        <v>4</v>
      </c>
      <c r="D148">
        <v>0</v>
      </c>
      <c r="E148">
        <v>308</v>
      </c>
      <c r="F148">
        <v>30</v>
      </c>
      <c r="G148">
        <v>3</v>
      </c>
    </row>
    <row r="149" spans="1:7" x14ac:dyDescent="0.3">
      <c r="A149">
        <v>50</v>
      </c>
      <c r="B149">
        <v>1.5</v>
      </c>
      <c r="C149">
        <v>0</v>
      </c>
      <c r="D149">
        <v>1</v>
      </c>
      <c r="E149">
        <v>350</v>
      </c>
      <c r="F149">
        <v>30</v>
      </c>
      <c r="G149">
        <v>1</v>
      </c>
    </row>
    <row r="150" spans="1:7" x14ac:dyDescent="0.3">
      <c r="A150">
        <v>115</v>
      </c>
      <c r="B150">
        <v>2</v>
      </c>
      <c r="C150">
        <v>2</v>
      </c>
      <c r="D150">
        <v>0</v>
      </c>
      <c r="E150">
        <v>281</v>
      </c>
      <c r="F150">
        <v>30</v>
      </c>
      <c r="G150">
        <v>8</v>
      </c>
    </row>
    <row r="151" spans="1:7" x14ac:dyDescent="0.3">
      <c r="A151">
        <v>180</v>
      </c>
      <c r="B151">
        <v>1</v>
      </c>
      <c r="C151">
        <v>4</v>
      </c>
      <c r="D151">
        <v>0</v>
      </c>
      <c r="E151">
        <v>232</v>
      </c>
      <c r="F151">
        <v>30</v>
      </c>
      <c r="G151">
        <v>2</v>
      </c>
    </row>
    <row r="152" spans="1:7" x14ac:dyDescent="0.3">
      <c r="A152">
        <v>69</v>
      </c>
      <c r="B152">
        <v>1.5</v>
      </c>
      <c r="C152">
        <v>4</v>
      </c>
      <c r="D152">
        <v>1</v>
      </c>
      <c r="E152">
        <v>278</v>
      </c>
      <c r="F152">
        <v>30</v>
      </c>
      <c r="G152">
        <v>2</v>
      </c>
    </row>
    <row r="153" spans="1:7" x14ac:dyDescent="0.3">
      <c r="A153">
        <v>180</v>
      </c>
      <c r="B153">
        <v>1</v>
      </c>
      <c r="C153">
        <v>0</v>
      </c>
      <c r="D153">
        <v>1</v>
      </c>
      <c r="E153">
        <v>303</v>
      </c>
      <c r="F153">
        <v>2</v>
      </c>
      <c r="G153">
        <v>2</v>
      </c>
    </row>
    <row r="154" spans="1:7" x14ac:dyDescent="0.3">
      <c r="A154">
        <v>87</v>
      </c>
      <c r="B154">
        <v>1</v>
      </c>
      <c r="C154">
        <v>0</v>
      </c>
      <c r="D154">
        <v>1</v>
      </c>
      <c r="E154">
        <v>317</v>
      </c>
      <c r="F154">
        <v>1</v>
      </c>
      <c r="G154">
        <v>2</v>
      </c>
    </row>
    <row r="155" spans="1:7" x14ac:dyDescent="0.3">
      <c r="A155">
        <v>120</v>
      </c>
      <c r="B155">
        <v>2</v>
      </c>
      <c r="C155">
        <v>2</v>
      </c>
      <c r="D155">
        <v>0</v>
      </c>
      <c r="E155">
        <v>349</v>
      </c>
      <c r="F155">
        <v>30</v>
      </c>
      <c r="G155">
        <v>6</v>
      </c>
    </row>
    <row r="156" spans="1:7" x14ac:dyDescent="0.3">
      <c r="A156">
        <v>72</v>
      </c>
      <c r="B156">
        <v>1</v>
      </c>
      <c r="C156">
        <v>0</v>
      </c>
      <c r="D156">
        <v>1</v>
      </c>
      <c r="E156">
        <v>117</v>
      </c>
      <c r="F156">
        <v>30</v>
      </c>
      <c r="G156">
        <v>2</v>
      </c>
    </row>
    <row r="157" spans="1:7" x14ac:dyDescent="0.3">
      <c r="A157">
        <v>177</v>
      </c>
      <c r="B157">
        <v>1</v>
      </c>
      <c r="C157">
        <v>2</v>
      </c>
      <c r="D157">
        <v>0</v>
      </c>
      <c r="E157">
        <v>233</v>
      </c>
      <c r="F157">
        <v>30</v>
      </c>
      <c r="G157">
        <v>3</v>
      </c>
    </row>
    <row r="158" spans="1:7" x14ac:dyDescent="0.3">
      <c r="A158">
        <v>65</v>
      </c>
      <c r="B158">
        <v>2</v>
      </c>
      <c r="C158">
        <v>0</v>
      </c>
      <c r="D158">
        <v>1</v>
      </c>
      <c r="E158">
        <v>63</v>
      </c>
      <c r="F158">
        <v>30</v>
      </c>
      <c r="G158">
        <v>2</v>
      </c>
    </row>
    <row r="159" spans="1:7" x14ac:dyDescent="0.3">
      <c r="A159">
        <v>131</v>
      </c>
      <c r="B159">
        <v>1</v>
      </c>
      <c r="C159">
        <v>4</v>
      </c>
      <c r="D159">
        <v>0</v>
      </c>
      <c r="E159">
        <v>334</v>
      </c>
      <c r="F159">
        <v>30</v>
      </c>
      <c r="G159">
        <v>2</v>
      </c>
    </row>
    <row r="160" spans="1:7" x14ac:dyDescent="0.3">
      <c r="A160">
        <v>52</v>
      </c>
      <c r="B160">
        <v>2</v>
      </c>
      <c r="C160">
        <v>2</v>
      </c>
      <c r="D160">
        <v>1</v>
      </c>
      <c r="E160">
        <v>135</v>
      </c>
      <c r="F160">
        <v>30</v>
      </c>
      <c r="G160">
        <v>1</v>
      </c>
    </row>
    <row r="161" spans="1:7" x14ac:dyDescent="0.3">
      <c r="A161">
        <v>178</v>
      </c>
      <c r="B161">
        <v>1</v>
      </c>
      <c r="C161">
        <v>4</v>
      </c>
      <c r="D161">
        <v>0</v>
      </c>
      <c r="E161">
        <v>243</v>
      </c>
      <c r="F161">
        <v>30</v>
      </c>
      <c r="G161">
        <v>2</v>
      </c>
    </row>
    <row r="162" spans="1:7" x14ac:dyDescent="0.3">
      <c r="A162">
        <v>85</v>
      </c>
      <c r="B162">
        <v>1</v>
      </c>
      <c r="C162">
        <v>4</v>
      </c>
      <c r="D162">
        <v>1</v>
      </c>
      <c r="E162">
        <v>243</v>
      </c>
      <c r="F162">
        <v>30</v>
      </c>
      <c r="G162">
        <v>2</v>
      </c>
    </row>
    <row r="163" spans="1:7" x14ac:dyDescent="0.3">
      <c r="A163">
        <v>200</v>
      </c>
      <c r="B163">
        <v>1</v>
      </c>
      <c r="C163">
        <v>4</v>
      </c>
      <c r="D163">
        <v>0</v>
      </c>
      <c r="E163">
        <v>364</v>
      </c>
      <c r="F163">
        <v>30</v>
      </c>
      <c r="G163">
        <v>2</v>
      </c>
    </row>
    <row r="164" spans="1:7" x14ac:dyDescent="0.3">
      <c r="A164">
        <v>58</v>
      </c>
      <c r="B164">
        <v>1</v>
      </c>
      <c r="C164">
        <v>0</v>
      </c>
      <c r="D164">
        <v>1</v>
      </c>
      <c r="E164">
        <v>125</v>
      </c>
      <c r="F164">
        <v>30</v>
      </c>
      <c r="G164">
        <v>1</v>
      </c>
    </row>
    <row r="165" spans="1:7" x14ac:dyDescent="0.3">
      <c r="A165">
        <v>143</v>
      </c>
      <c r="B165">
        <v>1</v>
      </c>
      <c r="C165">
        <v>0</v>
      </c>
      <c r="D165">
        <v>1</v>
      </c>
      <c r="E165">
        <v>48</v>
      </c>
      <c r="F165">
        <v>7</v>
      </c>
      <c r="G165">
        <v>2</v>
      </c>
    </row>
    <row r="166" spans="1:7" x14ac:dyDescent="0.3">
      <c r="A166">
        <v>105</v>
      </c>
      <c r="B166">
        <v>1</v>
      </c>
      <c r="C166">
        <v>4</v>
      </c>
      <c r="D166">
        <v>0</v>
      </c>
      <c r="E166">
        <v>86</v>
      </c>
      <c r="F166">
        <v>30</v>
      </c>
      <c r="G166">
        <v>2</v>
      </c>
    </row>
    <row r="167" spans="1:7" x14ac:dyDescent="0.3">
      <c r="A167">
        <v>190</v>
      </c>
      <c r="B167">
        <v>1</v>
      </c>
      <c r="C167">
        <v>2</v>
      </c>
      <c r="D167">
        <v>0</v>
      </c>
      <c r="E167">
        <v>334</v>
      </c>
      <c r="F167">
        <v>30</v>
      </c>
      <c r="G167">
        <v>4</v>
      </c>
    </row>
    <row r="168" spans="1:7" x14ac:dyDescent="0.3">
      <c r="A168">
        <v>154</v>
      </c>
      <c r="B168">
        <v>1</v>
      </c>
      <c r="C168">
        <v>2</v>
      </c>
      <c r="D168">
        <v>1</v>
      </c>
      <c r="E168">
        <v>98</v>
      </c>
      <c r="F168">
        <v>2</v>
      </c>
      <c r="G168">
        <v>2</v>
      </c>
    </row>
    <row r="169" spans="1:7" x14ac:dyDescent="0.3">
      <c r="A169">
        <v>80</v>
      </c>
      <c r="B169">
        <v>1.5</v>
      </c>
      <c r="C169">
        <v>2</v>
      </c>
      <c r="D169">
        <v>1</v>
      </c>
      <c r="E169">
        <v>52</v>
      </c>
      <c r="F169">
        <v>30</v>
      </c>
      <c r="G169">
        <v>1</v>
      </c>
    </row>
    <row r="170" spans="1:7" x14ac:dyDescent="0.3">
      <c r="A170">
        <v>140</v>
      </c>
      <c r="B170">
        <v>2</v>
      </c>
      <c r="C170">
        <v>0</v>
      </c>
      <c r="D170">
        <v>0</v>
      </c>
      <c r="E170">
        <v>180</v>
      </c>
      <c r="F170">
        <v>30</v>
      </c>
      <c r="G170">
        <v>7</v>
      </c>
    </row>
    <row r="171" spans="1:7" x14ac:dyDescent="0.3">
      <c r="A171">
        <v>51</v>
      </c>
      <c r="B171">
        <v>1</v>
      </c>
      <c r="C171">
        <v>2</v>
      </c>
      <c r="D171">
        <v>1</v>
      </c>
      <c r="E171">
        <v>265</v>
      </c>
      <c r="F171">
        <v>30</v>
      </c>
      <c r="G171">
        <v>2</v>
      </c>
    </row>
    <row r="172" spans="1:7" x14ac:dyDescent="0.3">
      <c r="A172">
        <v>84</v>
      </c>
      <c r="B172">
        <v>1</v>
      </c>
      <c r="C172">
        <v>2</v>
      </c>
      <c r="D172">
        <v>1</v>
      </c>
      <c r="E172">
        <v>349</v>
      </c>
      <c r="F172">
        <v>3</v>
      </c>
      <c r="G172">
        <v>1</v>
      </c>
    </row>
    <row r="173" spans="1:7" x14ac:dyDescent="0.3">
      <c r="A173">
        <v>75</v>
      </c>
      <c r="B173">
        <v>1</v>
      </c>
      <c r="C173">
        <v>4</v>
      </c>
      <c r="D173">
        <v>0</v>
      </c>
      <c r="E173">
        <v>182</v>
      </c>
      <c r="F173">
        <v>30</v>
      </c>
      <c r="G173">
        <v>2</v>
      </c>
    </row>
    <row r="174" spans="1:7" x14ac:dyDescent="0.3">
      <c r="A174">
        <v>129</v>
      </c>
      <c r="B174">
        <v>1</v>
      </c>
      <c r="C174">
        <v>4</v>
      </c>
      <c r="D174">
        <v>0</v>
      </c>
      <c r="E174">
        <v>331</v>
      </c>
      <c r="F174">
        <v>30</v>
      </c>
      <c r="G174">
        <v>2</v>
      </c>
    </row>
    <row r="175" spans="1:7" x14ac:dyDescent="0.3">
      <c r="A175">
        <v>127</v>
      </c>
      <c r="B175">
        <v>1</v>
      </c>
      <c r="C175">
        <v>2</v>
      </c>
      <c r="D175">
        <v>0</v>
      </c>
      <c r="E175">
        <v>260</v>
      </c>
      <c r="F175">
        <v>30</v>
      </c>
      <c r="G175">
        <v>1</v>
      </c>
    </row>
    <row r="176" spans="1:7" x14ac:dyDescent="0.3">
      <c r="A176">
        <v>104</v>
      </c>
      <c r="B176">
        <v>1</v>
      </c>
      <c r="C176">
        <v>4</v>
      </c>
      <c r="D176">
        <v>0</v>
      </c>
      <c r="E176">
        <v>272</v>
      </c>
      <c r="F176">
        <v>30</v>
      </c>
      <c r="G176">
        <v>2</v>
      </c>
    </row>
    <row r="177" spans="1:7" x14ac:dyDescent="0.3">
      <c r="A177">
        <v>56</v>
      </c>
      <c r="B177">
        <v>1</v>
      </c>
      <c r="C177">
        <v>2</v>
      </c>
      <c r="D177">
        <v>0</v>
      </c>
      <c r="E177">
        <v>183</v>
      </c>
      <c r="F177">
        <v>30</v>
      </c>
      <c r="G177">
        <v>2</v>
      </c>
    </row>
    <row r="178" spans="1:7" x14ac:dyDescent="0.3">
      <c r="A178">
        <v>74</v>
      </c>
      <c r="B178">
        <v>4</v>
      </c>
      <c r="C178">
        <v>4</v>
      </c>
      <c r="D178">
        <v>1</v>
      </c>
      <c r="E178">
        <v>300</v>
      </c>
      <c r="F178">
        <v>30</v>
      </c>
      <c r="G178">
        <v>1</v>
      </c>
    </row>
    <row r="179" spans="1:7" x14ac:dyDescent="0.3">
      <c r="A179">
        <v>192</v>
      </c>
      <c r="B179">
        <v>1</v>
      </c>
      <c r="C179">
        <v>2</v>
      </c>
      <c r="D179">
        <v>0</v>
      </c>
      <c r="E179">
        <v>224</v>
      </c>
      <c r="F179">
        <v>7</v>
      </c>
      <c r="G179">
        <v>2</v>
      </c>
    </row>
    <row r="180" spans="1:7" x14ac:dyDescent="0.3">
      <c r="A180">
        <v>103</v>
      </c>
      <c r="B180">
        <v>1</v>
      </c>
      <c r="C180">
        <v>2</v>
      </c>
      <c r="D180">
        <v>0</v>
      </c>
      <c r="E180">
        <v>299</v>
      </c>
      <c r="F180">
        <v>30</v>
      </c>
      <c r="G180">
        <v>2</v>
      </c>
    </row>
    <row r="181" spans="1:7" x14ac:dyDescent="0.3">
      <c r="A181">
        <v>55</v>
      </c>
      <c r="B181">
        <v>1</v>
      </c>
      <c r="C181">
        <v>0</v>
      </c>
      <c r="D181">
        <v>1</v>
      </c>
      <c r="E181">
        <v>60</v>
      </c>
      <c r="F181">
        <v>30</v>
      </c>
      <c r="G181">
        <v>1</v>
      </c>
    </row>
    <row r="182" spans="1:7" x14ac:dyDescent="0.3">
      <c r="A182">
        <v>130</v>
      </c>
      <c r="B182">
        <v>1</v>
      </c>
      <c r="C182">
        <v>2</v>
      </c>
      <c r="D182">
        <v>0</v>
      </c>
      <c r="E182">
        <v>217</v>
      </c>
      <c r="F182">
        <v>30</v>
      </c>
      <c r="G182">
        <v>4</v>
      </c>
    </row>
    <row r="183" spans="1:7" x14ac:dyDescent="0.3">
      <c r="A183">
        <v>110</v>
      </c>
      <c r="B183">
        <v>1</v>
      </c>
      <c r="C183">
        <v>2</v>
      </c>
      <c r="D183">
        <v>0</v>
      </c>
      <c r="E183">
        <v>62</v>
      </c>
      <c r="F183">
        <v>30</v>
      </c>
      <c r="G183">
        <v>1</v>
      </c>
    </row>
    <row r="184" spans="1:7" x14ac:dyDescent="0.3">
      <c r="A184">
        <v>100</v>
      </c>
      <c r="B184">
        <v>1</v>
      </c>
      <c r="C184">
        <v>2</v>
      </c>
      <c r="D184">
        <v>0</v>
      </c>
      <c r="E184">
        <v>95</v>
      </c>
      <c r="F184">
        <v>30</v>
      </c>
      <c r="G184">
        <v>2</v>
      </c>
    </row>
    <row r="185" spans="1:7" x14ac:dyDescent="0.3">
      <c r="A185">
        <v>145</v>
      </c>
      <c r="B185">
        <v>1</v>
      </c>
      <c r="C185">
        <v>2</v>
      </c>
      <c r="D185">
        <v>0</v>
      </c>
      <c r="E185">
        <v>114</v>
      </c>
      <c r="F185">
        <v>30</v>
      </c>
      <c r="G185">
        <v>3</v>
      </c>
    </row>
    <row r="186" spans="1:7" x14ac:dyDescent="0.3">
      <c r="A186">
        <v>250</v>
      </c>
      <c r="B186">
        <v>2</v>
      </c>
      <c r="C186">
        <v>2</v>
      </c>
      <c r="D186">
        <v>0</v>
      </c>
      <c r="E186">
        <v>288</v>
      </c>
      <c r="F186">
        <v>30</v>
      </c>
      <c r="G186">
        <v>5</v>
      </c>
    </row>
    <row r="187" spans="1:7" x14ac:dyDescent="0.3">
      <c r="A187">
        <v>173</v>
      </c>
      <c r="B187">
        <v>1</v>
      </c>
      <c r="C187">
        <v>4</v>
      </c>
      <c r="D187">
        <v>0</v>
      </c>
      <c r="E187">
        <v>120</v>
      </c>
      <c r="F187">
        <v>30</v>
      </c>
      <c r="G187">
        <v>2</v>
      </c>
    </row>
    <row r="188" spans="1:7" x14ac:dyDescent="0.3">
      <c r="A188">
        <v>80</v>
      </c>
      <c r="B188">
        <v>1</v>
      </c>
      <c r="C188">
        <v>2</v>
      </c>
      <c r="D188">
        <v>0</v>
      </c>
      <c r="E188">
        <v>82</v>
      </c>
      <c r="F188">
        <v>30</v>
      </c>
      <c r="G188">
        <v>2</v>
      </c>
    </row>
    <row r="189" spans="1:7" x14ac:dyDescent="0.3">
      <c r="A189">
        <v>150</v>
      </c>
      <c r="B189">
        <v>2</v>
      </c>
      <c r="C189">
        <v>0</v>
      </c>
      <c r="D189">
        <v>0</v>
      </c>
      <c r="E189">
        <v>71</v>
      </c>
      <c r="F189">
        <v>30</v>
      </c>
      <c r="G189">
        <v>4</v>
      </c>
    </row>
    <row r="190" spans="1:7" x14ac:dyDescent="0.3">
      <c r="A190">
        <v>76</v>
      </c>
      <c r="B190">
        <v>4</v>
      </c>
      <c r="C190">
        <v>4</v>
      </c>
      <c r="D190">
        <v>1</v>
      </c>
      <c r="E190">
        <v>358</v>
      </c>
      <c r="F190">
        <v>30</v>
      </c>
      <c r="G190">
        <v>1</v>
      </c>
    </row>
    <row r="191" spans="1:7" x14ac:dyDescent="0.3">
      <c r="A191">
        <v>112</v>
      </c>
      <c r="B191">
        <v>1</v>
      </c>
      <c r="C191">
        <v>2</v>
      </c>
      <c r="D191">
        <v>1</v>
      </c>
      <c r="E191">
        <v>239</v>
      </c>
      <c r="F191">
        <v>30</v>
      </c>
      <c r="G191">
        <v>2</v>
      </c>
    </row>
    <row r="192" spans="1:7" x14ac:dyDescent="0.3">
      <c r="A192">
        <v>119</v>
      </c>
      <c r="B192">
        <v>1</v>
      </c>
      <c r="C192">
        <v>0</v>
      </c>
      <c r="D192">
        <v>0</v>
      </c>
      <c r="E192">
        <v>144</v>
      </c>
      <c r="F192">
        <v>30</v>
      </c>
      <c r="G192">
        <v>2</v>
      </c>
    </row>
    <row r="193" spans="1:7" x14ac:dyDescent="0.3">
      <c r="A193">
        <v>75</v>
      </c>
      <c r="B193">
        <v>1</v>
      </c>
      <c r="C193">
        <v>2</v>
      </c>
      <c r="D193">
        <v>0</v>
      </c>
      <c r="E193">
        <v>106</v>
      </c>
      <c r="F193">
        <v>30</v>
      </c>
      <c r="G193">
        <v>2</v>
      </c>
    </row>
    <row r="194" spans="1:7" x14ac:dyDescent="0.3">
      <c r="A194">
        <v>280</v>
      </c>
      <c r="B194">
        <v>1</v>
      </c>
      <c r="C194">
        <v>2</v>
      </c>
      <c r="D194">
        <v>0</v>
      </c>
      <c r="E194">
        <v>305</v>
      </c>
      <c r="F194">
        <v>30</v>
      </c>
      <c r="G194">
        <v>2</v>
      </c>
    </row>
    <row r="195" spans="1:7" x14ac:dyDescent="0.3">
      <c r="A195">
        <v>142</v>
      </c>
      <c r="B195">
        <v>1</v>
      </c>
      <c r="C195">
        <v>0</v>
      </c>
      <c r="D195">
        <v>0</v>
      </c>
      <c r="E195">
        <v>321</v>
      </c>
      <c r="F195">
        <v>3</v>
      </c>
      <c r="G195">
        <v>4</v>
      </c>
    </row>
    <row r="196" spans="1:7" x14ac:dyDescent="0.3">
      <c r="A196">
        <v>147</v>
      </c>
      <c r="B196">
        <v>1.5</v>
      </c>
      <c r="C196">
        <v>2</v>
      </c>
      <c r="D196">
        <v>0</v>
      </c>
      <c r="E196">
        <v>100</v>
      </c>
      <c r="F196">
        <v>30</v>
      </c>
      <c r="G196">
        <v>4</v>
      </c>
    </row>
    <row r="197" spans="1:7" x14ac:dyDescent="0.3">
      <c r="A197">
        <v>98</v>
      </c>
      <c r="B197">
        <v>1</v>
      </c>
      <c r="C197">
        <v>4</v>
      </c>
      <c r="D197">
        <v>0</v>
      </c>
      <c r="E197">
        <v>331</v>
      </c>
      <c r="F197">
        <v>30</v>
      </c>
      <c r="G197">
        <v>4</v>
      </c>
    </row>
    <row r="198" spans="1:7" x14ac:dyDescent="0.3">
      <c r="A198">
        <v>252</v>
      </c>
      <c r="B198">
        <v>2</v>
      </c>
      <c r="C198">
        <v>2</v>
      </c>
      <c r="D198">
        <v>0</v>
      </c>
      <c r="E198">
        <v>338</v>
      </c>
      <c r="F198">
        <v>30</v>
      </c>
      <c r="G198">
        <v>4</v>
      </c>
    </row>
    <row r="199" spans="1:7" x14ac:dyDescent="0.3">
      <c r="A199">
        <v>77</v>
      </c>
      <c r="B199">
        <v>1</v>
      </c>
      <c r="C199">
        <v>2</v>
      </c>
      <c r="D199">
        <v>0</v>
      </c>
      <c r="E199">
        <v>129</v>
      </c>
      <c r="F199">
        <v>30</v>
      </c>
      <c r="G199">
        <v>2</v>
      </c>
    </row>
    <row r="200" spans="1:7" x14ac:dyDescent="0.3">
      <c r="A200">
        <v>50</v>
      </c>
      <c r="B200">
        <v>1</v>
      </c>
      <c r="C200">
        <v>0</v>
      </c>
      <c r="D200">
        <v>1</v>
      </c>
      <c r="E200">
        <v>150</v>
      </c>
      <c r="F200">
        <v>30</v>
      </c>
      <c r="G200">
        <v>1</v>
      </c>
    </row>
    <row r="201" spans="1:7" x14ac:dyDescent="0.3">
      <c r="A201">
        <v>139</v>
      </c>
      <c r="B201">
        <v>1</v>
      </c>
      <c r="C201">
        <v>0</v>
      </c>
      <c r="D201">
        <v>0</v>
      </c>
      <c r="E201">
        <v>122</v>
      </c>
      <c r="F201">
        <v>30</v>
      </c>
      <c r="G201">
        <v>2</v>
      </c>
    </row>
    <row r="202" spans="1:7" x14ac:dyDescent="0.3">
      <c r="A202">
        <v>120</v>
      </c>
      <c r="B202">
        <v>1</v>
      </c>
      <c r="C202">
        <v>4</v>
      </c>
      <c r="D202">
        <v>0</v>
      </c>
      <c r="E202">
        <v>275</v>
      </c>
      <c r="F202">
        <v>30</v>
      </c>
      <c r="G202">
        <v>2</v>
      </c>
    </row>
    <row r="203" spans="1:7" x14ac:dyDescent="0.3">
      <c r="A203">
        <v>139</v>
      </c>
      <c r="B203">
        <v>1</v>
      </c>
      <c r="C203">
        <v>2</v>
      </c>
      <c r="D203">
        <v>0</v>
      </c>
      <c r="E203">
        <v>260</v>
      </c>
      <c r="F203">
        <v>30</v>
      </c>
      <c r="G203">
        <v>3</v>
      </c>
    </row>
    <row r="204" spans="1:7" x14ac:dyDescent="0.3">
      <c r="A204">
        <v>186</v>
      </c>
      <c r="B204">
        <v>1</v>
      </c>
      <c r="C204">
        <v>2</v>
      </c>
      <c r="D204">
        <v>1</v>
      </c>
      <c r="E204">
        <v>36</v>
      </c>
      <c r="F204">
        <v>5</v>
      </c>
      <c r="G204">
        <v>2</v>
      </c>
    </row>
    <row r="205" spans="1:7" x14ac:dyDescent="0.3">
      <c r="A205">
        <v>191</v>
      </c>
      <c r="B205">
        <v>1</v>
      </c>
      <c r="C205">
        <v>2</v>
      </c>
      <c r="D205">
        <v>1</v>
      </c>
      <c r="E205">
        <v>170</v>
      </c>
      <c r="F205">
        <v>7</v>
      </c>
      <c r="G205">
        <v>2</v>
      </c>
    </row>
    <row r="206" spans="1:7" x14ac:dyDescent="0.3">
      <c r="A206">
        <v>50</v>
      </c>
      <c r="B206">
        <v>1</v>
      </c>
      <c r="C206">
        <v>0</v>
      </c>
      <c r="D206">
        <v>1</v>
      </c>
      <c r="E206">
        <v>334</v>
      </c>
      <c r="F206">
        <v>30</v>
      </c>
      <c r="G206">
        <v>2</v>
      </c>
    </row>
    <row r="207" spans="1:7" x14ac:dyDescent="0.3">
      <c r="A207">
        <v>146</v>
      </c>
      <c r="B207">
        <v>1</v>
      </c>
      <c r="C207">
        <v>0</v>
      </c>
      <c r="D207">
        <v>0</v>
      </c>
      <c r="E207">
        <v>202</v>
      </c>
      <c r="F207">
        <v>30</v>
      </c>
      <c r="G207">
        <v>6</v>
      </c>
    </row>
    <row r="208" spans="1:7" x14ac:dyDescent="0.3">
      <c r="A208">
        <v>125</v>
      </c>
      <c r="B208">
        <v>1</v>
      </c>
      <c r="C208">
        <v>2</v>
      </c>
      <c r="D208">
        <v>0</v>
      </c>
      <c r="E208">
        <v>147</v>
      </c>
      <c r="F208">
        <v>30</v>
      </c>
      <c r="G208">
        <v>2</v>
      </c>
    </row>
    <row r="209" spans="1:7" x14ac:dyDescent="0.3">
      <c r="A209">
        <v>74</v>
      </c>
      <c r="B209">
        <v>1</v>
      </c>
      <c r="C209">
        <v>2</v>
      </c>
      <c r="D209">
        <v>1</v>
      </c>
      <c r="E209">
        <v>136</v>
      </c>
      <c r="F209">
        <v>30</v>
      </c>
      <c r="G209">
        <v>2</v>
      </c>
    </row>
    <row r="210" spans="1:7" x14ac:dyDescent="0.3">
      <c r="A210">
        <v>50</v>
      </c>
      <c r="B210">
        <v>1</v>
      </c>
      <c r="C210">
        <v>0</v>
      </c>
      <c r="D210">
        <v>1</v>
      </c>
      <c r="E210">
        <v>180</v>
      </c>
      <c r="F210">
        <v>30</v>
      </c>
      <c r="G210">
        <v>2</v>
      </c>
    </row>
    <row r="211" spans="1:7" x14ac:dyDescent="0.3">
      <c r="A211">
        <v>128</v>
      </c>
      <c r="B211">
        <v>1.5</v>
      </c>
      <c r="C211">
        <v>2</v>
      </c>
      <c r="D211">
        <v>1</v>
      </c>
      <c r="E211">
        <v>363</v>
      </c>
      <c r="F211">
        <v>30</v>
      </c>
      <c r="G211">
        <v>1</v>
      </c>
    </row>
    <row r="212" spans="1:7" x14ac:dyDescent="0.3">
      <c r="A212">
        <v>305</v>
      </c>
      <c r="B212">
        <v>1</v>
      </c>
      <c r="C212">
        <v>2</v>
      </c>
      <c r="D212">
        <v>0</v>
      </c>
      <c r="E212">
        <v>75</v>
      </c>
      <c r="F212">
        <v>30</v>
      </c>
      <c r="G212">
        <v>2</v>
      </c>
    </row>
    <row r="213" spans="1:7" x14ac:dyDescent="0.3">
      <c r="A213">
        <v>62</v>
      </c>
      <c r="B213">
        <v>1</v>
      </c>
      <c r="C213">
        <v>4</v>
      </c>
      <c r="D213">
        <v>1</v>
      </c>
      <c r="E213">
        <v>356</v>
      </c>
      <c r="F213">
        <v>30</v>
      </c>
      <c r="G213">
        <v>1</v>
      </c>
    </row>
    <row r="214" spans="1:7" x14ac:dyDescent="0.3">
      <c r="A214">
        <v>124</v>
      </c>
      <c r="B214">
        <v>1</v>
      </c>
      <c r="C214">
        <v>0</v>
      </c>
      <c r="D214">
        <v>0</v>
      </c>
      <c r="E214">
        <v>232</v>
      </c>
      <c r="F214">
        <v>30</v>
      </c>
      <c r="G214">
        <v>4</v>
      </c>
    </row>
    <row r="215" spans="1:7" x14ac:dyDescent="0.3">
      <c r="A215">
        <v>74</v>
      </c>
      <c r="B215">
        <v>1</v>
      </c>
      <c r="C215">
        <v>0</v>
      </c>
      <c r="D215">
        <v>1</v>
      </c>
      <c r="E215">
        <v>364</v>
      </c>
      <c r="F215">
        <v>30</v>
      </c>
      <c r="G215">
        <v>2</v>
      </c>
    </row>
    <row r="216" spans="1:7" x14ac:dyDescent="0.3">
      <c r="A216">
        <v>100</v>
      </c>
      <c r="B216">
        <v>1</v>
      </c>
      <c r="C216">
        <v>0</v>
      </c>
      <c r="D216">
        <v>1</v>
      </c>
      <c r="E216">
        <v>86</v>
      </c>
      <c r="F216">
        <v>1</v>
      </c>
      <c r="G216">
        <v>2</v>
      </c>
    </row>
    <row r="217" spans="1:7" x14ac:dyDescent="0.3">
      <c r="A217">
        <v>70</v>
      </c>
      <c r="B217">
        <v>1.5</v>
      </c>
      <c r="C217">
        <v>2</v>
      </c>
      <c r="D217">
        <v>1</v>
      </c>
      <c r="E217">
        <v>180</v>
      </c>
      <c r="F217">
        <v>30</v>
      </c>
      <c r="G217">
        <v>2</v>
      </c>
    </row>
    <row r="218" spans="1:7" x14ac:dyDescent="0.3">
      <c r="A218">
        <v>131</v>
      </c>
      <c r="B218">
        <v>1</v>
      </c>
      <c r="C218">
        <v>2</v>
      </c>
      <c r="D218">
        <v>0</v>
      </c>
      <c r="E218">
        <v>85</v>
      </c>
      <c r="F218">
        <v>30</v>
      </c>
      <c r="G218">
        <v>2</v>
      </c>
    </row>
    <row r="219" spans="1:7" x14ac:dyDescent="0.3">
      <c r="A219">
        <v>105</v>
      </c>
      <c r="B219">
        <v>1</v>
      </c>
      <c r="C219">
        <v>2</v>
      </c>
      <c r="D219">
        <v>0</v>
      </c>
      <c r="E219">
        <v>87</v>
      </c>
      <c r="F219">
        <v>30</v>
      </c>
      <c r="G219">
        <v>3</v>
      </c>
    </row>
    <row r="220" spans="1:7" x14ac:dyDescent="0.3">
      <c r="A220">
        <v>450</v>
      </c>
      <c r="B220">
        <v>1</v>
      </c>
      <c r="C220">
        <v>4</v>
      </c>
      <c r="D220">
        <v>0</v>
      </c>
      <c r="E220">
        <v>179</v>
      </c>
      <c r="F220">
        <v>30</v>
      </c>
      <c r="G220">
        <v>3</v>
      </c>
    </row>
    <row r="221" spans="1:7" x14ac:dyDescent="0.3">
      <c r="A221">
        <v>293</v>
      </c>
      <c r="B221">
        <v>1</v>
      </c>
      <c r="C221">
        <v>4</v>
      </c>
      <c r="D221">
        <v>0</v>
      </c>
      <c r="E221">
        <v>188</v>
      </c>
      <c r="F221">
        <v>2</v>
      </c>
      <c r="G221">
        <v>6</v>
      </c>
    </row>
    <row r="222" spans="1:7" x14ac:dyDescent="0.3">
      <c r="A222">
        <v>85</v>
      </c>
      <c r="B222">
        <v>1</v>
      </c>
      <c r="C222">
        <v>2</v>
      </c>
      <c r="D222">
        <v>0</v>
      </c>
      <c r="E222">
        <v>94</v>
      </c>
      <c r="F222">
        <v>30</v>
      </c>
      <c r="G222">
        <v>2</v>
      </c>
    </row>
    <row r="223" spans="1:7" x14ac:dyDescent="0.3">
      <c r="A223">
        <v>247</v>
      </c>
      <c r="B223">
        <v>1</v>
      </c>
      <c r="C223">
        <v>2</v>
      </c>
      <c r="D223">
        <v>0</v>
      </c>
      <c r="E223">
        <v>38</v>
      </c>
      <c r="F223">
        <v>30</v>
      </c>
      <c r="G223">
        <v>2</v>
      </c>
    </row>
    <row r="224" spans="1:7" x14ac:dyDescent="0.3">
      <c r="A224">
        <v>70</v>
      </c>
      <c r="B224">
        <v>1</v>
      </c>
      <c r="C224">
        <v>2</v>
      </c>
      <c r="D224">
        <v>1</v>
      </c>
      <c r="E224">
        <v>78</v>
      </c>
      <c r="F224">
        <v>30</v>
      </c>
      <c r="G224">
        <v>1</v>
      </c>
    </row>
    <row r="225" spans="1:7" x14ac:dyDescent="0.3">
      <c r="A225">
        <v>86</v>
      </c>
      <c r="B225">
        <v>1</v>
      </c>
      <c r="C225">
        <v>2</v>
      </c>
      <c r="D225">
        <v>1</v>
      </c>
      <c r="E225">
        <v>351</v>
      </c>
      <c r="F225">
        <v>3</v>
      </c>
      <c r="G225">
        <v>1</v>
      </c>
    </row>
    <row r="226" spans="1:7" x14ac:dyDescent="0.3">
      <c r="A226">
        <v>200</v>
      </c>
      <c r="B226">
        <v>2</v>
      </c>
      <c r="C226">
        <v>4</v>
      </c>
      <c r="D226">
        <v>0</v>
      </c>
      <c r="E226">
        <v>165</v>
      </c>
      <c r="F226">
        <v>30</v>
      </c>
      <c r="G226">
        <v>4</v>
      </c>
    </row>
    <row r="227" spans="1:7" x14ac:dyDescent="0.3">
      <c r="A227">
        <v>100</v>
      </c>
      <c r="B227">
        <v>1</v>
      </c>
      <c r="C227">
        <v>2</v>
      </c>
      <c r="D227">
        <v>1</v>
      </c>
      <c r="E227">
        <v>220</v>
      </c>
      <c r="F227">
        <v>1</v>
      </c>
      <c r="G227">
        <v>2</v>
      </c>
    </row>
    <row r="228" spans="1:7" x14ac:dyDescent="0.3">
      <c r="A228">
        <v>54</v>
      </c>
      <c r="B228">
        <v>1</v>
      </c>
      <c r="C228">
        <v>0</v>
      </c>
      <c r="D228">
        <v>1</v>
      </c>
      <c r="E228">
        <v>278</v>
      </c>
      <c r="F228">
        <v>30</v>
      </c>
      <c r="G228">
        <v>1</v>
      </c>
    </row>
    <row r="229" spans="1:7" x14ac:dyDescent="0.3">
      <c r="A229">
        <v>266</v>
      </c>
      <c r="B229">
        <v>1</v>
      </c>
      <c r="C229">
        <v>4</v>
      </c>
      <c r="D229">
        <v>0</v>
      </c>
      <c r="E229">
        <v>170</v>
      </c>
      <c r="F229">
        <v>2</v>
      </c>
      <c r="G229">
        <v>6</v>
      </c>
    </row>
    <row r="230" spans="1:7" x14ac:dyDescent="0.3">
      <c r="A230">
        <v>283</v>
      </c>
      <c r="B230">
        <v>1</v>
      </c>
      <c r="C230">
        <v>4</v>
      </c>
      <c r="D230">
        <v>0</v>
      </c>
      <c r="E230">
        <v>98</v>
      </c>
      <c r="F230">
        <v>30</v>
      </c>
      <c r="G230">
        <v>2</v>
      </c>
    </row>
    <row r="231" spans="1:7" x14ac:dyDescent="0.3">
      <c r="A231">
        <v>416</v>
      </c>
      <c r="B231">
        <v>1</v>
      </c>
      <c r="C231">
        <v>4</v>
      </c>
      <c r="D231">
        <v>0</v>
      </c>
      <c r="E231">
        <v>216</v>
      </c>
      <c r="F231">
        <v>1</v>
      </c>
      <c r="G231">
        <v>4</v>
      </c>
    </row>
    <row r="232" spans="1:7" x14ac:dyDescent="0.3">
      <c r="A232">
        <v>232</v>
      </c>
      <c r="B232">
        <v>2</v>
      </c>
      <c r="C232">
        <v>4</v>
      </c>
      <c r="D232">
        <v>0</v>
      </c>
      <c r="E232">
        <v>365</v>
      </c>
      <c r="F232">
        <v>30</v>
      </c>
      <c r="G232">
        <v>8</v>
      </c>
    </row>
    <row r="233" spans="1:7" x14ac:dyDescent="0.3">
      <c r="A233">
        <v>70</v>
      </c>
      <c r="B233">
        <v>1</v>
      </c>
      <c r="C233">
        <v>4</v>
      </c>
      <c r="D233">
        <v>1</v>
      </c>
      <c r="E233">
        <v>62</v>
      </c>
      <c r="F233">
        <v>30</v>
      </c>
      <c r="G233">
        <v>2</v>
      </c>
    </row>
    <row r="234" spans="1:7" x14ac:dyDescent="0.3">
      <c r="A234">
        <v>270</v>
      </c>
      <c r="B234">
        <v>1.5</v>
      </c>
      <c r="C234">
        <v>0</v>
      </c>
      <c r="D234">
        <v>0</v>
      </c>
      <c r="E234">
        <v>241</v>
      </c>
      <c r="F234">
        <v>30</v>
      </c>
      <c r="G234">
        <v>8</v>
      </c>
    </row>
    <row r="235" spans="1:7" x14ac:dyDescent="0.3">
      <c r="A235">
        <v>110</v>
      </c>
      <c r="B235">
        <v>1</v>
      </c>
      <c r="C235">
        <v>4</v>
      </c>
      <c r="D235">
        <v>0</v>
      </c>
      <c r="E235">
        <v>296</v>
      </c>
      <c r="F235">
        <v>30</v>
      </c>
      <c r="G235">
        <v>2</v>
      </c>
    </row>
    <row r="236" spans="1:7" x14ac:dyDescent="0.3">
      <c r="A236">
        <v>62</v>
      </c>
      <c r="B236">
        <v>1</v>
      </c>
      <c r="C236">
        <v>2</v>
      </c>
      <c r="D236">
        <v>1</v>
      </c>
      <c r="E236">
        <v>360</v>
      </c>
      <c r="F236">
        <v>30</v>
      </c>
      <c r="G236">
        <v>2</v>
      </c>
    </row>
    <row r="237" spans="1:7" x14ac:dyDescent="0.3">
      <c r="A237">
        <v>82</v>
      </c>
      <c r="B237">
        <v>1</v>
      </c>
      <c r="C237">
        <v>0</v>
      </c>
      <c r="D237">
        <v>0</v>
      </c>
      <c r="E237">
        <v>245</v>
      </c>
      <c r="F237">
        <v>30</v>
      </c>
      <c r="G237">
        <v>4</v>
      </c>
    </row>
    <row r="238" spans="1:7" x14ac:dyDescent="0.3">
      <c r="A238">
        <v>84</v>
      </c>
      <c r="B238">
        <v>1</v>
      </c>
      <c r="C238">
        <v>2</v>
      </c>
      <c r="D238">
        <v>0</v>
      </c>
      <c r="E238">
        <v>238</v>
      </c>
      <c r="F238">
        <v>30</v>
      </c>
      <c r="G238">
        <v>2</v>
      </c>
    </row>
    <row r="239" spans="1:7" x14ac:dyDescent="0.3">
      <c r="A239">
        <v>69</v>
      </c>
      <c r="B239">
        <v>1</v>
      </c>
      <c r="C239">
        <v>0</v>
      </c>
      <c r="D239">
        <v>1</v>
      </c>
      <c r="E239">
        <v>304</v>
      </c>
      <c r="F239">
        <v>30</v>
      </c>
      <c r="G239">
        <v>1</v>
      </c>
    </row>
    <row r="240" spans="1:7" x14ac:dyDescent="0.3">
      <c r="A240">
        <v>133</v>
      </c>
      <c r="B240">
        <v>1</v>
      </c>
      <c r="C240">
        <v>4</v>
      </c>
      <c r="D240">
        <v>0</v>
      </c>
      <c r="E240">
        <v>339</v>
      </c>
      <c r="F240">
        <v>30</v>
      </c>
      <c r="G240">
        <v>2</v>
      </c>
    </row>
    <row r="241" spans="1:7" x14ac:dyDescent="0.3">
      <c r="A241">
        <v>100</v>
      </c>
      <c r="B241">
        <v>1</v>
      </c>
      <c r="C241">
        <v>0</v>
      </c>
      <c r="D241">
        <v>0</v>
      </c>
      <c r="E241">
        <v>121</v>
      </c>
      <c r="F241">
        <v>30</v>
      </c>
      <c r="G241">
        <v>4</v>
      </c>
    </row>
    <row r="242" spans="1:7" x14ac:dyDescent="0.3">
      <c r="A242">
        <v>389</v>
      </c>
      <c r="B242">
        <v>1</v>
      </c>
      <c r="C242">
        <v>4</v>
      </c>
      <c r="D242">
        <v>0</v>
      </c>
      <c r="E242">
        <v>153</v>
      </c>
      <c r="F242">
        <v>30</v>
      </c>
      <c r="G242">
        <v>4</v>
      </c>
    </row>
    <row r="243" spans="1:7" x14ac:dyDescent="0.3">
      <c r="A243">
        <v>117</v>
      </c>
      <c r="B243">
        <v>1</v>
      </c>
      <c r="C243">
        <v>2</v>
      </c>
      <c r="D243">
        <v>0</v>
      </c>
      <c r="E243">
        <v>213</v>
      </c>
      <c r="F243">
        <v>30</v>
      </c>
      <c r="G243">
        <v>3</v>
      </c>
    </row>
    <row r="244" spans="1:7" x14ac:dyDescent="0.3">
      <c r="A244">
        <v>301</v>
      </c>
      <c r="B244">
        <v>1</v>
      </c>
      <c r="C244">
        <v>4</v>
      </c>
      <c r="D244">
        <v>1</v>
      </c>
      <c r="E244">
        <v>285</v>
      </c>
      <c r="F244">
        <v>1</v>
      </c>
      <c r="G244">
        <v>2</v>
      </c>
    </row>
    <row r="245" spans="1:7" x14ac:dyDescent="0.3">
      <c r="A245">
        <v>75</v>
      </c>
      <c r="B245">
        <v>1.5</v>
      </c>
      <c r="C245">
        <v>0</v>
      </c>
      <c r="D245">
        <v>1</v>
      </c>
      <c r="E245">
        <v>135</v>
      </c>
      <c r="F245">
        <v>7</v>
      </c>
      <c r="G245">
        <v>2</v>
      </c>
    </row>
    <row r="246" spans="1:7" x14ac:dyDescent="0.3">
      <c r="A246">
        <v>220</v>
      </c>
      <c r="B246">
        <v>1</v>
      </c>
      <c r="C246">
        <v>4</v>
      </c>
      <c r="D246">
        <v>0</v>
      </c>
      <c r="E246">
        <v>235</v>
      </c>
      <c r="F246">
        <v>30</v>
      </c>
      <c r="G246">
        <v>4</v>
      </c>
    </row>
    <row r="247" spans="1:7" x14ac:dyDescent="0.3">
      <c r="A247">
        <v>143</v>
      </c>
      <c r="B247">
        <v>1</v>
      </c>
      <c r="C247">
        <v>2</v>
      </c>
      <c r="D247">
        <v>0</v>
      </c>
      <c r="E247">
        <v>92</v>
      </c>
      <c r="F247">
        <v>30</v>
      </c>
      <c r="G247">
        <v>3</v>
      </c>
    </row>
    <row r="248" spans="1:7" x14ac:dyDescent="0.3">
      <c r="A248">
        <v>98</v>
      </c>
      <c r="B248">
        <v>1</v>
      </c>
      <c r="C248">
        <v>2</v>
      </c>
      <c r="D248">
        <v>0</v>
      </c>
      <c r="E248">
        <v>274</v>
      </c>
      <c r="F248">
        <v>30</v>
      </c>
      <c r="G248">
        <v>2</v>
      </c>
    </row>
    <row r="249" spans="1:7" x14ac:dyDescent="0.3">
      <c r="A249">
        <v>234</v>
      </c>
      <c r="B249">
        <v>1</v>
      </c>
      <c r="C249">
        <v>4</v>
      </c>
      <c r="D249">
        <v>0</v>
      </c>
      <c r="E249">
        <v>250</v>
      </c>
      <c r="F249">
        <v>3</v>
      </c>
      <c r="G249">
        <v>2</v>
      </c>
    </row>
    <row r="250" spans="1:7" x14ac:dyDescent="0.3">
      <c r="A250">
        <v>139</v>
      </c>
      <c r="B250">
        <v>1</v>
      </c>
      <c r="C250">
        <v>2</v>
      </c>
      <c r="D250">
        <v>0</v>
      </c>
      <c r="E250">
        <v>293</v>
      </c>
      <c r="F250">
        <v>30</v>
      </c>
      <c r="G250">
        <v>4</v>
      </c>
    </row>
    <row r="251" spans="1:7" x14ac:dyDescent="0.3">
      <c r="A251">
        <v>113</v>
      </c>
      <c r="B251">
        <v>1</v>
      </c>
      <c r="C251">
        <v>4</v>
      </c>
      <c r="D251">
        <v>0</v>
      </c>
      <c r="E251">
        <v>332</v>
      </c>
      <c r="F251">
        <v>30</v>
      </c>
      <c r="G251">
        <v>2</v>
      </c>
    </row>
    <row r="252" spans="1:7" x14ac:dyDescent="0.3">
      <c r="A252">
        <v>67</v>
      </c>
      <c r="B252">
        <v>1</v>
      </c>
      <c r="C252">
        <v>0</v>
      </c>
      <c r="D252">
        <v>0</v>
      </c>
      <c r="E252">
        <v>331</v>
      </c>
      <c r="F252">
        <v>30</v>
      </c>
      <c r="G252">
        <v>2</v>
      </c>
    </row>
    <row r="253" spans="1:7" x14ac:dyDescent="0.3">
      <c r="A253">
        <v>264</v>
      </c>
      <c r="B253">
        <v>1</v>
      </c>
      <c r="C253">
        <v>4</v>
      </c>
      <c r="D253">
        <v>1</v>
      </c>
      <c r="E253">
        <v>325</v>
      </c>
      <c r="F253">
        <v>1</v>
      </c>
      <c r="G253">
        <v>2</v>
      </c>
    </row>
    <row r="254" spans="1:7" x14ac:dyDescent="0.3">
      <c r="A254">
        <v>68</v>
      </c>
      <c r="B254">
        <v>1</v>
      </c>
      <c r="C254">
        <v>0</v>
      </c>
      <c r="D254">
        <v>1</v>
      </c>
      <c r="E254">
        <v>111</v>
      </c>
      <c r="F254">
        <v>30</v>
      </c>
      <c r="G254">
        <v>1</v>
      </c>
    </row>
    <row r="255" spans="1:7" x14ac:dyDescent="0.3">
      <c r="A255">
        <v>70</v>
      </c>
      <c r="B255">
        <v>1</v>
      </c>
      <c r="C255">
        <v>2</v>
      </c>
      <c r="D255">
        <v>1</v>
      </c>
      <c r="E255">
        <v>180</v>
      </c>
      <c r="F255">
        <v>30</v>
      </c>
      <c r="G255">
        <v>3</v>
      </c>
    </row>
    <row r="256" spans="1:7" x14ac:dyDescent="0.3">
      <c r="A256">
        <v>183</v>
      </c>
      <c r="B256">
        <v>1</v>
      </c>
      <c r="C256">
        <v>4</v>
      </c>
      <c r="D256">
        <v>0</v>
      </c>
      <c r="E256">
        <v>365</v>
      </c>
      <c r="F256">
        <v>30</v>
      </c>
      <c r="G256">
        <v>3</v>
      </c>
    </row>
    <row r="257" spans="1:7" x14ac:dyDescent="0.3">
      <c r="A257">
        <v>100</v>
      </c>
      <c r="B257">
        <v>1</v>
      </c>
      <c r="C257">
        <v>0</v>
      </c>
      <c r="D257">
        <v>0</v>
      </c>
      <c r="E257">
        <v>199</v>
      </c>
      <c r="F257">
        <v>30</v>
      </c>
      <c r="G257">
        <v>2</v>
      </c>
    </row>
    <row r="258" spans="1:7" x14ac:dyDescent="0.3">
      <c r="A258">
        <v>159</v>
      </c>
      <c r="B258">
        <v>1</v>
      </c>
      <c r="C258">
        <v>2</v>
      </c>
      <c r="D258">
        <v>0</v>
      </c>
      <c r="E258">
        <v>68</v>
      </c>
      <c r="F258">
        <v>30</v>
      </c>
      <c r="G258">
        <v>2</v>
      </c>
    </row>
    <row r="259" spans="1:7" x14ac:dyDescent="0.3">
      <c r="A259">
        <v>324</v>
      </c>
      <c r="B259">
        <v>1</v>
      </c>
      <c r="C259">
        <v>4</v>
      </c>
      <c r="D259">
        <v>1</v>
      </c>
      <c r="E259">
        <v>298</v>
      </c>
      <c r="F259">
        <v>1</v>
      </c>
      <c r="G259">
        <v>4</v>
      </c>
    </row>
    <row r="260" spans="1:7" x14ac:dyDescent="0.3">
      <c r="A260">
        <v>310</v>
      </c>
      <c r="B260">
        <v>1</v>
      </c>
      <c r="C260">
        <v>4</v>
      </c>
      <c r="D260">
        <v>1</v>
      </c>
      <c r="E260">
        <v>261</v>
      </c>
      <c r="F260">
        <v>1</v>
      </c>
      <c r="G260">
        <v>4</v>
      </c>
    </row>
    <row r="261" spans="1:7" x14ac:dyDescent="0.3">
      <c r="A261">
        <v>230</v>
      </c>
      <c r="B261">
        <v>1</v>
      </c>
      <c r="C261">
        <v>4</v>
      </c>
      <c r="D261">
        <v>0</v>
      </c>
      <c r="E261">
        <v>274</v>
      </c>
      <c r="F261">
        <v>30</v>
      </c>
      <c r="G261">
        <v>3</v>
      </c>
    </row>
    <row r="262" spans="1:7" x14ac:dyDescent="0.3">
      <c r="A262">
        <v>79</v>
      </c>
      <c r="B262">
        <v>1</v>
      </c>
      <c r="C262">
        <v>4</v>
      </c>
      <c r="D262">
        <v>1</v>
      </c>
      <c r="E262">
        <v>190</v>
      </c>
      <c r="F262">
        <v>30</v>
      </c>
      <c r="G262">
        <v>1</v>
      </c>
    </row>
    <row r="263" spans="1:7" x14ac:dyDescent="0.3">
      <c r="A263">
        <v>203</v>
      </c>
      <c r="B263">
        <v>1</v>
      </c>
      <c r="C263">
        <v>2</v>
      </c>
      <c r="D263">
        <v>0</v>
      </c>
      <c r="E263">
        <v>178</v>
      </c>
      <c r="F263">
        <v>30</v>
      </c>
      <c r="G263">
        <v>5</v>
      </c>
    </row>
    <row r="264" spans="1:7" x14ac:dyDescent="0.3">
      <c r="A264">
        <v>80</v>
      </c>
      <c r="B264">
        <v>1</v>
      </c>
      <c r="C264">
        <v>2</v>
      </c>
      <c r="D264">
        <v>1</v>
      </c>
      <c r="E264">
        <v>119</v>
      </c>
      <c r="F264">
        <v>30</v>
      </c>
      <c r="G264">
        <v>2</v>
      </c>
    </row>
    <row r="265" spans="1:7" x14ac:dyDescent="0.3">
      <c r="A265">
        <v>92</v>
      </c>
      <c r="B265">
        <v>1</v>
      </c>
      <c r="C265">
        <v>0</v>
      </c>
      <c r="D265">
        <v>1</v>
      </c>
      <c r="E265">
        <v>342</v>
      </c>
      <c r="F265">
        <v>2</v>
      </c>
      <c r="G265">
        <v>3</v>
      </c>
    </row>
    <row r="266" spans="1:7" x14ac:dyDescent="0.3">
      <c r="A266">
        <v>59</v>
      </c>
      <c r="B266">
        <v>1</v>
      </c>
      <c r="C266">
        <v>0</v>
      </c>
      <c r="D266">
        <v>1</v>
      </c>
      <c r="E266">
        <v>362</v>
      </c>
      <c r="F266">
        <v>1</v>
      </c>
      <c r="G266">
        <v>1</v>
      </c>
    </row>
    <row r="267" spans="1:7" x14ac:dyDescent="0.3">
      <c r="A267">
        <v>145</v>
      </c>
      <c r="B267">
        <v>1</v>
      </c>
      <c r="C267">
        <v>2</v>
      </c>
      <c r="D267">
        <v>0</v>
      </c>
      <c r="E267">
        <v>356</v>
      </c>
      <c r="F267">
        <v>30</v>
      </c>
      <c r="G267">
        <v>6</v>
      </c>
    </row>
    <row r="268" spans="1:7" x14ac:dyDescent="0.3">
      <c r="A268">
        <v>146</v>
      </c>
      <c r="B268">
        <v>1</v>
      </c>
      <c r="C268">
        <v>4</v>
      </c>
      <c r="D268">
        <v>0</v>
      </c>
      <c r="E268">
        <v>362</v>
      </c>
      <c r="F268">
        <v>30</v>
      </c>
      <c r="G268">
        <v>4</v>
      </c>
    </row>
    <row r="269" spans="1:7" x14ac:dyDescent="0.3">
      <c r="A269">
        <v>157</v>
      </c>
      <c r="B269">
        <v>1</v>
      </c>
      <c r="C269">
        <v>2</v>
      </c>
      <c r="D269">
        <v>0</v>
      </c>
      <c r="E269">
        <v>89</v>
      </c>
      <c r="F269">
        <v>30</v>
      </c>
      <c r="G269">
        <v>2</v>
      </c>
    </row>
    <row r="270" spans="1:7" x14ac:dyDescent="0.3">
      <c r="A270">
        <v>182</v>
      </c>
      <c r="B270">
        <v>1</v>
      </c>
      <c r="C270">
        <v>4</v>
      </c>
      <c r="D270">
        <v>0</v>
      </c>
      <c r="E270">
        <v>179</v>
      </c>
      <c r="F270">
        <v>30</v>
      </c>
      <c r="G270">
        <v>3</v>
      </c>
    </row>
    <row r="271" spans="1:7" x14ac:dyDescent="0.3">
      <c r="A271">
        <v>284</v>
      </c>
      <c r="B271">
        <v>1</v>
      </c>
      <c r="C271">
        <v>4</v>
      </c>
      <c r="D271">
        <v>1</v>
      </c>
      <c r="E271">
        <v>349</v>
      </c>
      <c r="F271">
        <v>1</v>
      </c>
      <c r="G271">
        <v>2</v>
      </c>
    </row>
    <row r="272" spans="1:7" x14ac:dyDescent="0.3">
      <c r="A272">
        <v>143</v>
      </c>
      <c r="B272">
        <v>1</v>
      </c>
      <c r="C272">
        <v>2</v>
      </c>
      <c r="D272">
        <v>1</v>
      </c>
      <c r="E272">
        <v>356</v>
      </c>
      <c r="F272">
        <v>2</v>
      </c>
      <c r="G272">
        <v>2</v>
      </c>
    </row>
    <row r="273" spans="1:7" x14ac:dyDescent="0.3">
      <c r="A273">
        <v>245</v>
      </c>
      <c r="B273">
        <v>2</v>
      </c>
      <c r="C273">
        <v>2</v>
      </c>
      <c r="D273">
        <v>0</v>
      </c>
      <c r="E273">
        <v>260</v>
      </c>
      <c r="F273">
        <v>3</v>
      </c>
      <c r="G273">
        <v>2</v>
      </c>
    </row>
    <row r="274" spans="1:7" x14ac:dyDescent="0.3">
      <c r="A274">
        <v>193</v>
      </c>
      <c r="B274">
        <v>1</v>
      </c>
      <c r="C274">
        <v>4</v>
      </c>
      <c r="D274">
        <v>0</v>
      </c>
      <c r="E274">
        <v>339</v>
      </c>
      <c r="F274">
        <v>30</v>
      </c>
      <c r="G274">
        <v>4</v>
      </c>
    </row>
    <row r="275" spans="1:7" x14ac:dyDescent="0.3">
      <c r="A275">
        <v>298</v>
      </c>
      <c r="B275">
        <v>1</v>
      </c>
      <c r="C275">
        <v>2</v>
      </c>
      <c r="D275">
        <v>1</v>
      </c>
      <c r="E275">
        <v>288</v>
      </c>
      <c r="F275">
        <v>2</v>
      </c>
      <c r="G275">
        <v>4</v>
      </c>
    </row>
    <row r="276" spans="1:7" x14ac:dyDescent="0.3">
      <c r="A276">
        <v>115</v>
      </c>
      <c r="B276">
        <v>1</v>
      </c>
      <c r="C276">
        <v>4</v>
      </c>
      <c r="D276">
        <v>0</v>
      </c>
      <c r="E276">
        <v>265</v>
      </c>
      <c r="F276">
        <v>30</v>
      </c>
      <c r="G276">
        <v>2</v>
      </c>
    </row>
    <row r="277" spans="1:7" x14ac:dyDescent="0.3">
      <c r="A277">
        <v>120</v>
      </c>
      <c r="B277">
        <v>1</v>
      </c>
      <c r="C277">
        <v>4</v>
      </c>
      <c r="D277">
        <v>0</v>
      </c>
      <c r="E277">
        <v>272</v>
      </c>
      <c r="F277">
        <v>30</v>
      </c>
      <c r="G277">
        <v>2</v>
      </c>
    </row>
    <row r="278" spans="1:7" x14ac:dyDescent="0.3">
      <c r="A278">
        <v>428</v>
      </c>
      <c r="B278">
        <v>1</v>
      </c>
      <c r="C278">
        <v>2</v>
      </c>
      <c r="D278">
        <v>0</v>
      </c>
      <c r="E278">
        <v>279</v>
      </c>
      <c r="F278">
        <v>30</v>
      </c>
      <c r="G278">
        <v>6</v>
      </c>
    </row>
    <row r="279" spans="1:7" x14ac:dyDescent="0.3">
      <c r="A279">
        <v>74</v>
      </c>
      <c r="B279">
        <v>1.5</v>
      </c>
      <c r="C279">
        <v>0</v>
      </c>
      <c r="D279">
        <v>1</v>
      </c>
      <c r="E279">
        <v>334</v>
      </c>
      <c r="F279">
        <v>30</v>
      </c>
      <c r="G279">
        <v>1</v>
      </c>
    </row>
    <row r="280" spans="1:7" x14ac:dyDescent="0.3">
      <c r="A280">
        <v>204</v>
      </c>
      <c r="B280">
        <v>1</v>
      </c>
      <c r="C280">
        <v>0</v>
      </c>
      <c r="D280">
        <v>0</v>
      </c>
      <c r="E280">
        <v>330</v>
      </c>
      <c r="F280">
        <v>30</v>
      </c>
      <c r="G280">
        <v>4</v>
      </c>
    </row>
    <row r="281" spans="1:7" x14ac:dyDescent="0.3">
      <c r="A281">
        <v>213</v>
      </c>
      <c r="B281">
        <v>1</v>
      </c>
      <c r="C281">
        <v>4</v>
      </c>
      <c r="D281">
        <v>0</v>
      </c>
      <c r="E281">
        <v>180</v>
      </c>
      <c r="F281">
        <v>2</v>
      </c>
      <c r="G281">
        <v>4</v>
      </c>
    </row>
    <row r="282" spans="1:7" x14ac:dyDescent="0.3">
      <c r="A282">
        <v>319</v>
      </c>
      <c r="B282">
        <v>1</v>
      </c>
      <c r="C282">
        <v>4</v>
      </c>
      <c r="D282">
        <v>0</v>
      </c>
      <c r="E282">
        <v>251</v>
      </c>
      <c r="F282">
        <v>1</v>
      </c>
      <c r="G282">
        <v>4</v>
      </c>
    </row>
    <row r="283" spans="1:7" x14ac:dyDescent="0.3">
      <c r="A283">
        <v>158</v>
      </c>
      <c r="B283">
        <v>1</v>
      </c>
      <c r="C283">
        <v>4</v>
      </c>
      <c r="D283">
        <v>0</v>
      </c>
      <c r="E283">
        <v>364</v>
      </c>
      <c r="F283">
        <v>30</v>
      </c>
      <c r="G283">
        <v>2</v>
      </c>
    </row>
    <row r="284" spans="1:7" x14ac:dyDescent="0.3">
      <c r="A284">
        <v>255</v>
      </c>
      <c r="B284">
        <v>1</v>
      </c>
      <c r="C284">
        <v>4</v>
      </c>
      <c r="D284">
        <v>0</v>
      </c>
      <c r="E284">
        <v>192</v>
      </c>
      <c r="F284">
        <v>30</v>
      </c>
      <c r="G284">
        <v>3</v>
      </c>
    </row>
    <row r="285" spans="1:7" x14ac:dyDescent="0.3">
      <c r="A285">
        <v>53</v>
      </c>
      <c r="B285">
        <v>2</v>
      </c>
      <c r="C285">
        <v>2</v>
      </c>
      <c r="D285">
        <v>1</v>
      </c>
      <c r="E285">
        <v>112</v>
      </c>
      <c r="F285">
        <v>30</v>
      </c>
      <c r="G285">
        <v>2</v>
      </c>
    </row>
    <row r="286" spans="1:7" x14ac:dyDescent="0.3">
      <c r="A286">
        <v>59</v>
      </c>
      <c r="B286">
        <v>1</v>
      </c>
      <c r="C286">
        <v>0</v>
      </c>
      <c r="D286">
        <v>1</v>
      </c>
      <c r="E286">
        <v>240</v>
      </c>
      <c r="F286">
        <v>30</v>
      </c>
      <c r="G286">
        <v>2</v>
      </c>
    </row>
    <row r="287" spans="1:7" x14ac:dyDescent="0.3">
      <c r="A287">
        <v>211</v>
      </c>
      <c r="B287">
        <v>1</v>
      </c>
      <c r="C287">
        <v>2</v>
      </c>
      <c r="D287">
        <v>0</v>
      </c>
      <c r="E287">
        <v>193</v>
      </c>
      <c r="F287">
        <v>30</v>
      </c>
      <c r="G287">
        <v>2</v>
      </c>
    </row>
    <row r="288" spans="1:7" x14ac:dyDescent="0.3">
      <c r="A288">
        <v>186</v>
      </c>
      <c r="B288">
        <v>1</v>
      </c>
      <c r="C288">
        <v>0</v>
      </c>
      <c r="D288">
        <v>0</v>
      </c>
      <c r="E288">
        <v>270</v>
      </c>
      <c r="F288">
        <v>3</v>
      </c>
      <c r="G288">
        <v>4</v>
      </c>
    </row>
    <row r="289" spans="1:7" x14ac:dyDescent="0.3">
      <c r="A289">
        <v>67</v>
      </c>
      <c r="B289">
        <v>1</v>
      </c>
      <c r="C289">
        <v>2</v>
      </c>
      <c r="D289">
        <v>1</v>
      </c>
      <c r="E289">
        <v>153</v>
      </c>
      <c r="F289">
        <v>30</v>
      </c>
      <c r="G289">
        <v>2</v>
      </c>
    </row>
    <row r="290" spans="1:7" x14ac:dyDescent="0.3">
      <c r="A290">
        <v>75</v>
      </c>
      <c r="B290">
        <v>1</v>
      </c>
      <c r="C290">
        <v>4</v>
      </c>
      <c r="D290">
        <v>1</v>
      </c>
      <c r="E290">
        <v>237</v>
      </c>
      <c r="F290">
        <v>30</v>
      </c>
      <c r="G290">
        <v>1</v>
      </c>
    </row>
    <row r="291" spans="1:7" x14ac:dyDescent="0.3">
      <c r="A291">
        <v>294</v>
      </c>
      <c r="B291">
        <v>1</v>
      </c>
      <c r="C291">
        <v>4</v>
      </c>
      <c r="D291">
        <v>1</v>
      </c>
      <c r="E291">
        <v>262</v>
      </c>
      <c r="F291">
        <v>1</v>
      </c>
      <c r="G291">
        <v>2</v>
      </c>
    </row>
    <row r="292" spans="1:7" x14ac:dyDescent="0.3">
      <c r="A292">
        <v>305</v>
      </c>
      <c r="B292">
        <v>1</v>
      </c>
      <c r="C292">
        <v>4</v>
      </c>
      <c r="D292">
        <v>1</v>
      </c>
      <c r="E292">
        <v>270</v>
      </c>
      <c r="F292">
        <v>1</v>
      </c>
      <c r="G292">
        <v>2</v>
      </c>
    </row>
    <row r="293" spans="1:7" x14ac:dyDescent="0.3">
      <c r="A293">
        <v>97</v>
      </c>
      <c r="B293">
        <v>1</v>
      </c>
      <c r="C293">
        <v>4</v>
      </c>
      <c r="D293">
        <v>1</v>
      </c>
      <c r="E293">
        <v>317</v>
      </c>
      <c r="F293">
        <v>30</v>
      </c>
      <c r="G293">
        <v>1</v>
      </c>
    </row>
    <row r="294" spans="1:7" x14ac:dyDescent="0.3">
      <c r="A294">
        <v>58</v>
      </c>
      <c r="B294">
        <v>1</v>
      </c>
      <c r="C294">
        <v>4</v>
      </c>
      <c r="D294">
        <v>1</v>
      </c>
      <c r="E294">
        <v>66</v>
      </c>
      <c r="F294">
        <v>30</v>
      </c>
      <c r="G294">
        <v>2</v>
      </c>
    </row>
    <row r="295" spans="1:7" x14ac:dyDescent="0.3">
      <c r="A295">
        <v>88</v>
      </c>
      <c r="B295">
        <v>1</v>
      </c>
      <c r="C295">
        <v>2</v>
      </c>
      <c r="D295">
        <v>1</v>
      </c>
      <c r="E295">
        <v>45</v>
      </c>
      <c r="F295">
        <v>1</v>
      </c>
      <c r="G295">
        <v>2</v>
      </c>
    </row>
    <row r="296" spans="1:7" x14ac:dyDescent="0.3">
      <c r="A296">
        <v>162</v>
      </c>
      <c r="B296">
        <v>1</v>
      </c>
      <c r="C296">
        <v>4</v>
      </c>
      <c r="D296">
        <v>0</v>
      </c>
      <c r="E296">
        <v>291</v>
      </c>
      <c r="F296">
        <v>30</v>
      </c>
      <c r="G296">
        <v>1</v>
      </c>
    </row>
    <row r="297" spans="1:7" x14ac:dyDescent="0.3">
      <c r="A297">
        <v>165</v>
      </c>
      <c r="B297">
        <v>1</v>
      </c>
      <c r="C297">
        <v>4</v>
      </c>
      <c r="D297">
        <v>1</v>
      </c>
      <c r="E297">
        <v>90</v>
      </c>
      <c r="F297">
        <v>30</v>
      </c>
      <c r="G297">
        <v>2</v>
      </c>
    </row>
    <row r="298" spans="1:7" x14ac:dyDescent="0.3">
      <c r="A298">
        <v>177</v>
      </c>
      <c r="B298">
        <v>1</v>
      </c>
      <c r="C298">
        <v>2</v>
      </c>
      <c r="D298">
        <v>0</v>
      </c>
      <c r="E298">
        <v>38</v>
      </c>
      <c r="F298">
        <v>30</v>
      </c>
      <c r="G298">
        <v>3</v>
      </c>
    </row>
    <row r="299" spans="1:7" x14ac:dyDescent="0.3">
      <c r="A299">
        <v>94</v>
      </c>
      <c r="B299">
        <v>1</v>
      </c>
      <c r="C299">
        <v>2</v>
      </c>
      <c r="D299">
        <v>0</v>
      </c>
      <c r="E299">
        <v>156</v>
      </c>
      <c r="F299">
        <v>30</v>
      </c>
      <c r="G299">
        <v>2</v>
      </c>
    </row>
    <row r="300" spans="1:7" x14ac:dyDescent="0.3">
      <c r="A300">
        <v>402</v>
      </c>
      <c r="B300">
        <v>1</v>
      </c>
      <c r="C300">
        <v>4</v>
      </c>
      <c r="D300">
        <v>0</v>
      </c>
      <c r="E300">
        <v>92</v>
      </c>
      <c r="F300">
        <v>1</v>
      </c>
      <c r="G300">
        <v>6</v>
      </c>
    </row>
    <row r="301" spans="1:7" x14ac:dyDescent="0.3">
      <c r="A301">
        <v>210</v>
      </c>
      <c r="B301">
        <v>1</v>
      </c>
      <c r="C301">
        <v>2</v>
      </c>
      <c r="D301">
        <v>0</v>
      </c>
      <c r="E301">
        <v>51</v>
      </c>
      <c r="F301">
        <v>5</v>
      </c>
      <c r="G301">
        <v>2</v>
      </c>
    </row>
    <row r="302" spans="1:7" x14ac:dyDescent="0.3">
      <c r="A302">
        <v>114</v>
      </c>
      <c r="B302">
        <v>1</v>
      </c>
      <c r="C302">
        <v>4</v>
      </c>
      <c r="D302">
        <v>0</v>
      </c>
      <c r="E302">
        <v>106</v>
      </c>
      <c r="F302">
        <v>30</v>
      </c>
      <c r="G302">
        <v>2</v>
      </c>
    </row>
    <row r="303" spans="1:7" x14ac:dyDescent="0.3">
      <c r="A303">
        <v>245</v>
      </c>
      <c r="B303">
        <v>1</v>
      </c>
      <c r="C303">
        <v>2</v>
      </c>
      <c r="D303">
        <v>0</v>
      </c>
      <c r="E303">
        <v>80</v>
      </c>
      <c r="F303">
        <v>30</v>
      </c>
      <c r="G303">
        <v>2</v>
      </c>
    </row>
    <row r="304" spans="1:7" x14ac:dyDescent="0.3">
      <c r="A304">
        <v>120</v>
      </c>
      <c r="B304">
        <v>1</v>
      </c>
      <c r="C304">
        <v>2</v>
      </c>
      <c r="D304">
        <v>1</v>
      </c>
      <c r="E304">
        <v>46</v>
      </c>
      <c r="F304">
        <v>2</v>
      </c>
      <c r="G304">
        <v>2</v>
      </c>
    </row>
    <row r="305" spans="1:7" x14ac:dyDescent="0.3">
      <c r="A305">
        <v>161</v>
      </c>
      <c r="B305">
        <v>1</v>
      </c>
      <c r="C305">
        <v>2</v>
      </c>
      <c r="D305">
        <v>0</v>
      </c>
      <c r="E305">
        <v>319</v>
      </c>
      <c r="F305">
        <v>2</v>
      </c>
      <c r="G305">
        <v>2</v>
      </c>
    </row>
    <row r="306" spans="1:7" x14ac:dyDescent="0.3">
      <c r="A306">
        <v>117</v>
      </c>
      <c r="B306">
        <v>1</v>
      </c>
      <c r="C306">
        <v>4</v>
      </c>
      <c r="D306">
        <v>0</v>
      </c>
      <c r="E306">
        <v>365</v>
      </c>
      <c r="F306">
        <v>30</v>
      </c>
      <c r="G306">
        <v>2</v>
      </c>
    </row>
    <row r="307" spans="1:7" x14ac:dyDescent="0.3">
      <c r="A307">
        <v>67</v>
      </c>
      <c r="B307">
        <v>1</v>
      </c>
      <c r="C307">
        <v>2</v>
      </c>
      <c r="D307">
        <v>1</v>
      </c>
      <c r="E307">
        <v>141</v>
      </c>
      <c r="F307">
        <v>30</v>
      </c>
      <c r="G307">
        <v>1</v>
      </c>
    </row>
    <row r="308" spans="1:7" x14ac:dyDescent="0.3">
      <c r="A308">
        <v>100</v>
      </c>
      <c r="B308">
        <v>1</v>
      </c>
      <c r="C308">
        <v>0</v>
      </c>
      <c r="D308">
        <v>0</v>
      </c>
      <c r="E308">
        <v>351</v>
      </c>
      <c r="F308">
        <v>30</v>
      </c>
      <c r="G308">
        <v>6</v>
      </c>
    </row>
    <row r="309" spans="1:7" x14ac:dyDescent="0.3">
      <c r="A309">
        <v>90</v>
      </c>
      <c r="B309">
        <v>1</v>
      </c>
      <c r="C309">
        <v>4</v>
      </c>
      <c r="D309">
        <v>0</v>
      </c>
      <c r="E309">
        <v>266</v>
      </c>
      <c r="F309">
        <v>30</v>
      </c>
      <c r="G309">
        <v>2</v>
      </c>
    </row>
    <row r="310" spans="1:7" x14ac:dyDescent="0.3">
      <c r="A310">
        <v>100</v>
      </c>
      <c r="B310">
        <v>1</v>
      </c>
      <c r="C310">
        <v>2</v>
      </c>
      <c r="D310">
        <v>0</v>
      </c>
      <c r="E310">
        <v>150</v>
      </c>
      <c r="F310">
        <v>30</v>
      </c>
      <c r="G310">
        <v>2</v>
      </c>
    </row>
    <row r="311" spans="1:7" x14ac:dyDescent="0.3">
      <c r="A311">
        <v>150</v>
      </c>
      <c r="B311">
        <v>1</v>
      </c>
      <c r="C311">
        <v>2</v>
      </c>
      <c r="D311">
        <v>0</v>
      </c>
      <c r="E311">
        <v>266</v>
      </c>
      <c r="F311">
        <v>30</v>
      </c>
      <c r="G311">
        <v>4</v>
      </c>
    </row>
    <row r="312" spans="1:7" x14ac:dyDescent="0.3">
      <c r="A312">
        <v>169</v>
      </c>
      <c r="B312">
        <v>1</v>
      </c>
      <c r="C312">
        <v>4</v>
      </c>
      <c r="D312">
        <v>0</v>
      </c>
      <c r="E312">
        <v>38</v>
      </c>
      <c r="F312">
        <v>4</v>
      </c>
      <c r="G312">
        <v>2</v>
      </c>
    </row>
    <row r="313" spans="1:7" x14ac:dyDescent="0.3">
      <c r="A313">
        <v>82</v>
      </c>
      <c r="B313">
        <v>4</v>
      </c>
      <c r="C313">
        <v>4</v>
      </c>
      <c r="D313">
        <v>1</v>
      </c>
      <c r="E313">
        <v>291</v>
      </c>
      <c r="F313">
        <v>30</v>
      </c>
      <c r="G313">
        <v>1</v>
      </c>
    </row>
    <row r="314" spans="1:7" x14ac:dyDescent="0.3">
      <c r="A314">
        <v>125</v>
      </c>
      <c r="B314">
        <v>1</v>
      </c>
      <c r="C314">
        <v>4</v>
      </c>
      <c r="D314">
        <v>0</v>
      </c>
      <c r="E314">
        <v>260</v>
      </c>
      <c r="F314">
        <v>30</v>
      </c>
      <c r="G314">
        <v>3</v>
      </c>
    </row>
    <row r="315" spans="1:7" x14ac:dyDescent="0.3">
      <c r="A315">
        <v>90</v>
      </c>
      <c r="B315">
        <v>4</v>
      </c>
      <c r="C315">
        <v>4</v>
      </c>
      <c r="D315">
        <v>1</v>
      </c>
      <c r="E315">
        <v>235</v>
      </c>
      <c r="F315">
        <v>30</v>
      </c>
      <c r="G315">
        <v>1</v>
      </c>
    </row>
    <row r="316" spans="1:7" x14ac:dyDescent="0.3">
      <c r="A316">
        <v>143</v>
      </c>
      <c r="B316">
        <v>1</v>
      </c>
      <c r="C316">
        <v>4</v>
      </c>
      <c r="D316">
        <v>0</v>
      </c>
      <c r="E316">
        <v>365</v>
      </c>
      <c r="F316">
        <v>30</v>
      </c>
      <c r="G316">
        <v>4</v>
      </c>
    </row>
    <row r="317" spans="1:7" x14ac:dyDescent="0.3">
      <c r="A317">
        <v>330</v>
      </c>
      <c r="B317">
        <v>2</v>
      </c>
      <c r="C317">
        <v>4</v>
      </c>
      <c r="D317">
        <v>0</v>
      </c>
      <c r="E317">
        <v>274</v>
      </c>
      <c r="F317">
        <v>30</v>
      </c>
      <c r="G317">
        <v>5</v>
      </c>
    </row>
    <row r="318" spans="1:7" x14ac:dyDescent="0.3">
      <c r="A318">
        <v>118</v>
      </c>
      <c r="B318">
        <v>1</v>
      </c>
      <c r="C318">
        <v>2</v>
      </c>
      <c r="D318">
        <v>1</v>
      </c>
      <c r="E318">
        <v>167</v>
      </c>
      <c r="F318">
        <v>2</v>
      </c>
      <c r="G318">
        <v>1</v>
      </c>
    </row>
    <row r="319" spans="1:7" x14ac:dyDescent="0.3">
      <c r="A319">
        <v>170</v>
      </c>
      <c r="B319">
        <v>1</v>
      </c>
      <c r="C319">
        <v>2</v>
      </c>
      <c r="D319">
        <v>0</v>
      </c>
      <c r="E319">
        <v>188</v>
      </c>
      <c r="F319">
        <v>30</v>
      </c>
      <c r="G319">
        <v>4</v>
      </c>
    </row>
    <row r="320" spans="1:7" x14ac:dyDescent="0.3">
      <c r="A320">
        <v>200</v>
      </c>
      <c r="B320">
        <v>1</v>
      </c>
      <c r="C320">
        <v>4</v>
      </c>
      <c r="D320">
        <v>0</v>
      </c>
      <c r="E320">
        <v>57</v>
      </c>
      <c r="F320">
        <v>15</v>
      </c>
      <c r="G320">
        <v>2</v>
      </c>
    </row>
    <row r="321" spans="1:7" x14ac:dyDescent="0.3">
      <c r="A321">
        <v>227</v>
      </c>
      <c r="B321">
        <v>1</v>
      </c>
      <c r="C321">
        <v>4</v>
      </c>
      <c r="D321">
        <v>0</v>
      </c>
      <c r="E321">
        <v>89</v>
      </c>
      <c r="F321">
        <v>15</v>
      </c>
      <c r="G321">
        <v>2</v>
      </c>
    </row>
    <row r="322" spans="1:7" x14ac:dyDescent="0.3">
      <c r="A322">
        <v>204</v>
      </c>
      <c r="B322">
        <v>1</v>
      </c>
      <c r="C322">
        <v>4</v>
      </c>
      <c r="D322">
        <v>0</v>
      </c>
      <c r="E322">
        <v>69</v>
      </c>
      <c r="F322">
        <v>15</v>
      </c>
      <c r="G322">
        <v>2</v>
      </c>
    </row>
    <row r="323" spans="1:7" x14ac:dyDescent="0.3">
      <c r="A323">
        <v>200</v>
      </c>
      <c r="B323">
        <v>1</v>
      </c>
      <c r="C323">
        <v>4</v>
      </c>
      <c r="D323">
        <v>0</v>
      </c>
      <c r="E323">
        <v>73</v>
      </c>
      <c r="F323">
        <v>19</v>
      </c>
      <c r="G323">
        <v>2</v>
      </c>
    </row>
    <row r="324" spans="1:7" x14ac:dyDescent="0.3">
      <c r="A324">
        <v>200</v>
      </c>
      <c r="B324">
        <v>1</v>
      </c>
      <c r="C324">
        <v>4</v>
      </c>
      <c r="D324">
        <v>1</v>
      </c>
      <c r="E324">
        <v>81</v>
      </c>
      <c r="F324">
        <v>15</v>
      </c>
      <c r="G324">
        <v>2</v>
      </c>
    </row>
    <row r="325" spans="1:7" x14ac:dyDescent="0.3">
      <c r="A325">
        <v>200</v>
      </c>
      <c r="B325">
        <v>1</v>
      </c>
      <c r="C325">
        <v>4</v>
      </c>
      <c r="D325">
        <v>0</v>
      </c>
      <c r="E325">
        <v>62</v>
      </c>
      <c r="F325">
        <v>15</v>
      </c>
      <c r="G325">
        <v>2</v>
      </c>
    </row>
    <row r="326" spans="1:7" x14ac:dyDescent="0.3">
      <c r="A326">
        <v>200</v>
      </c>
      <c r="B326">
        <v>1</v>
      </c>
      <c r="C326">
        <v>4</v>
      </c>
      <c r="D326">
        <v>0</v>
      </c>
      <c r="E326">
        <v>59</v>
      </c>
      <c r="F326">
        <v>15</v>
      </c>
      <c r="G326">
        <v>2</v>
      </c>
    </row>
    <row r="327" spans="1:7" x14ac:dyDescent="0.3">
      <c r="A327">
        <v>180</v>
      </c>
      <c r="B327">
        <v>1</v>
      </c>
      <c r="C327">
        <v>2</v>
      </c>
      <c r="D327">
        <v>0</v>
      </c>
      <c r="E327">
        <v>285</v>
      </c>
      <c r="F327">
        <v>30</v>
      </c>
      <c r="G327">
        <v>4</v>
      </c>
    </row>
    <row r="328" spans="1:7" x14ac:dyDescent="0.3">
      <c r="A328">
        <v>200</v>
      </c>
      <c r="B328">
        <v>1</v>
      </c>
      <c r="C328">
        <v>4</v>
      </c>
      <c r="D328">
        <v>0</v>
      </c>
      <c r="E328">
        <v>61</v>
      </c>
      <c r="F328">
        <v>15</v>
      </c>
      <c r="G328">
        <v>2</v>
      </c>
    </row>
    <row r="329" spans="1:7" x14ac:dyDescent="0.3">
      <c r="A329">
        <v>228</v>
      </c>
      <c r="B329">
        <v>1</v>
      </c>
      <c r="C329">
        <v>4</v>
      </c>
      <c r="D329">
        <v>0</v>
      </c>
      <c r="E329">
        <v>58</v>
      </c>
      <c r="F329">
        <v>15</v>
      </c>
      <c r="G329">
        <v>2</v>
      </c>
    </row>
    <row r="330" spans="1:7" x14ac:dyDescent="0.3">
      <c r="A330">
        <v>100</v>
      </c>
      <c r="B330">
        <v>1</v>
      </c>
      <c r="C330">
        <v>2</v>
      </c>
      <c r="D330">
        <v>1</v>
      </c>
      <c r="E330">
        <v>148</v>
      </c>
      <c r="F330">
        <v>30</v>
      </c>
      <c r="G330">
        <v>1</v>
      </c>
    </row>
    <row r="331" spans="1:7" x14ac:dyDescent="0.3">
      <c r="A331">
        <v>105</v>
      </c>
      <c r="B331">
        <v>1</v>
      </c>
      <c r="C331">
        <v>2</v>
      </c>
      <c r="D331">
        <v>0</v>
      </c>
      <c r="E331">
        <v>310</v>
      </c>
      <c r="F331">
        <v>30</v>
      </c>
      <c r="G331">
        <v>2</v>
      </c>
    </row>
    <row r="332" spans="1:7" x14ac:dyDescent="0.3">
      <c r="A332">
        <v>248</v>
      </c>
      <c r="B332">
        <v>1</v>
      </c>
      <c r="C332">
        <v>4</v>
      </c>
      <c r="D332">
        <v>0</v>
      </c>
      <c r="E332">
        <v>131</v>
      </c>
      <c r="F332">
        <v>30</v>
      </c>
      <c r="G332">
        <v>4</v>
      </c>
    </row>
    <row r="333" spans="1:7" x14ac:dyDescent="0.3">
      <c r="A333">
        <v>114</v>
      </c>
      <c r="B333">
        <v>1</v>
      </c>
      <c r="C333">
        <v>4</v>
      </c>
      <c r="D333">
        <v>0</v>
      </c>
      <c r="E333">
        <v>364</v>
      </c>
      <c r="F333">
        <v>30</v>
      </c>
      <c r="G333">
        <v>3</v>
      </c>
    </row>
    <row r="334" spans="1:7" x14ac:dyDescent="0.3">
      <c r="A334">
        <v>132</v>
      </c>
      <c r="B334">
        <v>1</v>
      </c>
      <c r="C334">
        <v>2</v>
      </c>
      <c r="D334">
        <v>1</v>
      </c>
      <c r="E334">
        <v>358</v>
      </c>
      <c r="F334">
        <v>4</v>
      </c>
      <c r="G334">
        <v>2</v>
      </c>
    </row>
    <row r="335" spans="1:7" x14ac:dyDescent="0.3">
      <c r="A335">
        <v>199</v>
      </c>
      <c r="B335">
        <v>1</v>
      </c>
      <c r="C335">
        <v>4</v>
      </c>
      <c r="D335">
        <v>0</v>
      </c>
      <c r="E335">
        <v>76</v>
      </c>
      <c r="F335">
        <v>30</v>
      </c>
      <c r="G335">
        <v>3</v>
      </c>
    </row>
    <row r="336" spans="1:7" x14ac:dyDescent="0.3">
      <c r="A336">
        <v>80</v>
      </c>
      <c r="B336">
        <v>1</v>
      </c>
      <c r="C336">
        <v>2</v>
      </c>
      <c r="D336">
        <v>0</v>
      </c>
      <c r="E336">
        <v>181</v>
      </c>
      <c r="F336">
        <v>30</v>
      </c>
      <c r="G336">
        <v>2</v>
      </c>
    </row>
    <row r="337" spans="1:7" x14ac:dyDescent="0.3">
      <c r="A337">
        <v>168</v>
      </c>
      <c r="B337">
        <v>2</v>
      </c>
      <c r="C337">
        <v>2</v>
      </c>
      <c r="D337">
        <v>0</v>
      </c>
      <c r="E337">
        <v>103</v>
      </c>
      <c r="F337">
        <v>30</v>
      </c>
      <c r="G337">
        <v>5</v>
      </c>
    </row>
    <row r="338" spans="1:7" x14ac:dyDescent="0.3">
      <c r="A338">
        <v>205</v>
      </c>
      <c r="B338">
        <v>1</v>
      </c>
      <c r="C338">
        <v>4</v>
      </c>
      <c r="D338">
        <v>0</v>
      </c>
      <c r="E338">
        <v>75</v>
      </c>
      <c r="F338">
        <v>15</v>
      </c>
      <c r="G338">
        <v>2</v>
      </c>
    </row>
    <row r="339" spans="1:7" x14ac:dyDescent="0.3">
      <c r="A339">
        <v>298</v>
      </c>
      <c r="B339">
        <v>1</v>
      </c>
      <c r="C339">
        <v>0</v>
      </c>
      <c r="D339">
        <v>0</v>
      </c>
      <c r="E339">
        <v>365</v>
      </c>
      <c r="F339">
        <v>30</v>
      </c>
      <c r="G339">
        <v>7</v>
      </c>
    </row>
    <row r="340" spans="1:7" x14ac:dyDescent="0.3">
      <c r="A340">
        <v>110</v>
      </c>
      <c r="B340">
        <v>1</v>
      </c>
      <c r="C340">
        <v>4</v>
      </c>
      <c r="D340">
        <v>0</v>
      </c>
      <c r="E340">
        <v>270</v>
      </c>
      <c r="F340">
        <v>30</v>
      </c>
      <c r="G340">
        <v>4</v>
      </c>
    </row>
    <row r="341" spans="1:7" x14ac:dyDescent="0.3">
      <c r="A341">
        <v>250</v>
      </c>
      <c r="B341">
        <v>1</v>
      </c>
      <c r="C341">
        <v>4</v>
      </c>
      <c r="D341">
        <v>0</v>
      </c>
      <c r="E341">
        <v>62</v>
      </c>
      <c r="F341">
        <v>15</v>
      </c>
      <c r="G341">
        <v>2</v>
      </c>
    </row>
    <row r="342" spans="1:7" x14ac:dyDescent="0.3">
      <c r="A342">
        <v>131</v>
      </c>
      <c r="B342">
        <v>1</v>
      </c>
      <c r="C342">
        <v>4</v>
      </c>
      <c r="D342">
        <v>0</v>
      </c>
      <c r="E342">
        <v>217</v>
      </c>
      <c r="F342">
        <v>30</v>
      </c>
      <c r="G342">
        <v>2</v>
      </c>
    </row>
    <row r="343" spans="1:7" x14ac:dyDescent="0.3">
      <c r="A343">
        <v>213</v>
      </c>
      <c r="B343">
        <v>2.5</v>
      </c>
      <c r="C343">
        <v>4</v>
      </c>
      <c r="D343">
        <v>0</v>
      </c>
      <c r="E343">
        <v>304</v>
      </c>
      <c r="F343">
        <v>30</v>
      </c>
      <c r="G343">
        <v>4</v>
      </c>
    </row>
    <row r="344" spans="1:7" x14ac:dyDescent="0.3">
      <c r="A344">
        <v>200</v>
      </c>
      <c r="B344">
        <v>1</v>
      </c>
      <c r="C344">
        <v>4</v>
      </c>
      <c r="D344">
        <v>0</v>
      </c>
      <c r="E344">
        <v>66</v>
      </c>
      <c r="F344">
        <v>15</v>
      </c>
      <c r="G344">
        <v>2</v>
      </c>
    </row>
    <row r="345" spans="1:7" x14ac:dyDescent="0.3">
      <c r="A345">
        <v>175</v>
      </c>
      <c r="B345">
        <v>1</v>
      </c>
      <c r="C345">
        <v>2</v>
      </c>
      <c r="D345">
        <v>1</v>
      </c>
      <c r="E345">
        <v>88</v>
      </c>
      <c r="F345">
        <v>30</v>
      </c>
      <c r="G345">
        <v>1</v>
      </c>
    </row>
    <row r="346" spans="1:7" x14ac:dyDescent="0.3">
      <c r="A346">
        <v>206</v>
      </c>
      <c r="B346">
        <v>1</v>
      </c>
      <c r="C346">
        <v>2</v>
      </c>
      <c r="D346">
        <v>0</v>
      </c>
      <c r="E346">
        <v>226</v>
      </c>
      <c r="F346">
        <v>1</v>
      </c>
      <c r="G346">
        <v>2</v>
      </c>
    </row>
    <row r="347" spans="1:7" x14ac:dyDescent="0.3">
      <c r="A347">
        <v>159</v>
      </c>
      <c r="B347">
        <v>1</v>
      </c>
      <c r="C347">
        <v>4</v>
      </c>
      <c r="D347">
        <v>0</v>
      </c>
      <c r="E347">
        <v>290</v>
      </c>
      <c r="F347">
        <v>30</v>
      </c>
      <c r="G347">
        <v>2</v>
      </c>
    </row>
    <row r="348" spans="1:7" x14ac:dyDescent="0.3">
      <c r="A348">
        <v>218</v>
      </c>
      <c r="B348">
        <v>1</v>
      </c>
      <c r="C348">
        <v>4</v>
      </c>
      <c r="D348">
        <v>0</v>
      </c>
      <c r="E348">
        <v>331</v>
      </c>
      <c r="F348">
        <v>30</v>
      </c>
      <c r="G348">
        <v>2</v>
      </c>
    </row>
    <row r="349" spans="1:7" x14ac:dyDescent="0.3">
      <c r="A349">
        <v>120</v>
      </c>
      <c r="B349">
        <v>1</v>
      </c>
      <c r="C349">
        <v>4</v>
      </c>
      <c r="D349">
        <v>1</v>
      </c>
      <c r="E349">
        <v>33</v>
      </c>
      <c r="F349">
        <v>4</v>
      </c>
      <c r="G349">
        <v>2</v>
      </c>
    </row>
    <row r="350" spans="1:7" x14ac:dyDescent="0.3">
      <c r="A350">
        <v>125</v>
      </c>
      <c r="B350">
        <v>1</v>
      </c>
      <c r="C350">
        <v>4</v>
      </c>
      <c r="D350">
        <v>0</v>
      </c>
      <c r="E350">
        <v>273</v>
      </c>
      <c r="F350">
        <v>30</v>
      </c>
      <c r="G350">
        <v>2</v>
      </c>
    </row>
    <row r="351" spans="1:7" x14ac:dyDescent="0.3">
      <c r="A351">
        <v>332</v>
      </c>
      <c r="B351">
        <v>1</v>
      </c>
      <c r="C351">
        <v>4</v>
      </c>
      <c r="D351">
        <v>1</v>
      </c>
      <c r="E351">
        <v>313</v>
      </c>
      <c r="F351">
        <v>1</v>
      </c>
      <c r="G351">
        <v>4</v>
      </c>
    </row>
    <row r="352" spans="1:7" x14ac:dyDescent="0.3">
      <c r="A352">
        <v>205</v>
      </c>
      <c r="B352">
        <v>1</v>
      </c>
      <c r="C352">
        <v>4</v>
      </c>
      <c r="D352">
        <v>0</v>
      </c>
      <c r="E352">
        <v>49</v>
      </c>
      <c r="F352">
        <v>15</v>
      </c>
      <c r="G352">
        <v>2</v>
      </c>
    </row>
    <row r="353" spans="1:7" x14ac:dyDescent="0.3">
      <c r="A353">
        <v>220</v>
      </c>
      <c r="B353">
        <v>1</v>
      </c>
      <c r="C353">
        <v>4</v>
      </c>
      <c r="D353">
        <v>0</v>
      </c>
      <c r="E353">
        <v>71</v>
      </c>
      <c r="F353">
        <v>15</v>
      </c>
      <c r="G353">
        <v>2</v>
      </c>
    </row>
    <row r="354" spans="1:7" x14ac:dyDescent="0.3">
      <c r="A354">
        <v>132</v>
      </c>
      <c r="B354">
        <v>1</v>
      </c>
      <c r="C354">
        <v>0</v>
      </c>
      <c r="D354">
        <v>0</v>
      </c>
      <c r="E354">
        <v>233</v>
      </c>
      <c r="F354">
        <v>30</v>
      </c>
      <c r="G354">
        <v>6</v>
      </c>
    </row>
    <row r="355" spans="1:7" x14ac:dyDescent="0.3">
      <c r="A355">
        <v>200</v>
      </c>
      <c r="B355">
        <v>1</v>
      </c>
      <c r="C355">
        <v>4</v>
      </c>
      <c r="D355">
        <v>0</v>
      </c>
      <c r="E355">
        <v>47</v>
      </c>
      <c r="F355">
        <v>15</v>
      </c>
      <c r="G355">
        <v>2</v>
      </c>
    </row>
    <row r="356" spans="1:7" x14ac:dyDescent="0.3">
      <c r="A356">
        <v>120</v>
      </c>
      <c r="B356">
        <v>1</v>
      </c>
      <c r="C356">
        <v>4</v>
      </c>
      <c r="D356">
        <v>0</v>
      </c>
      <c r="E356">
        <v>335</v>
      </c>
      <c r="F356">
        <v>30</v>
      </c>
      <c r="G356">
        <v>2</v>
      </c>
    </row>
    <row r="357" spans="1:7" x14ac:dyDescent="0.3">
      <c r="A357">
        <v>77</v>
      </c>
      <c r="B357">
        <v>1</v>
      </c>
      <c r="C357">
        <v>2</v>
      </c>
      <c r="D357">
        <v>0</v>
      </c>
      <c r="E357">
        <v>135</v>
      </c>
      <c r="F357">
        <v>30</v>
      </c>
      <c r="G357">
        <v>2</v>
      </c>
    </row>
    <row r="358" spans="1:7" x14ac:dyDescent="0.3">
      <c r="A358">
        <v>200</v>
      </c>
      <c r="B358">
        <v>1</v>
      </c>
      <c r="C358">
        <v>4</v>
      </c>
      <c r="D358">
        <v>0</v>
      </c>
      <c r="E358">
        <v>77</v>
      </c>
      <c r="F358">
        <v>15</v>
      </c>
      <c r="G358">
        <v>2</v>
      </c>
    </row>
    <row r="359" spans="1:7" x14ac:dyDescent="0.3">
      <c r="A359">
        <v>120</v>
      </c>
      <c r="B359">
        <v>1</v>
      </c>
      <c r="C359">
        <v>4</v>
      </c>
      <c r="D359">
        <v>0</v>
      </c>
      <c r="E359">
        <v>221</v>
      </c>
      <c r="F359">
        <v>30</v>
      </c>
      <c r="G359">
        <v>2</v>
      </c>
    </row>
    <row r="360" spans="1:7" x14ac:dyDescent="0.3">
      <c r="A360">
        <v>212</v>
      </c>
      <c r="B360">
        <v>1</v>
      </c>
      <c r="C360">
        <v>4</v>
      </c>
      <c r="D360">
        <v>0</v>
      </c>
      <c r="E360">
        <v>323</v>
      </c>
      <c r="F360">
        <v>30</v>
      </c>
      <c r="G360">
        <v>2</v>
      </c>
    </row>
    <row r="361" spans="1:7" x14ac:dyDescent="0.3">
      <c r="A361">
        <v>177</v>
      </c>
      <c r="B361">
        <v>1</v>
      </c>
      <c r="C361">
        <v>2</v>
      </c>
      <c r="D361">
        <v>0</v>
      </c>
      <c r="E361">
        <v>87</v>
      </c>
      <c r="F361">
        <v>30</v>
      </c>
      <c r="G361">
        <v>3</v>
      </c>
    </row>
    <row r="362" spans="1:7" x14ac:dyDescent="0.3">
      <c r="A362">
        <v>122</v>
      </c>
      <c r="B362">
        <v>1</v>
      </c>
      <c r="C362">
        <v>4</v>
      </c>
      <c r="D362">
        <v>1</v>
      </c>
      <c r="E362">
        <v>33</v>
      </c>
      <c r="F362">
        <v>3</v>
      </c>
      <c r="G362">
        <v>2</v>
      </c>
    </row>
    <row r="363" spans="1:7" x14ac:dyDescent="0.3">
      <c r="A363">
        <v>137</v>
      </c>
      <c r="B363">
        <v>1</v>
      </c>
      <c r="C363">
        <v>4</v>
      </c>
      <c r="D363">
        <v>0</v>
      </c>
      <c r="E363">
        <v>271</v>
      </c>
      <c r="F363">
        <v>30</v>
      </c>
      <c r="G363">
        <v>3</v>
      </c>
    </row>
    <row r="364" spans="1:7" x14ac:dyDescent="0.3">
      <c r="A364">
        <v>90</v>
      </c>
      <c r="B364">
        <v>1</v>
      </c>
      <c r="C364">
        <v>2</v>
      </c>
      <c r="D364">
        <v>0</v>
      </c>
      <c r="E364">
        <v>179</v>
      </c>
      <c r="F364">
        <v>30</v>
      </c>
      <c r="G364">
        <v>8</v>
      </c>
    </row>
    <row r="365" spans="1:7" x14ac:dyDescent="0.3">
      <c r="A365">
        <v>99</v>
      </c>
      <c r="B365">
        <v>1</v>
      </c>
      <c r="C365">
        <v>2</v>
      </c>
      <c r="D365">
        <v>1</v>
      </c>
      <c r="E365">
        <v>73</v>
      </c>
      <c r="F365">
        <v>30</v>
      </c>
      <c r="G365">
        <v>1</v>
      </c>
    </row>
    <row r="366" spans="1:7" x14ac:dyDescent="0.3">
      <c r="A366">
        <v>107</v>
      </c>
      <c r="B366">
        <v>1</v>
      </c>
      <c r="C366">
        <v>4</v>
      </c>
      <c r="D366">
        <v>0</v>
      </c>
      <c r="E366">
        <v>270</v>
      </c>
      <c r="F366">
        <v>30</v>
      </c>
      <c r="G366">
        <v>4</v>
      </c>
    </row>
    <row r="367" spans="1:7" x14ac:dyDescent="0.3">
      <c r="A367">
        <v>129</v>
      </c>
      <c r="B367">
        <v>1</v>
      </c>
      <c r="C367">
        <v>2</v>
      </c>
      <c r="D367">
        <v>0</v>
      </c>
      <c r="E367">
        <v>108</v>
      </c>
      <c r="F367">
        <v>30</v>
      </c>
      <c r="G367">
        <v>6</v>
      </c>
    </row>
    <row r="368" spans="1:7" x14ac:dyDescent="0.3">
      <c r="A368">
        <v>209</v>
      </c>
      <c r="B368">
        <v>1</v>
      </c>
      <c r="C368">
        <v>4</v>
      </c>
      <c r="D368">
        <v>0</v>
      </c>
      <c r="E368">
        <v>84</v>
      </c>
      <c r="F368">
        <v>15</v>
      </c>
      <c r="G368">
        <v>2</v>
      </c>
    </row>
    <row r="369" spans="1:7" x14ac:dyDescent="0.3">
      <c r="A369">
        <v>227</v>
      </c>
      <c r="B369">
        <v>1</v>
      </c>
      <c r="C369">
        <v>2</v>
      </c>
      <c r="D369">
        <v>0</v>
      </c>
      <c r="E369">
        <v>349</v>
      </c>
      <c r="F369">
        <v>30</v>
      </c>
      <c r="G369">
        <v>6</v>
      </c>
    </row>
    <row r="370" spans="1:7" x14ac:dyDescent="0.3">
      <c r="A370">
        <v>100</v>
      </c>
      <c r="B370">
        <v>1</v>
      </c>
      <c r="C370">
        <v>0</v>
      </c>
      <c r="D370">
        <v>0</v>
      </c>
      <c r="E370">
        <v>196</v>
      </c>
      <c r="F370">
        <v>30</v>
      </c>
      <c r="G370">
        <v>1</v>
      </c>
    </row>
    <row r="371" spans="1:7" x14ac:dyDescent="0.3">
      <c r="A371">
        <v>140</v>
      </c>
      <c r="B371">
        <v>1</v>
      </c>
      <c r="C371">
        <v>4</v>
      </c>
      <c r="D371">
        <v>0</v>
      </c>
      <c r="E371">
        <v>314</v>
      </c>
      <c r="F371">
        <v>30</v>
      </c>
      <c r="G371">
        <v>4</v>
      </c>
    </row>
    <row r="372" spans="1:7" x14ac:dyDescent="0.3">
      <c r="A372">
        <v>169</v>
      </c>
      <c r="B372">
        <v>1</v>
      </c>
      <c r="C372">
        <v>2</v>
      </c>
      <c r="D372">
        <v>0</v>
      </c>
      <c r="E372">
        <v>149</v>
      </c>
      <c r="F372">
        <v>30</v>
      </c>
      <c r="G372">
        <v>2</v>
      </c>
    </row>
    <row r="373" spans="1:7" x14ac:dyDescent="0.3">
      <c r="A373">
        <v>209</v>
      </c>
      <c r="B373">
        <v>1</v>
      </c>
      <c r="C373">
        <v>4</v>
      </c>
      <c r="D373">
        <v>0</v>
      </c>
      <c r="E373">
        <v>239</v>
      </c>
      <c r="F373">
        <v>1</v>
      </c>
      <c r="G373">
        <v>4</v>
      </c>
    </row>
    <row r="374" spans="1:7" x14ac:dyDescent="0.3">
      <c r="A374">
        <v>170</v>
      </c>
      <c r="B374">
        <v>1</v>
      </c>
      <c r="C374">
        <v>4</v>
      </c>
      <c r="D374">
        <v>0</v>
      </c>
      <c r="E374">
        <v>280</v>
      </c>
      <c r="F374">
        <v>30</v>
      </c>
      <c r="G374">
        <v>4</v>
      </c>
    </row>
    <row r="375" spans="1:7" x14ac:dyDescent="0.3">
      <c r="A375">
        <v>267</v>
      </c>
      <c r="B375">
        <v>1</v>
      </c>
      <c r="C375">
        <v>4</v>
      </c>
      <c r="D375">
        <v>0</v>
      </c>
      <c r="E375">
        <v>333</v>
      </c>
      <c r="F375">
        <v>1</v>
      </c>
      <c r="G375">
        <v>6</v>
      </c>
    </row>
    <row r="376" spans="1:7" x14ac:dyDescent="0.3">
      <c r="A376">
        <v>62</v>
      </c>
      <c r="B376">
        <v>2</v>
      </c>
      <c r="C376">
        <v>0</v>
      </c>
      <c r="D376">
        <v>1</v>
      </c>
      <c r="E376">
        <v>117</v>
      </c>
      <c r="F376">
        <v>30</v>
      </c>
      <c r="G376">
        <v>2</v>
      </c>
    </row>
    <row r="377" spans="1:7" x14ac:dyDescent="0.3">
      <c r="A377">
        <v>209</v>
      </c>
      <c r="B377">
        <v>1</v>
      </c>
      <c r="C377">
        <v>4</v>
      </c>
      <c r="D377">
        <v>0</v>
      </c>
      <c r="E377">
        <v>365</v>
      </c>
      <c r="F377">
        <v>30</v>
      </c>
      <c r="G377">
        <v>4</v>
      </c>
    </row>
    <row r="378" spans="1:7" x14ac:dyDescent="0.3">
      <c r="A378">
        <v>248</v>
      </c>
      <c r="B378">
        <v>1</v>
      </c>
      <c r="C378">
        <v>4</v>
      </c>
      <c r="D378">
        <v>0</v>
      </c>
      <c r="E378">
        <v>152</v>
      </c>
      <c r="F378">
        <v>30</v>
      </c>
      <c r="G378">
        <v>4</v>
      </c>
    </row>
    <row r="379" spans="1:7" x14ac:dyDescent="0.3">
      <c r="A379">
        <v>80</v>
      </c>
      <c r="B379">
        <v>1</v>
      </c>
      <c r="C379">
        <v>0</v>
      </c>
      <c r="D379">
        <v>1</v>
      </c>
      <c r="E379">
        <v>336</v>
      </c>
      <c r="F379">
        <v>2</v>
      </c>
      <c r="G379">
        <v>1</v>
      </c>
    </row>
    <row r="380" spans="1:7" x14ac:dyDescent="0.3">
      <c r="A380">
        <v>120</v>
      </c>
      <c r="B380">
        <v>1</v>
      </c>
      <c r="C380">
        <v>2</v>
      </c>
      <c r="D380">
        <v>0</v>
      </c>
      <c r="E380">
        <v>114</v>
      </c>
      <c r="F380">
        <v>30</v>
      </c>
      <c r="G380">
        <v>2</v>
      </c>
    </row>
    <row r="381" spans="1:7" x14ac:dyDescent="0.3">
      <c r="A381">
        <v>120</v>
      </c>
      <c r="B381">
        <v>1</v>
      </c>
      <c r="C381">
        <v>4</v>
      </c>
      <c r="D381">
        <v>0</v>
      </c>
      <c r="E381">
        <v>288</v>
      </c>
      <c r="F381">
        <v>30</v>
      </c>
      <c r="G381">
        <v>2</v>
      </c>
    </row>
    <row r="382" spans="1:7" x14ac:dyDescent="0.3">
      <c r="A382">
        <v>96</v>
      </c>
      <c r="B382">
        <v>1</v>
      </c>
      <c r="C382">
        <v>2</v>
      </c>
      <c r="D382">
        <v>0</v>
      </c>
      <c r="E382">
        <v>89</v>
      </c>
      <c r="F382">
        <v>30</v>
      </c>
      <c r="G382">
        <v>2</v>
      </c>
    </row>
    <row r="383" spans="1:7" x14ac:dyDescent="0.3">
      <c r="A383">
        <v>120</v>
      </c>
      <c r="B383">
        <v>1</v>
      </c>
      <c r="C383">
        <v>4</v>
      </c>
      <c r="D383">
        <v>0</v>
      </c>
      <c r="E383">
        <v>337</v>
      </c>
      <c r="F383">
        <v>30</v>
      </c>
      <c r="G383">
        <v>2</v>
      </c>
    </row>
    <row r="384" spans="1:7" x14ac:dyDescent="0.3">
      <c r="A384">
        <v>65</v>
      </c>
      <c r="B384">
        <v>1</v>
      </c>
      <c r="C384">
        <v>0</v>
      </c>
      <c r="D384">
        <v>0</v>
      </c>
      <c r="E384">
        <v>189</v>
      </c>
      <c r="F384">
        <v>30</v>
      </c>
      <c r="G384">
        <v>2</v>
      </c>
    </row>
    <row r="385" spans="1:7" x14ac:dyDescent="0.3">
      <c r="A385">
        <v>356</v>
      </c>
      <c r="B385">
        <v>1</v>
      </c>
      <c r="C385">
        <v>4</v>
      </c>
      <c r="D385">
        <v>1</v>
      </c>
      <c r="E385">
        <v>299</v>
      </c>
      <c r="F385">
        <v>1</v>
      </c>
      <c r="G385">
        <v>2</v>
      </c>
    </row>
    <row r="386" spans="1:7" x14ac:dyDescent="0.3">
      <c r="A386">
        <v>381</v>
      </c>
      <c r="B386">
        <v>1</v>
      </c>
      <c r="C386">
        <v>4</v>
      </c>
      <c r="D386">
        <v>1</v>
      </c>
      <c r="E386">
        <v>324</v>
      </c>
      <c r="F386">
        <v>1</v>
      </c>
      <c r="G386">
        <v>2</v>
      </c>
    </row>
    <row r="387" spans="1:7" x14ac:dyDescent="0.3">
      <c r="A387">
        <v>56</v>
      </c>
      <c r="B387">
        <v>1</v>
      </c>
      <c r="C387">
        <v>4</v>
      </c>
      <c r="D387">
        <v>1</v>
      </c>
      <c r="E387">
        <v>214</v>
      </c>
      <c r="F387">
        <v>30</v>
      </c>
      <c r="G387">
        <v>1</v>
      </c>
    </row>
    <row r="388" spans="1:7" x14ac:dyDescent="0.3">
      <c r="A388">
        <v>421</v>
      </c>
      <c r="B388">
        <v>1</v>
      </c>
      <c r="C388">
        <v>4</v>
      </c>
      <c r="D388">
        <v>1</v>
      </c>
      <c r="E388">
        <v>283</v>
      </c>
      <c r="F388">
        <v>1</v>
      </c>
      <c r="G388">
        <v>2</v>
      </c>
    </row>
    <row r="389" spans="1:7" x14ac:dyDescent="0.3">
      <c r="A389">
        <v>230</v>
      </c>
      <c r="B389">
        <v>1</v>
      </c>
      <c r="C389">
        <v>2</v>
      </c>
      <c r="D389">
        <v>0</v>
      </c>
      <c r="E389">
        <v>324</v>
      </c>
      <c r="F389">
        <v>30</v>
      </c>
      <c r="G389">
        <v>4</v>
      </c>
    </row>
    <row r="390" spans="1:7" x14ac:dyDescent="0.3">
      <c r="A390">
        <v>236</v>
      </c>
      <c r="B390">
        <v>1</v>
      </c>
      <c r="C390">
        <v>0</v>
      </c>
      <c r="D390">
        <v>0</v>
      </c>
      <c r="E390">
        <v>276</v>
      </c>
      <c r="F390">
        <v>30</v>
      </c>
      <c r="G390">
        <v>3</v>
      </c>
    </row>
    <row r="391" spans="1:7" x14ac:dyDescent="0.3">
      <c r="A391">
        <v>140</v>
      </c>
      <c r="B391">
        <v>1</v>
      </c>
      <c r="C391">
        <v>2</v>
      </c>
      <c r="D391">
        <v>0</v>
      </c>
      <c r="E391">
        <v>124</v>
      </c>
      <c r="F391">
        <v>30</v>
      </c>
      <c r="G391">
        <v>2</v>
      </c>
    </row>
    <row r="392" spans="1:7" x14ac:dyDescent="0.3">
      <c r="A392">
        <v>119</v>
      </c>
      <c r="B392">
        <v>1</v>
      </c>
      <c r="C392">
        <v>4</v>
      </c>
      <c r="D392">
        <v>0</v>
      </c>
      <c r="E392">
        <v>362</v>
      </c>
      <c r="F392">
        <v>30</v>
      </c>
      <c r="G392">
        <v>3</v>
      </c>
    </row>
    <row r="393" spans="1:7" x14ac:dyDescent="0.3">
      <c r="A393">
        <v>210</v>
      </c>
      <c r="B393">
        <v>1</v>
      </c>
      <c r="C393">
        <v>2</v>
      </c>
      <c r="D393">
        <v>0</v>
      </c>
      <c r="E393">
        <v>365</v>
      </c>
      <c r="F393">
        <v>30</v>
      </c>
      <c r="G393">
        <v>6</v>
      </c>
    </row>
    <row r="394" spans="1:7" x14ac:dyDescent="0.3">
      <c r="A394">
        <v>78</v>
      </c>
      <c r="B394">
        <v>1</v>
      </c>
      <c r="C394">
        <v>2</v>
      </c>
      <c r="D394">
        <v>1</v>
      </c>
      <c r="E394">
        <v>332</v>
      </c>
      <c r="F394">
        <v>30</v>
      </c>
      <c r="G394">
        <v>1</v>
      </c>
    </row>
    <row r="395" spans="1:7" x14ac:dyDescent="0.3">
      <c r="A395">
        <v>289</v>
      </c>
      <c r="B395">
        <v>1</v>
      </c>
      <c r="C395">
        <v>4</v>
      </c>
      <c r="D395">
        <v>1</v>
      </c>
      <c r="E395">
        <v>39</v>
      </c>
      <c r="F395">
        <v>1</v>
      </c>
      <c r="G395">
        <v>2</v>
      </c>
    </row>
    <row r="396" spans="1:7" x14ac:dyDescent="0.3">
      <c r="A396">
        <v>207</v>
      </c>
      <c r="B396">
        <v>0</v>
      </c>
      <c r="C396">
        <v>4</v>
      </c>
      <c r="D396">
        <v>1</v>
      </c>
      <c r="E396">
        <v>304</v>
      </c>
      <c r="F396">
        <v>1</v>
      </c>
      <c r="G396">
        <v>1</v>
      </c>
    </row>
    <row r="397" spans="1:7" x14ac:dyDescent="0.3">
      <c r="A397">
        <v>178</v>
      </c>
      <c r="B397">
        <v>1</v>
      </c>
      <c r="C397">
        <v>2</v>
      </c>
      <c r="D397">
        <v>0</v>
      </c>
      <c r="E397">
        <v>264</v>
      </c>
      <c r="F397">
        <v>30</v>
      </c>
      <c r="G397">
        <v>4</v>
      </c>
    </row>
    <row r="398" spans="1:7" x14ac:dyDescent="0.3">
      <c r="A398">
        <v>135</v>
      </c>
      <c r="B398">
        <v>1</v>
      </c>
      <c r="C398">
        <v>0</v>
      </c>
      <c r="D398">
        <v>0</v>
      </c>
      <c r="E398">
        <v>290</v>
      </c>
      <c r="F398">
        <v>30</v>
      </c>
      <c r="G398">
        <v>4</v>
      </c>
    </row>
    <row r="399" spans="1:7" x14ac:dyDescent="0.3">
      <c r="A399">
        <v>365</v>
      </c>
      <c r="B399">
        <v>1.5</v>
      </c>
      <c r="C399">
        <v>4</v>
      </c>
      <c r="D399">
        <v>0</v>
      </c>
      <c r="E399">
        <v>115</v>
      </c>
      <c r="F399">
        <v>30</v>
      </c>
      <c r="G399">
        <v>2</v>
      </c>
    </row>
    <row r="400" spans="1:7" x14ac:dyDescent="0.3">
      <c r="A400">
        <v>249</v>
      </c>
      <c r="B400">
        <v>1</v>
      </c>
      <c r="C400">
        <v>2</v>
      </c>
      <c r="D400">
        <v>0</v>
      </c>
      <c r="E400">
        <v>86</v>
      </c>
      <c r="F400">
        <v>30</v>
      </c>
      <c r="G400">
        <v>6</v>
      </c>
    </row>
    <row r="401" spans="1:7" x14ac:dyDescent="0.3">
      <c r="A401">
        <v>90</v>
      </c>
      <c r="B401">
        <v>1</v>
      </c>
      <c r="C401">
        <v>0</v>
      </c>
      <c r="D401">
        <v>0</v>
      </c>
      <c r="E401">
        <v>149</v>
      </c>
      <c r="F401">
        <v>30</v>
      </c>
      <c r="G401">
        <v>3</v>
      </c>
    </row>
    <row r="402" spans="1:7" x14ac:dyDescent="0.3">
      <c r="A402">
        <v>194</v>
      </c>
      <c r="B402">
        <v>1</v>
      </c>
      <c r="C402">
        <v>4</v>
      </c>
      <c r="D402">
        <v>0</v>
      </c>
      <c r="E402">
        <v>359</v>
      </c>
      <c r="F402">
        <v>30</v>
      </c>
      <c r="G402">
        <v>3</v>
      </c>
    </row>
    <row r="403" spans="1:7" x14ac:dyDescent="0.3">
      <c r="A403">
        <v>179</v>
      </c>
      <c r="B403">
        <v>1</v>
      </c>
      <c r="C403">
        <v>0</v>
      </c>
      <c r="D403">
        <v>0</v>
      </c>
      <c r="E403">
        <v>303</v>
      </c>
      <c r="F403">
        <v>30</v>
      </c>
      <c r="G403">
        <v>4</v>
      </c>
    </row>
    <row r="404" spans="1:7" x14ac:dyDescent="0.3">
      <c r="A404">
        <v>105</v>
      </c>
      <c r="B404">
        <v>1</v>
      </c>
      <c r="C404">
        <v>2</v>
      </c>
      <c r="D404">
        <v>0</v>
      </c>
      <c r="E404">
        <v>84</v>
      </c>
      <c r="F404">
        <v>30</v>
      </c>
      <c r="G404">
        <v>2</v>
      </c>
    </row>
    <row r="405" spans="1:7" x14ac:dyDescent="0.3">
      <c r="A405">
        <v>57</v>
      </c>
      <c r="B405">
        <v>1.5</v>
      </c>
      <c r="C405">
        <v>4</v>
      </c>
      <c r="D405">
        <v>1</v>
      </c>
      <c r="E405">
        <v>305</v>
      </c>
      <c r="F405">
        <v>30</v>
      </c>
      <c r="G405">
        <v>1</v>
      </c>
    </row>
    <row r="406" spans="1:7" x14ac:dyDescent="0.3">
      <c r="A406">
        <v>51</v>
      </c>
      <c r="B406">
        <v>1</v>
      </c>
      <c r="C406">
        <v>4</v>
      </c>
      <c r="D406">
        <v>1</v>
      </c>
      <c r="E406">
        <v>159</v>
      </c>
      <c r="F406">
        <v>30</v>
      </c>
      <c r="G406">
        <v>2</v>
      </c>
    </row>
    <row r="407" spans="1:7" x14ac:dyDescent="0.3">
      <c r="A407">
        <v>245</v>
      </c>
      <c r="B407">
        <v>2</v>
      </c>
      <c r="C407">
        <v>4</v>
      </c>
      <c r="D407">
        <v>0</v>
      </c>
      <c r="E407">
        <v>365</v>
      </c>
      <c r="F407">
        <v>30</v>
      </c>
      <c r="G407">
        <v>8</v>
      </c>
    </row>
    <row r="408" spans="1:7" x14ac:dyDescent="0.3">
      <c r="A408">
        <v>80</v>
      </c>
      <c r="B408">
        <v>1</v>
      </c>
      <c r="C408">
        <v>2</v>
      </c>
      <c r="D408">
        <v>1</v>
      </c>
      <c r="E408">
        <v>156</v>
      </c>
      <c r="F408">
        <v>30</v>
      </c>
      <c r="G408">
        <v>2</v>
      </c>
    </row>
    <row r="409" spans="1:7" x14ac:dyDescent="0.3">
      <c r="A409">
        <v>132</v>
      </c>
      <c r="B409">
        <v>1</v>
      </c>
      <c r="C409">
        <v>4</v>
      </c>
      <c r="D409">
        <v>0</v>
      </c>
      <c r="E409">
        <v>274</v>
      </c>
      <c r="F409">
        <v>30</v>
      </c>
      <c r="G409">
        <v>2</v>
      </c>
    </row>
    <row r="410" spans="1:7" x14ac:dyDescent="0.3">
      <c r="A410">
        <v>132</v>
      </c>
      <c r="B410">
        <v>1</v>
      </c>
      <c r="C410">
        <v>4</v>
      </c>
      <c r="D410">
        <v>0</v>
      </c>
      <c r="E410">
        <v>327</v>
      </c>
      <c r="F410">
        <v>30</v>
      </c>
      <c r="G410">
        <v>2</v>
      </c>
    </row>
    <row r="411" spans="1:7" x14ac:dyDescent="0.3">
      <c r="A411">
        <v>79</v>
      </c>
      <c r="B411">
        <v>1</v>
      </c>
      <c r="C411">
        <v>0</v>
      </c>
      <c r="D411">
        <v>1</v>
      </c>
      <c r="E411">
        <v>90</v>
      </c>
      <c r="F411">
        <v>30</v>
      </c>
      <c r="G411">
        <v>1</v>
      </c>
    </row>
    <row r="412" spans="1:7" x14ac:dyDescent="0.3">
      <c r="A412">
        <v>143</v>
      </c>
      <c r="B412">
        <v>1</v>
      </c>
      <c r="C412">
        <v>2</v>
      </c>
      <c r="D412">
        <v>1</v>
      </c>
      <c r="E412">
        <v>190</v>
      </c>
      <c r="F412">
        <v>4</v>
      </c>
      <c r="G412">
        <v>2</v>
      </c>
    </row>
    <row r="413" spans="1:7" x14ac:dyDescent="0.3">
      <c r="A413">
        <v>76</v>
      </c>
      <c r="B413">
        <v>1</v>
      </c>
      <c r="C413">
        <v>2</v>
      </c>
      <c r="D413">
        <v>1</v>
      </c>
      <c r="E413">
        <v>257</v>
      </c>
      <c r="F413">
        <v>30</v>
      </c>
      <c r="G413">
        <v>1</v>
      </c>
    </row>
    <row r="414" spans="1:7" x14ac:dyDescent="0.3">
      <c r="A414">
        <v>185</v>
      </c>
      <c r="B414">
        <v>1</v>
      </c>
      <c r="C414">
        <v>2</v>
      </c>
      <c r="D414">
        <v>0</v>
      </c>
      <c r="E414">
        <v>58</v>
      </c>
      <c r="F414">
        <v>30</v>
      </c>
      <c r="G414">
        <v>3</v>
      </c>
    </row>
    <row r="415" spans="1:7" x14ac:dyDescent="0.3">
      <c r="A415">
        <v>332</v>
      </c>
      <c r="B415">
        <v>1</v>
      </c>
      <c r="C415">
        <v>4</v>
      </c>
      <c r="D415">
        <v>1</v>
      </c>
      <c r="E415">
        <v>39</v>
      </c>
      <c r="F415">
        <v>1</v>
      </c>
      <c r="G415">
        <v>4</v>
      </c>
    </row>
    <row r="416" spans="1:7" x14ac:dyDescent="0.3">
      <c r="A416">
        <v>106</v>
      </c>
      <c r="B416">
        <v>1</v>
      </c>
      <c r="C416">
        <v>4</v>
      </c>
      <c r="D416">
        <v>0</v>
      </c>
      <c r="E416">
        <v>320</v>
      </c>
      <c r="F416">
        <v>30</v>
      </c>
      <c r="G416">
        <v>2</v>
      </c>
    </row>
    <row r="417" spans="1:7" x14ac:dyDescent="0.3">
      <c r="A417">
        <v>198</v>
      </c>
      <c r="B417">
        <v>1</v>
      </c>
      <c r="C417">
        <v>2</v>
      </c>
      <c r="D417">
        <v>0</v>
      </c>
      <c r="E417">
        <v>166</v>
      </c>
      <c r="F417">
        <v>30</v>
      </c>
      <c r="G417">
        <v>2</v>
      </c>
    </row>
    <row r="418" spans="1:7" x14ac:dyDescent="0.3">
      <c r="A418">
        <v>81</v>
      </c>
      <c r="B418">
        <v>1</v>
      </c>
      <c r="C418">
        <v>2</v>
      </c>
      <c r="D418">
        <v>1</v>
      </c>
      <c r="E418">
        <v>58</v>
      </c>
      <c r="F418">
        <v>30</v>
      </c>
      <c r="G418">
        <v>1</v>
      </c>
    </row>
    <row r="419" spans="1:7" x14ac:dyDescent="0.3">
      <c r="A419">
        <v>87</v>
      </c>
      <c r="B419">
        <v>1</v>
      </c>
      <c r="C419">
        <v>2</v>
      </c>
      <c r="D419">
        <v>1</v>
      </c>
      <c r="E419">
        <v>158</v>
      </c>
      <c r="F419">
        <v>2</v>
      </c>
      <c r="G419">
        <v>2</v>
      </c>
    </row>
    <row r="420" spans="1:7" x14ac:dyDescent="0.3">
      <c r="A420">
        <v>146</v>
      </c>
      <c r="B420">
        <v>1</v>
      </c>
      <c r="C420">
        <v>2</v>
      </c>
      <c r="D420">
        <v>1</v>
      </c>
      <c r="E420">
        <v>318</v>
      </c>
      <c r="F420">
        <v>3</v>
      </c>
      <c r="G420">
        <v>2</v>
      </c>
    </row>
    <row r="421" spans="1:7" x14ac:dyDescent="0.3">
      <c r="A421">
        <v>417</v>
      </c>
      <c r="B421">
        <v>1</v>
      </c>
      <c r="C421">
        <v>4</v>
      </c>
      <c r="D421">
        <v>0</v>
      </c>
      <c r="E421">
        <v>262</v>
      </c>
      <c r="F421">
        <v>1</v>
      </c>
      <c r="G421">
        <v>2</v>
      </c>
    </row>
    <row r="422" spans="1:7" x14ac:dyDescent="0.3">
      <c r="A422">
        <v>97</v>
      </c>
      <c r="B422">
        <v>1</v>
      </c>
      <c r="C422">
        <v>4</v>
      </c>
      <c r="D422">
        <v>1</v>
      </c>
      <c r="E422">
        <v>107</v>
      </c>
      <c r="F422">
        <v>30</v>
      </c>
      <c r="G422">
        <v>2</v>
      </c>
    </row>
    <row r="423" spans="1:7" x14ac:dyDescent="0.3">
      <c r="A423">
        <v>133</v>
      </c>
      <c r="B423">
        <v>1</v>
      </c>
      <c r="C423">
        <v>4</v>
      </c>
      <c r="D423">
        <v>0</v>
      </c>
      <c r="E423">
        <v>250</v>
      </c>
      <c r="F423">
        <v>30</v>
      </c>
      <c r="G423">
        <v>2</v>
      </c>
    </row>
    <row r="424" spans="1:7" x14ac:dyDescent="0.3">
      <c r="A424">
        <v>125</v>
      </c>
      <c r="B424">
        <v>1</v>
      </c>
      <c r="C424">
        <v>4</v>
      </c>
      <c r="D424">
        <v>0</v>
      </c>
      <c r="E424">
        <v>64</v>
      </c>
      <c r="F424">
        <v>1</v>
      </c>
      <c r="G424">
        <v>2</v>
      </c>
    </row>
    <row r="425" spans="1:7" x14ac:dyDescent="0.3">
      <c r="A425">
        <v>179</v>
      </c>
      <c r="B425">
        <v>1</v>
      </c>
      <c r="C425">
        <v>4</v>
      </c>
      <c r="D425">
        <v>0</v>
      </c>
      <c r="E425">
        <v>33</v>
      </c>
      <c r="F425">
        <v>4</v>
      </c>
      <c r="G425">
        <v>2</v>
      </c>
    </row>
    <row r="426" spans="1:7" x14ac:dyDescent="0.3">
      <c r="A426">
        <v>118</v>
      </c>
      <c r="B426">
        <v>1</v>
      </c>
      <c r="C426">
        <v>4</v>
      </c>
      <c r="D426">
        <v>1</v>
      </c>
      <c r="E426">
        <v>33</v>
      </c>
      <c r="F426">
        <v>3</v>
      </c>
      <c r="G426">
        <v>2</v>
      </c>
    </row>
    <row r="427" spans="1:7" x14ac:dyDescent="0.3">
      <c r="A427">
        <v>81</v>
      </c>
      <c r="B427">
        <v>1</v>
      </c>
      <c r="C427">
        <v>0</v>
      </c>
      <c r="D427">
        <v>0</v>
      </c>
      <c r="E427">
        <v>164</v>
      </c>
      <c r="F427">
        <v>30</v>
      </c>
      <c r="G427">
        <v>4</v>
      </c>
    </row>
    <row r="428" spans="1:7" x14ac:dyDescent="0.3">
      <c r="A428">
        <v>161</v>
      </c>
      <c r="B428">
        <v>1</v>
      </c>
      <c r="C428">
        <v>4</v>
      </c>
      <c r="D428">
        <v>0</v>
      </c>
      <c r="E428">
        <v>218</v>
      </c>
      <c r="F428">
        <v>30</v>
      </c>
      <c r="G428">
        <v>4</v>
      </c>
    </row>
    <row r="429" spans="1:7" x14ac:dyDescent="0.3">
      <c r="A429">
        <v>118</v>
      </c>
      <c r="B429">
        <v>1</v>
      </c>
      <c r="C429">
        <v>4</v>
      </c>
      <c r="D429">
        <v>0</v>
      </c>
      <c r="E429">
        <v>336</v>
      </c>
      <c r="F429">
        <v>30</v>
      </c>
      <c r="G429">
        <v>2</v>
      </c>
    </row>
    <row r="430" spans="1:7" x14ac:dyDescent="0.3">
      <c r="A430">
        <v>183</v>
      </c>
      <c r="B430">
        <v>1</v>
      </c>
      <c r="C430">
        <v>4</v>
      </c>
      <c r="D430">
        <v>0</v>
      </c>
      <c r="E430">
        <v>303</v>
      </c>
      <c r="F430">
        <v>30</v>
      </c>
      <c r="G430">
        <v>2</v>
      </c>
    </row>
    <row r="431" spans="1:7" x14ac:dyDescent="0.3">
      <c r="A431">
        <v>65</v>
      </c>
      <c r="B431">
        <v>1</v>
      </c>
      <c r="C431">
        <v>2</v>
      </c>
      <c r="D431">
        <v>1</v>
      </c>
      <c r="E431">
        <v>365</v>
      </c>
      <c r="F431">
        <v>30</v>
      </c>
      <c r="G431">
        <v>2</v>
      </c>
    </row>
    <row r="432" spans="1:7" x14ac:dyDescent="0.3">
      <c r="A432">
        <v>200</v>
      </c>
      <c r="B432">
        <v>1</v>
      </c>
      <c r="C432">
        <v>4</v>
      </c>
      <c r="D432">
        <v>0</v>
      </c>
      <c r="E432">
        <v>265</v>
      </c>
      <c r="F432">
        <v>30</v>
      </c>
      <c r="G432">
        <v>4</v>
      </c>
    </row>
    <row r="433" spans="1:7" x14ac:dyDescent="0.3">
      <c r="A433">
        <v>90</v>
      </c>
      <c r="B433">
        <v>1</v>
      </c>
      <c r="C433">
        <v>2</v>
      </c>
      <c r="D433">
        <v>0</v>
      </c>
      <c r="E433">
        <v>293</v>
      </c>
      <c r="F433">
        <v>30</v>
      </c>
      <c r="G433">
        <v>2</v>
      </c>
    </row>
    <row r="434" spans="1:7" x14ac:dyDescent="0.3">
      <c r="A434">
        <v>120</v>
      </c>
      <c r="B434">
        <v>1</v>
      </c>
      <c r="C434">
        <v>2</v>
      </c>
      <c r="D434">
        <v>0</v>
      </c>
      <c r="E434">
        <v>250</v>
      </c>
      <c r="F434">
        <v>30</v>
      </c>
      <c r="G434">
        <v>3</v>
      </c>
    </row>
    <row r="435" spans="1:7" x14ac:dyDescent="0.3">
      <c r="A435">
        <v>149</v>
      </c>
      <c r="B435">
        <v>1</v>
      </c>
      <c r="C435">
        <v>4</v>
      </c>
      <c r="D435">
        <v>0</v>
      </c>
      <c r="E435">
        <v>283</v>
      </c>
      <c r="F435">
        <v>4</v>
      </c>
      <c r="G435">
        <v>3</v>
      </c>
    </row>
    <row r="436" spans="1:7" x14ac:dyDescent="0.3">
      <c r="A436">
        <v>108</v>
      </c>
      <c r="B436">
        <v>1</v>
      </c>
      <c r="C436">
        <v>4</v>
      </c>
      <c r="D436">
        <v>0</v>
      </c>
      <c r="E436">
        <v>279</v>
      </c>
      <c r="F436">
        <v>30</v>
      </c>
      <c r="G436">
        <v>3</v>
      </c>
    </row>
    <row r="437" spans="1:7" x14ac:dyDescent="0.3">
      <c r="A437">
        <v>118</v>
      </c>
      <c r="B437">
        <v>1</v>
      </c>
      <c r="C437">
        <v>2</v>
      </c>
      <c r="D437">
        <v>0</v>
      </c>
      <c r="E437">
        <v>347</v>
      </c>
      <c r="F437">
        <v>30</v>
      </c>
      <c r="G437">
        <v>4</v>
      </c>
    </row>
    <row r="438" spans="1:7" x14ac:dyDescent="0.3">
      <c r="A438">
        <v>124</v>
      </c>
      <c r="B438">
        <v>2</v>
      </c>
      <c r="C438">
        <v>0</v>
      </c>
      <c r="D438">
        <v>0</v>
      </c>
      <c r="E438">
        <v>124</v>
      </c>
      <c r="F438">
        <v>30</v>
      </c>
      <c r="G438">
        <v>4</v>
      </c>
    </row>
    <row r="439" spans="1:7" x14ac:dyDescent="0.3">
      <c r="A439">
        <v>310</v>
      </c>
      <c r="B439">
        <v>1</v>
      </c>
      <c r="C439">
        <v>4</v>
      </c>
      <c r="D439">
        <v>0</v>
      </c>
      <c r="E439">
        <v>336</v>
      </c>
      <c r="F439">
        <v>1</v>
      </c>
      <c r="G439">
        <v>2</v>
      </c>
    </row>
    <row r="440" spans="1:7" x14ac:dyDescent="0.3">
      <c r="A440">
        <v>231</v>
      </c>
      <c r="B440">
        <v>1</v>
      </c>
      <c r="C440">
        <v>4</v>
      </c>
      <c r="D440">
        <v>1</v>
      </c>
      <c r="E440">
        <v>284</v>
      </c>
      <c r="F440">
        <v>1</v>
      </c>
      <c r="G440">
        <v>5</v>
      </c>
    </row>
    <row r="441" spans="1:7" x14ac:dyDescent="0.3">
      <c r="A441">
        <v>405</v>
      </c>
      <c r="B441">
        <v>1</v>
      </c>
      <c r="C441">
        <v>4</v>
      </c>
      <c r="D441">
        <v>1</v>
      </c>
      <c r="E441">
        <v>306</v>
      </c>
      <c r="F441">
        <v>1</v>
      </c>
      <c r="G441">
        <v>4</v>
      </c>
    </row>
    <row r="442" spans="1:7" x14ac:dyDescent="0.3">
      <c r="A442">
        <v>334</v>
      </c>
      <c r="B442">
        <v>1</v>
      </c>
      <c r="C442">
        <v>4</v>
      </c>
      <c r="D442">
        <v>1</v>
      </c>
      <c r="E442">
        <v>139</v>
      </c>
      <c r="F442">
        <v>1</v>
      </c>
      <c r="G442">
        <v>4</v>
      </c>
    </row>
    <row r="443" spans="1:7" x14ac:dyDescent="0.3">
      <c r="A443">
        <v>170</v>
      </c>
      <c r="B443">
        <v>1</v>
      </c>
      <c r="C443">
        <v>4</v>
      </c>
      <c r="D443">
        <v>0</v>
      </c>
      <c r="E443">
        <v>364</v>
      </c>
      <c r="F443">
        <v>30</v>
      </c>
      <c r="G443">
        <v>2</v>
      </c>
    </row>
    <row r="444" spans="1:7" x14ac:dyDescent="0.3">
      <c r="A444">
        <v>350</v>
      </c>
      <c r="B444">
        <v>2</v>
      </c>
      <c r="C444">
        <v>2</v>
      </c>
      <c r="D444">
        <v>0</v>
      </c>
      <c r="E444">
        <v>69</v>
      </c>
      <c r="F444">
        <v>30</v>
      </c>
      <c r="G444">
        <v>2</v>
      </c>
    </row>
    <row r="445" spans="1:7" x14ac:dyDescent="0.3">
      <c r="A445">
        <v>149</v>
      </c>
      <c r="B445">
        <v>1</v>
      </c>
      <c r="C445">
        <v>2</v>
      </c>
      <c r="D445">
        <v>0</v>
      </c>
      <c r="E445">
        <v>128</v>
      </c>
      <c r="F445">
        <v>30</v>
      </c>
      <c r="G445">
        <v>4</v>
      </c>
    </row>
    <row r="446" spans="1:7" x14ac:dyDescent="0.3">
      <c r="A446">
        <v>261</v>
      </c>
      <c r="B446">
        <v>1</v>
      </c>
      <c r="C446">
        <v>4</v>
      </c>
      <c r="D446">
        <v>0</v>
      </c>
      <c r="E446">
        <v>355</v>
      </c>
      <c r="F446">
        <v>1</v>
      </c>
      <c r="G446">
        <v>2</v>
      </c>
    </row>
    <row r="447" spans="1:7" x14ac:dyDescent="0.3">
      <c r="A447">
        <v>145</v>
      </c>
      <c r="B447">
        <v>1</v>
      </c>
      <c r="C447">
        <v>0</v>
      </c>
      <c r="D447">
        <v>0</v>
      </c>
      <c r="E447">
        <v>276</v>
      </c>
      <c r="F447">
        <v>30</v>
      </c>
      <c r="G447">
        <v>4</v>
      </c>
    </row>
    <row r="448" spans="1:7" x14ac:dyDescent="0.3">
      <c r="A448">
        <v>179</v>
      </c>
      <c r="B448">
        <v>1</v>
      </c>
      <c r="C448">
        <v>2</v>
      </c>
      <c r="D448">
        <v>0</v>
      </c>
      <c r="E448">
        <v>278</v>
      </c>
      <c r="F448">
        <v>30</v>
      </c>
      <c r="G448">
        <v>4</v>
      </c>
    </row>
    <row r="449" spans="1:7" x14ac:dyDescent="0.3">
      <c r="A449">
        <v>224</v>
      </c>
      <c r="B449">
        <v>1</v>
      </c>
      <c r="C449">
        <v>4</v>
      </c>
      <c r="D449">
        <v>0</v>
      </c>
      <c r="E449">
        <v>286</v>
      </c>
      <c r="F449">
        <v>30</v>
      </c>
      <c r="G449">
        <v>3</v>
      </c>
    </row>
    <row r="450" spans="1:7" x14ac:dyDescent="0.3">
      <c r="A450">
        <v>70</v>
      </c>
      <c r="B450">
        <v>1</v>
      </c>
      <c r="C450">
        <v>2</v>
      </c>
      <c r="D450">
        <v>1</v>
      </c>
      <c r="E450">
        <v>273</v>
      </c>
      <c r="F450">
        <v>2</v>
      </c>
      <c r="G450">
        <v>1</v>
      </c>
    </row>
    <row r="451" spans="1:7" x14ac:dyDescent="0.3">
      <c r="A451">
        <v>137</v>
      </c>
      <c r="B451">
        <v>1</v>
      </c>
      <c r="C451">
        <v>4</v>
      </c>
      <c r="D451">
        <v>0</v>
      </c>
      <c r="E451">
        <v>258</v>
      </c>
      <c r="F451">
        <v>30</v>
      </c>
      <c r="G451">
        <v>4</v>
      </c>
    </row>
    <row r="452" spans="1:7" x14ac:dyDescent="0.3">
      <c r="A452">
        <v>151</v>
      </c>
      <c r="B452">
        <v>1</v>
      </c>
      <c r="C452">
        <v>4</v>
      </c>
      <c r="D452">
        <v>0</v>
      </c>
      <c r="E452">
        <v>268</v>
      </c>
      <c r="F452">
        <v>30</v>
      </c>
      <c r="G452">
        <v>2</v>
      </c>
    </row>
    <row r="453" spans="1:7" x14ac:dyDescent="0.3">
      <c r="A453">
        <v>57</v>
      </c>
      <c r="B453">
        <v>1</v>
      </c>
      <c r="C453">
        <v>0</v>
      </c>
      <c r="D453">
        <v>1</v>
      </c>
      <c r="E453">
        <v>137</v>
      </c>
      <c r="F453">
        <v>30</v>
      </c>
      <c r="G453">
        <v>1</v>
      </c>
    </row>
    <row r="454" spans="1:7" x14ac:dyDescent="0.3">
      <c r="A454">
        <v>106</v>
      </c>
      <c r="B454">
        <v>1</v>
      </c>
      <c r="C454">
        <v>0</v>
      </c>
      <c r="D454">
        <v>0</v>
      </c>
      <c r="E454">
        <v>184</v>
      </c>
      <c r="F454">
        <v>30</v>
      </c>
      <c r="G454">
        <v>4</v>
      </c>
    </row>
    <row r="455" spans="1:7" x14ac:dyDescent="0.3">
      <c r="A455">
        <v>193</v>
      </c>
      <c r="B455">
        <v>1</v>
      </c>
      <c r="C455">
        <v>2</v>
      </c>
      <c r="D455">
        <v>0</v>
      </c>
      <c r="E455">
        <v>185</v>
      </c>
      <c r="F455">
        <v>30</v>
      </c>
      <c r="G455">
        <v>5</v>
      </c>
    </row>
    <row r="456" spans="1:7" x14ac:dyDescent="0.3">
      <c r="A456">
        <v>120</v>
      </c>
      <c r="B456">
        <v>1</v>
      </c>
      <c r="C456">
        <v>4</v>
      </c>
      <c r="D456">
        <v>0</v>
      </c>
      <c r="E456">
        <v>238</v>
      </c>
      <c r="F456">
        <v>30</v>
      </c>
      <c r="G456">
        <v>4</v>
      </c>
    </row>
    <row r="457" spans="1:7" x14ac:dyDescent="0.3">
      <c r="A457">
        <v>101</v>
      </c>
      <c r="B457">
        <v>1</v>
      </c>
      <c r="C457">
        <v>0</v>
      </c>
      <c r="D457">
        <v>0</v>
      </c>
      <c r="E457">
        <v>278</v>
      </c>
      <c r="F457">
        <v>30</v>
      </c>
      <c r="G457">
        <v>3</v>
      </c>
    </row>
    <row r="458" spans="1:7" x14ac:dyDescent="0.3">
      <c r="A458">
        <v>116</v>
      </c>
      <c r="B458">
        <v>1</v>
      </c>
      <c r="C458">
        <v>2</v>
      </c>
      <c r="D458">
        <v>0</v>
      </c>
      <c r="E458">
        <v>148</v>
      </c>
      <c r="F458">
        <v>30</v>
      </c>
      <c r="G458">
        <v>4</v>
      </c>
    </row>
    <row r="459" spans="1:7" x14ac:dyDescent="0.3">
      <c r="A459">
        <v>208</v>
      </c>
      <c r="B459">
        <v>1</v>
      </c>
      <c r="C459">
        <v>4</v>
      </c>
      <c r="D459">
        <v>0</v>
      </c>
      <c r="E459">
        <v>273</v>
      </c>
      <c r="F459">
        <v>30</v>
      </c>
      <c r="G459">
        <v>4</v>
      </c>
    </row>
    <row r="460" spans="1:7" x14ac:dyDescent="0.3">
      <c r="A460">
        <v>115</v>
      </c>
      <c r="B460">
        <v>1</v>
      </c>
      <c r="C460">
        <v>2</v>
      </c>
      <c r="D460">
        <v>0</v>
      </c>
      <c r="E460">
        <v>238</v>
      </c>
      <c r="F460">
        <v>30</v>
      </c>
      <c r="G460">
        <v>2</v>
      </c>
    </row>
    <row r="461" spans="1:7" x14ac:dyDescent="0.3">
      <c r="A461">
        <v>331</v>
      </c>
      <c r="B461">
        <v>1</v>
      </c>
      <c r="C461">
        <v>4</v>
      </c>
      <c r="D461">
        <v>0</v>
      </c>
      <c r="E461">
        <v>362</v>
      </c>
      <c r="F461">
        <v>1</v>
      </c>
      <c r="G461">
        <v>2</v>
      </c>
    </row>
    <row r="462" spans="1:7" x14ac:dyDescent="0.3">
      <c r="A462">
        <v>82</v>
      </c>
      <c r="B462">
        <v>2</v>
      </c>
      <c r="C462">
        <v>4</v>
      </c>
      <c r="D462">
        <v>1</v>
      </c>
      <c r="E462">
        <v>351</v>
      </c>
      <c r="F462">
        <v>30</v>
      </c>
      <c r="G462">
        <v>2</v>
      </c>
    </row>
    <row r="463" spans="1:7" x14ac:dyDescent="0.3">
      <c r="A463">
        <v>85</v>
      </c>
      <c r="B463">
        <v>1</v>
      </c>
      <c r="C463">
        <v>2</v>
      </c>
      <c r="D463">
        <v>0</v>
      </c>
      <c r="E463">
        <v>169</v>
      </c>
      <c r="F463">
        <v>30</v>
      </c>
      <c r="G463">
        <v>2</v>
      </c>
    </row>
    <row r="464" spans="1:7" x14ac:dyDescent="0.3">
      <c r="A464">
        <v>137</v>
      </c>
      <c r="B464">
        <v>2</v>
      </c>
      <c r="C464">
        <v>0</v>
      </c>
      <c r="D464">
        <v>0</v>
      </c>
      <c r="E464">
        <v>142</v>
      </c>
      <c r="F464">
        <v>30</v>
      </c>
      <c r="G464">
        <v>12</v>
      </c>
    </row>
    <row r="465" spans="1:7" x14ac:dyDescent="0.3">
      <c r="A465">
        <v>185</v>
      </c>
      <c r="B465">
        <v>1</v>
      </c>
      <c r="C465">
        <v>2</v>
      </c>
      <c r="D465">
        <v>0</v>
      </c>
      <c r="E465">
        <v>200</v>
      </c>
      <c r="F465">
        <v>2</v>
      </c>
      <c r="G465">
        <v>2</v>
      </c>
    </row>
    <row r="466" spans="1:7" x14ac:dyDescent="0.3">
      <c r="A466">
        <v>330</v>
      </c>
      <c r="B466">
        <v>1</v>
      </c>
      <c r="C466">
        <v>4</v>
      </c>
      <c r="D466">
        <v>0</v>
      </c>
      <c r="E466">
        <v>111</v>
      </c>
      <c r="F466">
        <v>30</v>
      </c>
      <c r="G466">
        <v>4</v>
      </c>
    </row>
    <row r="467" spans="1:7" x14ac:dyDescent="0.3">
      <c r="A467">
        <v>175</v>
      </c>
      <c r="B467">
        <v>1</v>
      </c>
      <c r="C467">
        <v>0</v>
      </c>
      <c r="D467">
        <v>0</v>
      </c>
      <c r="E467">
        <v>148</v>
      </c>
      <c r="F467">
        <v>30</v>
      </c>
      <c r="G467">
        <v>4</v>
      </c>
    </row>
    <row r="468" spans="1:7" x14ac:dyDescent="0.3">
      <c r="A468">
        <v>165</v>
      </c>
      <c r="B468">
        <v>1</v>
      </c>
      <c r="C468">
        <v>0</v>
      </c>
      <c r="D468">
        <v>1</v>
      </c>
      <c r="E468">
        <v>347</v>
      </c>
      <c r="F468">
        <v>2</v>
      </c>
      <c r="G468">
        <v>2</v>
      </c>
    </row>
    <row r="469" spans="1:7" x14ac:dyDescent="0.3">
      <c r="A469">
        <v>86</v>
      </c>
      <c r="B469">
        <v>1</v>
      </c>
      <c r="C469">
        <v>0</v>
      </c>
      <c r="D469">
        <v>0</v>
      </c>
      <c r="E469">
        <v>239</v>
      </c>
      <c r="F469">
        <v>30</v>
      </c>
      <c r="G469">
        <v>2</v>
      </c>
    </row>
    <row r="470" spans="1:7" x14ac:dyDescent="0.3">
      <c r="A470">
        <v>214</v>
      </c>
      <c r="B470">
        <v>1</v>
      </c>
      <c r="C470">
        <v>4</v>
      </c>
      <c r="D470">
        <v>0</v>
      </c>
      <c r="E470">
        <v>277</v>
      </c>
      <c r="F470">
        <v>30</v>
      </c>
      <c r="G470">
        <v>2</v>
      </c>
    </row>
    <row r="471" spans="1:7" x14ac:dyDescent="0.3">
      <c r="A471">
        <v>90</v>
      </c>
      <c r="B471">
        <v>1</v>
      </c>
      <c r="C471">
        <v>0</v>
      </c>
      <c r="D471">
        <v>0</v>
      </c>
      <c r="E471">
        <v>173</v>
      </c>
      <c r="F471">
        <v>30</v>
      </c>
      <c r="G471">
        <v>4</v>
      </c>
    </row>
    <row r="472" spans="1:7" x14ac:dyDescent="0.3">
      <c r="A472">
        <v>134</v>
      </c>
      <c r="B472">
        <v>0</v>
      </c>
      <c r="C472">
        <v>4</v>
      </c>
      <c r="D472">
        <v>1</v>
      </c>
      <c r="E472">
        <v>286</v>
      </c>
      <c r="F472">
        <v>1</v>
      </c>
      <c r="G472">
        <v>4</v>
      </c>
    </row>
    <row r="473" spans="1:7" x14ac:dyDescent="0.3">
      <c r="A473">
        <v>134</v>
      </c>
      <c r="B473">
        <v>0</v>
      </c>
      <c r="C473">
        <v>4</v>
      </c>
      <c r="D473">
        <v>1</v>
      </c>
      <c r="E473">
        <v>295</v>
      </c>
      <c r="F473">
        <v>1</v>
      </c>
      <c r="G473">
        <v>4</v>
      </c>
    </row>
    <row r="474" spans="1:7" x14ac:dyDescent="0.3">
      <c r="A474">
        <v>145</v>
      </c>
      <c r="B474">
        <v>1</v>
      </c>
      <c r="C474">
        <v>2</v>
      </c>
      <c r="D474">
        <v>0</v>
      </c>
      <c r="E474">
        <v>265</v>
      </c>
      <c r="F474">
        <v>30</v>
      </c>
      <c r="G474">
        <v>2</v>
      </c>
    </row>
    <row r="475" spans="1:7" x14ac:dyDescent="0.3">
      <c r="A475">
        <v>205</v>
      </c>
      <c r="B475">
        <v>1</v>
      </c>
      <c r="C475">
        <v>4</v>
      </c>
      <c r="D475">
        <v>0</v>
      </c>
      <c r="E475">
        <v>263</v>
      </c>
      <c r="F475">
        <v>30</v>
      </c>
      <c r="G475">
        <v>3</v>
      </c>
    </row>
    <row r="476" spans="1:7" x14ac:dyDescent="0.3">
      <c r="A476">
        <v>220</v>
      </c>
      <c r="B476">
        <v>1</v>
      </c>
      <c r="C476">
        <v>2</v>
      </c>
      <c r="D476">
        <v>0</v>
      </c>
      <c r="E476">
        <v>75</v>
      </c>
      <c r="F476">
        <v>30</v>
      </c>
      <c r="G476">
        <v>2</v>
      </c>
    </row>
    <row r="477" spans="1:7" x14ac:dyDescent="0.3">
      <c r="A477">
        <v>203</v>
      </c>
      <c r="B477">
        <v>1</v>
      </c>
      <c r="C477">
        <v>4</v>
      </c>
      <c r="D477">
        <v>0</v>
      </c>
      <c r="E477">
        <v>50</v>
      </c>
      <c r="F477">
        <v>30</v>
      </c>
      <c r="G477">
        <v>1</v>
      </c>
    </row>
    <row r="478" spans="1:7" x14ac:dyDescent="0.3">
      <c r="A478">
        <v>65</v>
      </c>
      <c r="B478">
        <v>1</v>
      </c>
      <c r="C478">
        <v>0</v>
      </c>
      <c r="D478">
        <v>0</v>
      </c>
      <c r="E478">
        <v>179</v>
      </c>
      <c r="F478">
        <v>30</v>
      </c>
      <c r="G478">
        <v>1</v>
      </c>
    </row>
    <row r="479" spans="1:7" x14ac:dyDescent="0.3">
      <c r="A479">
        <v>170</v>
      </c>
      <c r="B479">
        <v>1</v>
      </c>
      <c r="C479">
        <v>4</v>
      </c>
      <c r="D479">
        <v>0</v>
      </c>
      <c r="E479">
        <v>243</v>
      </c>
      <c r="F479">
        <v>30</v>
      </c>
      <c r="G479">
        <v>2</v>
      </c>
    </row>
    <row r="480" spans="1:7" x14ac:dyDescent="0.3">
      <c r="A480">
        <v>120</v>
      </c>
      <c r="B480">
        <v>1</v>
      </c>
      <c r="C480">
        <v>2</v>
      </c>
      <c r="D480">
        <v>0</v>
      </c>
      <c r="E480">
        <v>180</v>
      </c>
      <c r="F480">
        <v>30</v>
      </c>
      <c r="G480">
        <v>4</v>
      </c>
    </row>
    <row r="481" spans="1:7" x14ac:dyDescent="0.3">
      <c r="A481">
        <v>185</v>
      </c>
      <c r="B481">
        <v>1</v>
      </c>
      <c r="C481">
        <v>4</v>
      </c>
      <c r="D481">
        <v>1</v>
      </c>
      <c r="E481">
        <v>228</v>
      </c>
      <c r="F481">
        <v>1</v>
      </c>
      <c r="G481">
        <v>1</v>
      </c>
    </row>
    <row r="482" spans="1:7" x14ac:dyDescent="0.3">
      <c r="A482">
        <v>179</v>
      </c>
      <c r="B482">
        <v>1</v>
      </c>
      <c r="C482">
        <v>2</v>
      </c>
      <c r="D482">
        <v>0</v>
      </c>
      <c r="E482">
        <v>63</v>
      </c>
      <c r="F482">
        <v>30</v>
      </c>
      <c r="G482">
        <v>2</v>
      </c>
    </row>
    <row r="483" spans="1:7" x14ac:dyDescent="0.3">
      <c r="A483">
        <v>126</v>
      </c>
      <c r="B483">
        <v>1</v>
      </c>
      <c r="C483">
        <v>4</v>
      </c>
      <c r="D483">
        <v>0</v>
      </c>
      <c r="E483">
        <v>185</v>
      </c>
      <c r="F483">
        <v>30</v>
      </c>
      <c r="G483">
        <v>2</v>
      </c>
    </row>
    <row r="484" spans="1:7" x14ac:dyDescent="0.3">
      <c r="A484">
        <v>120</v>
      </c>
      <c r="B484">
        <v>1</v>
      </c>
      <c r="C484">
        <v>2</v>
      </c>
      <c r="D484">
        <v>1</v>
      </c>
      <c r="E484">
        <v>211</v>
      </c>
      <c r="F484">
        <v>3</v>
      </c>
      <c r="G484">
        <v>1</v>
      </c>
    </row>
    <row r="485" spans="1:7" x14ac:dyDescent="0.3">
      <c r="A485">
        <v>75</v>
      </c>
      <c r="B485">
        <v>1</v>
      </c>
      <c r="C485">
        <v>2</v>
      </c>
      <c r="D485">
        <v>1</v>
      </c>
      <c r="E485">
        <v>278</v>
      </c>
      <c r="F485">
        <v>30</v>
      </c>
      <c r="G485">
        <v>2</v>
      </c>
    </row>
    <row r="486" spans="1:7" x14ac:dyDescent="0.3">
      <c r="A486">
        <v>77</v>
      </c>
      <c r="B486">
        <v>1</v>
      </c>
      <c r="C486">
        <v>2</v>
      </c>
      <c r="D486">
        <v>1</v>
      </c>
      <c r="E486">
        <v>322</v>
      </c>
      <c r="F486">
        <v>30</v>
      </c>
      <c r="G486">
        <v>2</v>
      </c>
    </row>
    <row r="487" spans="1:7" x14ac:dyDescent="0.3">
      <c r="A487">
        <v>242</v>
      </c>
      <c r="B487">
        <v>1</v>
      </c>
      <c r="C487">
        <v>4</v>
      </c>
      <c r="D487">
        <v>0</v>
      </c>
      <c r="E487">
        <v>278</v>
      </c>
      <c r="F487">
        <v>30</v>
      </c>
      <c r="G487">
        <v>3</v>
      </c>
    </row>
    <row r="488" spans="1:7" x14ac:dyDescent="0.3">
      <c r="A488">
        <v>115</v>
      </c>
      <c r="B488">
        <v>1</v>
      </c>
      <c r="C488">
        <v>4</v>
      </c>
      <c r="D488">
        <v>0</v>
      </c>
      <c r="E488">
        <v>230</v>
      </c>
      <c r="F488">
        <v>30</v>
      </c>
      <c r="G488">
        <v>2</v>
      </c>
    </row>
    <row r="489" spans="1:7" x14ac:dyDescent="0.3">
      <c r="A489">
        <v>100</v>
      </c>
      <c r="B489">
        <v>1</v>
      </c>
      <c r="C489">
        <v>2</v>
      </c>
      <c r="D489">
        <v>0</v>
      </c>
      <c r="E489">
        <v>275</v>
      </c>
      <c r="F489">
        <v>30</v>
      </c>
      <c r="G489">
        <v>3</v>
      </c>
    </row>
    <row r="490" spans="1:7" x14ac:dyDescent="0.3">
      <c r="A490">
        <v>150</v>
      </c>
      <c r="B490">
        <v>2</v>
      </c>
      <c r="C490">
        <v>4</v>
      </c>
      <c r="D490">
        <v>0</v>
      </c>
      <c r="E490">
        <v>176</v>
      </c>
      <c r="F490">
        <v>30</v>
      </c>
      <c r="G490">
        <v>4</v>
      </c>
    </row>
    <row r="491" spans="1:7" x14ac:dyDescent="0.3">
      <c r="A491">
        <v>98</v>
      </c>
      <c r="B491">
        <v>1</v>
      </c>
      <c r="C491">
        <v>2</v>
      </c>
      <c r="D491">
        <v>0</v>
      </c>
      <c r="E491">
        <v>55</v>
      </c>
      <c r="F491">
        <v>30</v>
      </c>
      <c r="G491">
        <v>2</v>
      </c>
    </row>
    <row r="492" spans="1:7" x14ac:dyDescent="0.3">
      <c r="A492">
        <v>155</v>
      </c>
      <c r="B492">
        <v>1</v>
      </c>
      <c r="C492">
        <v>4</v>
      </c>
      <c r="D492">
        <v>0</v>
      </c>
      <c r="E492">
        <v>305</v>
      </c>
      <c r="F492">
        <v>30</v>
      </c>
      <c r="G492">
        <v>2</v>
      </c>
    </row>
    <row r="493" spans="1:7" x14ac:dyDescent="0.3">
      <c r="A493">
        <v>135</v>
      </c>
      <c r="B493">
        <v>1</v>
      </c>
      <c r="C493">
        <v>4</v>
      </c>
      <c r="D493">
        <v>0</v>
      </c>
      <c r="E493">
        <v>112</v>
      </c>
      <c r="F493">
        <v>30</v>
      </c>
      <c r="G493">
        <v>2</v>
      </c>
    </row>
    <row r="494" spans="1:7" x14ac:dyDescent="0.3">
      <c r="A494">
        <v>160</v>
      </c>
      <c r="B494">
        <v>2</v>
      </c>
      <c r="C494">
        <v>2</v>
      </c>
      <c r="D494">
        <v>1</v>
      </c>
      <c r="E494">
        <v>357</v>
      </c>
      <c r="F494">
        <v>30</v>
      </c>
      <c r="G494">
        <v>1</v>
      </c>
    </row>
    <row r="495" spans="1:7" x14ac:dyDescent="0.3">
      <c r="A495">
        <v>67</v>
      </c>
      <c r="B495">
        <v>1</v>
      </c>
      <c r="C495">
        <v>4</v>
      </c>
      <c r="D495">
        <v>1</v>
      </c>
      <c r="E495">
        <v>292</v>
      </c>
      <c r="F495">
        <v>30</v>
      </c>
      <c r="G495">
        <v>1</v>
      </c>
    </row>
    <row r="496" spans="1:7" x14ac:dyDescent="0.3">
      <c r="A496">
        <v>169</v>
      </c>
      <c r="B496">
        <v>1</v>
      </c>
      <c r="C496">
        <v>0</v>
      </c>
      <c r="D496">
        <v>1</v>
      </c>
      <c r="E496">
        <v>50</v>
      </c>
      <c r="F496">
        <v>2</v>
      </c>
      <c r="G496">
        <v>1</v>
      </c>
    </row>
    <row r="497" spans="1:7" x14ac:dyDescent="0.3">
      <c r="A497">
        <v>68</v>
      </c>
      <c r="B497">
        <v>1</v>
      </c>
      <c r="C497">
        <v>4</v>
      </c>
      <c r="D497">
        <v>1</v>
      </c>
      <c r="E497">
        <v>330</v>
      </c>
      <c r="F497">
        <v>30</v>
      </c>
      <c r="G497">
        <v>1</v>
      </c>
    </row>
    <row r="498" spans="1:7" x14ac:dyDescent="0.3">
      <c r="A498">
        <v>155</v>
      </c>
      <c r="B498">
        <v>1</v>
      </c>
      <c r="C498">
        <v>4</v>
      </c>
      <c r="D498">
        <v>0</v>
      </c>
      <c r="E498">
        <v>282</v>
      </c>
      <c r="F498">
        <v>30</v>
      </c>
      <c r="G498">
        <v>4</v>
      </c>
    </row>
    <row r="499" spans="1:7" x14ac:dyDescent="0.3">
      <c r="A499">
        <v>175</v>
      </c>
      <c r="B499">
        <v>1</v>
      </c>
      <c r="C499">
        <v>2</v>
      </c>
      <c r="D499">
        <v>0</v>
      </c>
      <c r="E499">
        <v>263</v>
      </c>
      <c r="F499">
        <v>30</v>
      </c>
      <c r="G499">
        <v>2</v>
      </c>
    </row>
    <row r="500" spans="1:7" x14ac:dyDescent="0.3">
      <c r="A500">
        <v>114</v>
      </c>
      <c r="B500">
        <v>1</v>
      </c>
      <c r="C500">
        <v>2</v>
      </c>
      <c r="D500">
        <v>1</v>
      </c>
      <c r="E500">
        <v>175</v>
      </c>
      <c r="F500">
        <v>1</v>
      </c>
      <c r="G500">
        <v>1</v>
      </c>
    </row>
    <row r="501" spans="1:7" x14ac:dyDescent="0.3">
      <c r="A501">
        <v>183</v>
      </c>
      <c r="B501">
        <v>1</v>
      </c>
      <c r="C501">
        <v>2</v>
      </c>
      <c r="D501">
        <v>0</v>
      </c>
      <c r="E501">
        <v>229</v>
      </c>
      <c r="F501">
        <v>4</v>
      </c>
      <c r="G501">
        <v>4</v>
      </c>
    </row>
    <row r="502" spans="1:7" x14ac:dyDescent="0.3">
      <c r="A502">
        <v>125</v>
      </c>
      <c r="B502">
        <v>1</v>
      </c>
      <c r="C502">
        <v>2</v>
      </c>
      <c r="D502">
        <v>0</v>
      </c>
      <c r="E502">
        <v>256</v>
      </c>
      <c r="F502">
        <v>30</v>
      </c>
      <c r="G502">
        <v>4</v>
      </c>
    </row>
    <row r="503" spans="1:7" x14ac:dyDescent="0.3">
      <c r="A503">
        <v>65</v>
      </c>
      <c r="B503">
        <v>1</v>
      </c>
      <c r="C503">
        <v>2</v>
      </c>
      <c r="D503">
        <v>0</v>
      </c>
      <c r="E503">
        <v>110</v>
      </c>
      <c r="F503">
        <v>30</v>
      </c>
      <c r="G503">
        <v>2</v>
      </c>
    </row>
    <row r="504" spans="1:7" x14ac:dyDescent="0.3">
      <c r="A504">
        <v>161</v>
      </c>
      <c r="B504">
        <v>1</v>
      </c>
      <c r="C504">
        <v>2</v>
      </c>
      <c r="D504">
        <v>1</v>
      </c>
      <c r="E504">
        <v>169</v>
      </c>
      <c r="F504">
        <v>4</v>
      </c>
      <c r="G504">
        <v>2</v>
      </c>
    </row>
    <row r="505" spans="1:7" x14ac:dyDescent="0.3">
      <c r="A505">
        <v>76</v>
      </c>
      <c r="B505">
        <v>1</v>
      </c>
      <c r="C505">
        <v>4</v>
      </c>
      <c r="D505">
        <v>0</v>
      </c>
      <c r="E505">
        <v>137</v>
      </c>
      <c r="F505">
        <v>30</v>
      </c>
      <c r="G505">
        <v>1</v>
      </c>
    </row>
    <row r="506" spans="1:7" x14ac:dyDescent="0.3">
      <c r="A506">
        <v>175</v>
      </c>
      <c r="B506">
        <v>1</v>
      </c>
      <c r="C506">
        <v>0</v>
      </c>
      <c r="D506">
        <v>1</v>
      </c>
      <c r="E506">
        <v>318</v>
      </c>
      <c r="F506">
        <v>2</v>
      </c>
      <c r="G506">
        <v>2</v>
      </c>
    </row>
    <row r="507" spans="1:7" x14ac:dyDescent="0.3">
      <c r="A507">
        <v>67</v>
      </c>
      <c r="B507">
        <v>1</v>
      </c>
      <c r="C507">
        <v>2</v>
      </c>
      <c r="D507">
        <v>1</v>
      </c>
      <c r="E507">
        <v>239</v>
      </c>
      <c r="F507">
        <v>30</v>
      </c>
      <c r="G507">
        <v>1</v>
      </c>
    </row>
    <row r="508" spans="1:7" x14ac:dyDescent="0.3">
      <c r="A508">
        <v>70</v>
      </c>
      <c r="B508">
        <v>1</v>
      </c>
      <c r="C508">
        <v>0</v>
      </c>
      <c r="D508">
        <v>1</v>
      </c>
      <c r="E508">
        <v>334</v>
      </c>
      <c r="F508">
        <v>30</v>
      </c>
      <c r="G508">
        <v>1</v>
      </c>
    </row>
    <row r="509" spans="1:7" x14ac:dyDescent="0.3">
      <c r="A509">
        <v>104</v>
      </c>
      <c r="B509">
        <v>1</v>
      </c>
      <c r="C509">
        <v>2</v>
      </c>
      <c r="D509">
        <v>1</v>
      </c>
      <c r="E509">
        <v>339</v>
      </c>
      <c r="F509">
        <v>2</v>
      </c>
      <c r="G509">
        <v>2</v>
      </c>
    </row>
    <row r="510" spans="1:7" x14ac:dyDescent="0.3">
      <c r="A510">
        <v>59</v>
      </c>
      <c r="B510">
        <v>1</v>
      </c>
      <c r="C510">
        <v>0</v>
      </c>
      <c r="D510">
        <v>1</v>
      </c>
      <c r="E510">
        <v>78</v>
      </c>
      <c r="F510">
        <v>30</v>
      </c>
      <c r="G510">
        <v>1</v>
      </c>
    </row>
    <row r="511" spans="1:7" x14ac:dyDescent="0.3">
      <c r="A511">
        <v>93</v>
      </c>
      <c r="B511">
        <v>1</v>
      </c>
      <c r="C511">
        <v>2</v>
      </c>
      <c r="D511">
        <v>1</v>
      </c>
      <c r="E511">
        <v>364</v>
      </c>
      <c r="F511">
        <v>30</v>
      </c>
      <c r="G511">
        <v>2</v>
      </c>
    </row>
    <row r="512" spans="1:7" x14ac:dyDescent="0.3">
      <c r="A512">
        <v>160</v>
      </c>
      <c r="B512">
        <v>1</v>
      </c>
      <c r="C512">
        <v>4</v>
      </c>
      <c r="D512">
        <v>0</v>
      </c>
      <c r="E512">
        <v>230</v>
      </c>
      <c r="F512">
        <v>30</v>
      </c>
      <c r="G512">
        <v>4</v>
      </c>
    </row>
    <row r="513" spans="1:7" x14ac:dyDescent="0.3">
      <c r="A513">
        <v>104</v>
      </c>
      <c r="B513">
        <v>1</v>
      </c>
      <c r="C513">
        <v>2</v>
      </c>
      <c r="D513">
        <v>0</v>
      </c>
      <c r="E513">
        <v>329</v>
      </c>
      <c r="F513">
        <v>30</v>
      </c>
      <c r="G513">
        <v>3</v>
      </c>
    </row>
    <row r="514" spans="1:7" x14ac:dyDescent="0.3">
      <c r="A514">
        <v>116</v>
      </c>
      <c r="B514">
        <v>1</v>
      </c>
      <c r="C514">
        <v>2</v>
      </c>
      <c r="D514">
        <v>0</v>
      </c>
      <c r="E514">
        <v>322</v>
      </c>
      <c r="F514">
        <v>30</v>
      </c>
      <c r="G514">
        <v>3</v>
      </c>
    </row>
    <row r="515" spans="1:7" x14ac:dyDescent="0.3">
      <c r="A515">
        <v>400</v>
      </c>
      <c r="B515">
        <v>1</v>
      </c>
      <c r="C515">
        <v>0</v>
      </c>
      <c r="D515">
        <v>1</v>
      </c>
      <c r="E515">
        <v>272</v>
      </c>
      <c r="F515">
        <v>1</v>
      </c>
      <c r="G515">
        <v>3</v>
      </c>
    </row>
    <row r="516" spans="1:7" x14ac:dyDescent="0.3">
      <c r="A516">
        <v>197</v>
      </c>
      <c r="B516">
        <v>1</v>
      </c>
      <c r="C516">
        <v>0</v>
      </c>
      <c r="D516">
        <v>0</v>
      </c>
      <c r="E516">
        <v>268</v>
      </c>
      <c r="F516">
        <v>30</v>
      </c>
      <c r="G516">
        <v>3</v>
      </c>
    </row>
    <row r="517" spans="1:7" x14ac:dyDescent="0.3">
      <c r="A517">
        <v>245</v>
      </c>
      <c r="B517">
        <v>1</v>
      </c>
      <c r="C517">
        <v>2</v>
      </c>
      <c r="D517">
        <v>1</v>
      </c>
      <c r="E517">
        <v>109</v>
      </c>
      <c r="F517">
        <v>2</v>
      </c>
      <c r="G517">
        <v>2</v>
      </c>
    </row>
    <row r="518" spans="1:7" x14ac:dyDescent="0.3">
      <c r="A518">
        <v>168</v>
      </c>
      <c r="B518">
        <v>1</v>
      </c>
      <c r="C518">
        <v>2</v>
      </c>
      <c r="D518">
        <v>1</v>
      </c>
      <c r="E518">
        <v>105</v>
      </c>
      <c r="F518">
        <v>3</v>
      </c>
      <c r="G518">
        <v>2</v>
      </c>
    </row>
    <row r="519" spans="1:7" x14ac:dyDescent="0.3">
      <c r="A519">
        <v>90</v>
      </c>
      <c r="B519">
        <v>1</v>
      </c>
      <c r="C519">
        <v>2</v>
      </c>
      <c r="D519">
        <v>1</v>
      </c>
      <c r="E519">
        <v>38</v>
      </c>
      <c r="F519">
        <v>4</v>
      </c>
      <c r="G519">
        <v>1</v>
      </c>
    </row>
    <row r="520" spans="1:7" x14ac:dyDescent="0.3">
      <c r="A520">
        <v>64</v>
      </c>
      <c r="B520">
        <v>2</v>
      </c>
      <c r="C520">
        <v>4</v>
      </c>
      <c r="D520">
        <v>1</v>
      </c>
      <c r="E520">
        <v>252</v>
      </c>
      <c r="F520">
        <v>30</v>
      </c>
      <c r="G520">
        <v>1</v>
      </c>
    </row>
    <row r="521" spans="1:7" x14ac:dyDescent="0.3">
      <c r="A521">
        <v>119</v>
      </c>
      <c r="B521">
        <v>1</v>
      </c>
      <c r="C521">
        <v>2</v>
      </c>
      <c r="D521">
        <v>0</v>
      </c>
      <c r="E521">
        <v>175</v>
      </c>
      <c r="F521">
        <v>30</v>
      </c>
      <c r="G521">
        <v>4</v>
      </c>
    </row>
    <row r="522" spans="1:7" x14ac:dyDescent="0.3">
      <c r="A522">
        <v>90</v>
      </c>
      <c r="B522">
        <v>1</v>
      </c>
      <c r="C522">
        <v>0</v>
      </c>
      <c r="D522">
        <v>0</v>
      </c>
      <c r="E522">
        <v>120</v>
      </c>
      <c r="F522">
        <v>30</v>
      </c>
      <c r="G522">
        <v>3</v>
      </c>
    </row>
    <row r="523" spans="1:7" x14ac:dyDescent="0.3">
      <c r="A523">
        <v>160</v>
      </c>
      <c r="B523">
        <v>1</v>
      </c>
      <c r="C523">
        <v>2</v>
      </c>
      <c r="D523">
        <v>0</v>
      </c>
      <c r="E523">
        <v>314</v>
      </c>
      <c r="F523">
        <v>30</v>
      </c>
      <c r="G523">
        <v>4</v>
      </c>
    </row>
    <row r="524" spans="1:7" x14ac:dyDescent="0.3">
      <c r="A524">
        <v>136</v>
      </c>
      <c r="B524">
        <v>1</v>
      </c>
      <c r="C524">
        <v>0</v>
      </c>
      <c r="D524">
        <v>0</v>
      </c>
      <c r="E524">
        <v>277</v>
      </c>
      <c r="F524">
        <v>30</v>
      </c>
      <c r="G524">
        <v>3</v>
      </c>
    </row>
    <row r="525" spans="1:7" x14ac:dyDescent="0.3">
      <c r="A525">
        <v>60</v>
      </c>
      <c r="B525">
        <v>2</v>
      </c>
      <c r="C525">
        <v>0</v>
      </c>
      <c r="D525">
        <v>1</v>
      </c>
      <c r="E525">
        <v>273</v>
      </c>
      <c r="F525">
        <v>30</v>
      </c>
      <c r="G525">
        <v>1</v>
      </c>
    </row>
    <row r="526" spans="1:7" x14ac:dyDescent="0.3">
      <c r="A526">
        <v>300</v>
      </c>
      <c r="B526">
        <v>1</v>
      </c>
      <c r="C526">
        <v>4</v>
      </c>
      <c r="D526">
        <v>0</v>
      </c>
      <c r="E526">
        <v>93</v>
      </c>
      <c r="F526">
        <v>1</v>
      </c>
      <c r="G526">
        <v>4</v>
      </c>
    </row>
    <row r="527" spans="1:7" x14ac:dyDescent="0.3">
      <c r="A527">
        <v>100</v>
      </c>
      <c r="B527">
        <v>1</v>
      </c>
      <c r="C527">
        <v>2</v>
      </c>
      <c r="D527">
        <v>0</v>
      </c>
      <c r="E527">
        <v>268</v>
      </c>
      <c r="F527">
        <v>30</v>
      </c>
      <c r="G527">
        <v>2</v>
      </c>
    </row>
    <row r="528" spans="1:7" x14ac:dyDescent="0.3">
      <c r="A528">
        <v>274</v>
      </c>
      <c r="B528">
        <v>1</v>
      </c>
      <c r="C528">
        <v>4</v>
      </c>
      <c r="D528">
        <v>0</v>
      </c>
      <c r="E528">
        <v>145</v>
      </c>
      <c r="F528">
        <v>1</v>
      </c>
      <c r="G528">
        <v>3</v>
      </c>
    </row>
    <row r="529" spans="1:7" x14ac:dyDescent="0.3">
      <c r="A529">
        <v>378</v>
      </c>
      <c r="B529">
        <v>1</v>
      </c>
      <c r="C529">
        <v>4</v>
      </c>
      <c r="D529">
        <v>0</v>
      </c>
      <c r="E529">
        <v>137</v>
      </c>
      <c r="F529">
        <v>1</v>
      </c>
      <c r="G529">
        <v>6</v>
      </c>
    </row>
    <row r="530" spans="1:7" x14ac:dyDescent="0.3">
      <c r="A530">
        <v>199</v>
      </c>
      <c r="B530">
        <v>1</v>
      </c>
      <c r="C530">
        <v>4</v>
      </c>
      <c r="D530">
        <v>0</v>
      </c>
      <c r="E530">
        <v>156</v>
      </c>
      <c r="F530">
        <v>30</v>
      </c>
      <c r="G530">
        <v>4</v>
      </c>
    </row>
    <row r="531" spans="1:7" x14ac:dyDescent="0.3">
      <c r="A531">
        <v>372</v>
      </c>
      <c r="B531">
        <v>1</v>
      </c>
      <c r="C531">
        <v>4</v>
      </c>
      <c r="D531">
        <v>1</v>
      </c>
      <c r="E531">
        <v>279</v>
      </c>
      <c r="F531">
        <v>1</v>
      </c>
      <c r="G531">
        <v>2</v>
      </c>
    </row>
    <row r="532" spans="1:7" x14ac:dyDescent="0.3">
      <c r="A532">
        <v>100</v>
      </c>
      <c r="B532">
        <v>1</v>
      </c>
      <c r="C532">
        <v>4</v>
      </c>
      <c r="D532">
        <v>0</v>
      </c>
      <c r="E532">
        <v>266</v>
      </c>
      <c r="F532">
        <v>30</v>
      </c>
      <c r="G532">
        <v>2</v>
      </c>
    </row>
    <row r="533" spans="1:7" x14ac:dyDescent="0.3">
      <c r="A533">
        <v>98</v>
      </c>
      <c r="B533">
        <v>1</v>
      </c>
      <c r="C533">
        <v>0</v>
      </c>
      <c r="D533">
        <v>0</v>
      </c>
      <c r="E533">
        <v>45</v>
      </c>
      <c r="F533">
        <v>30</v>
      </c>
      <c r="G533">
        <v>2</v>
      </c>
    </row>
    <row r="534" spans="1:7" x14ac:dyDescent="0.3">
      <c r="A534">
        <v>188</v>
      </c>
      <c r="B534">
        <v>1</v>
      </c>
      <c r="C534">
        <v>4</v>
      </c>
      <c r="D534">
        <v>0</v>
      </c>
      <c r="E534">
        <v>161</v>
      </c>
      <c r="F534">
        <v>30</v>
      </c>
      <c r="G534">
        <v>4</v>
      </c>
    </row>
    <row r="535" spans="1:7" x14ac:dyDescent="0.3">
      <c r="A535">
        <v>340</v>
      </c>
      <c r="B535">
        <v>2</v>
      </c>
      <c r="C535">
        <v>4</v>
      </c>
      <c r="D535">
        <v>0</v>
      </c>
      <c r="E535">
        <v>214</v>
      </c>
      <c r="F535">
        <v>30</v>
      </c>
      <c r="G535">
        <v>4</v>
      </c>
    </row>
    <row r="536" spans="1:7" x14ac:dyDescent="0.3">
      <c r="A536">
        <v>50</v>
      </c>
      <c r="B536">
        <v>1</v>
      </c>
      <c r="C536">
        <v>4</v>
      </c>
      <c r="D536">
        <v>1</v>
      </c>
      <c r="E536">
        <v>329</v>
      </c>
      <c r="F536">
        <v>30</v>
      </c>
      <c r="G536">
        <v>2</v>
      </c>
    </row>
    <row r="537" spans="1:7" x14ac:dyDescent="0.3">
      <c r="A537">
        <v>311</v>
      </c>
      <c r="B537">
        <v>1</v>
      </c>
      <c r="C537">
        <v>4</v>
      </c>
      <c r="D537">
        <v>1</v>
      </c>
      <c r="E537">
        <v>286</v>
      </c>
      <c r="F537">
        <v>1</v>
      </c>
      <c r="G537">
        <v>2</v>
      </c>
    </row>
    <row r="538" spans="1:7" x14ac:dyDescent="0.3">
      <c r="A538">
        <v>126</v>
      </c>
      <c r="B538">
        <v>1</v>
      </c>
      <c r="C538">
        <v>0</v>
      </c>
      <c r="D538">
        <v>1</v>
      </c>
      <c r="E538">
        <v>261</v>
      </c>
      <c r="F538">
        <v>2</v>
      </c>
      <c r="G538">
        <v>2</v>
      </c>
    </row>
    <row r="539" spans="1:7" x14ac:dyDescent="0.3">
      <c r="A539">
        <v>126</v>
      </c>
      <c r="B539">
        <v>1</v>
      </c>
      <c r="C539">
        <v>0</v>
      </c>
      <c r="D539">
        <v>0</v>
      </c>
      <c r="E539">
        <v>321</v>
      </c>
      <c r="F539">
        <v>30</v>
      </c>
      <c r="G539">
        <v>2</v>
      </c>
    </row>
    <row r="540" spans="1:7" x14ac:dyDescent="0.3">
      <c r="A540">
        <v>129</v>
      </c>
      <c r="B540">
        <v>1</v>
      </c>
      <c r="C540">
        <v>2</v>
      </c>
      <c r="D540">
        <v>1</v>
      </c>
      <c r="E540">
        <v>309</v>
      </c>
      <c r="F540">
        <v>3</v>
      </c>
      <c r="G540">
        <v>2</v>
      </c>
    </row>
    <row r="541" spans="1:7" x14ac:dyDescent="0.3">
      <c r="A541">
        <v>90</v>
      </c>
      <c r="B541">
        <v>1</v>
      </c>
      <c r="C541">
        <v>2</v>
      </c>
      <c r="D541">
        <v>0</v>
      </c>
      <c r="E541">
        <v>238</v>
      </c>
      <c r="F541">
        <v>30</v>
      </c>
      <c r="G541">
        <v>2</v>
      </c>
    </row>
    <row r="542" spans="1:7" x14ac:dyDescent="0.3">
      <c r="A542">
        <v>79</v>
      </c>
      <c r="B542">
        <v>1</v>
      </c>
      <c r="C542">
        <v>2</v>
      </c>
      <c r="D542">
        <v>1</v>
      </c>
      <c r="E542">
        <v>166</v>
      </c>
      <c r="F542">
        <v>30</v>
      </c>
      <c r="G542">
        <v>1</v>
      </c>
    </row>
    <row r="543" spans="1:7" x14ac:dyDescent="0.3">
      <c r="A543">
        <v>240</v>
      </c>
      <c r="B543">
        <v>1</v>
      </c>
      <c r="C543">
        <v>2</v>
      </c>
      <c r="D543">
        <v>0</v>
      </c>
      <c r="E543">
        <v>270</v>
      </c>
      <c r="F543">
        <v>30</v>
      </c>
      <c r="G543">
        <v>2</v>
      </c>
    </row>
    <row r="544" spans="1:7" x14ac:dyDescent="0.3">
      <c r="A544">
        <v>366</v>
      </c>
      <c r="B544">
        <v>2</v>
      </c>
      <c r="C544">
        <v>4</v>
      </c>
      <c r="D544">
        <v>0</v>
      </c>
      <c r="E544">
        <v>331</v>
      </c>
      <c r="F544">
        <v>30</v>
      </c>
      <c r="G544">
        <v>6</v>
      </c>
    </row>
    <row r="545" spans="1:7" x14ac:dyDescent="0.3">
      <c r="A545">
        <v>332</v>
      </c>
      <c r="B545">
        <v>1</v>
      </c>
      <c r="C545">
        <v>2</v>
      </c>
      <c r="D545">
        <v>1</v>
      </c>
      <c r="E545">
        <v>262</v>
      </c>
      <c r="F545">
        <v>1</v>
      </c>
      <c r="G545">
        <v>2</v>
      </c>
    </row>
    <row r="546" spans="1:7" x14ac:dyDescent="0.3">
      <c r="A546">
        <v>262</v>
      </c>
      <c r="B546">
        <v>1</v>
      </c>
      <c r="C546">
        <v>2</v>
      </c>
      <c r="D546">
        <v>1</v>
      </c>
      <c r="E546">
        <v>221</v>
      </c>
      <c r="F546">
        <v>1</v>
      </c>
      <c r="G546">
        <v>2</v>
      </c>
    </row>
    <row r="547" spans="1:7" x14ac:dyDescent="0.3">
      <c r="A547">
        <v>145</v>
      </c>
      <c r="B547">
        <v>1</v>
      </c>
      <c r="C547">
        <v>2</v>
      </c>
      <c r="D547">
        <v>0</v>
      </c>
      <c r="E547">
        <v>182</v>
      </c>
      <c r="F547">
        <v>30</v>
      </c>
      <c r="G547">
        <v>2</v>
      </c>
    </row>
    <row r="548" spans="1:7" x14ac:dyDescent="0.3">
      <c r="A548">
        <v>149</v>
      </c>
      <c r="B548">
        <v>1</v>
      </c>
      <c r="C548">
        <v>4</v>
      </c>
      <c r="D548">
        <v>0</v>
      </c>
      <c r="E548">
        <v>214</v>
      </c>
      <c r="F548">
        <v>30</v>
      </c>
      <c r="G548">
        <v>3</v>
      </c>
    </row>
    <row r="549" spans="1:7" x14ac:dyDescent="0.3">
      <c r="A549">
        <v>133</v>
      </c>
      <c r="B549">
        <v>1</v>
      </c>
      <c r="C549">
        <v>0</v>
      </c>
      <c r="D549">
        <v>0</v>
      </c>
      <c r="E549">
        <v>139</v>
      </c>
      <c r="F549">
        <v>30</v>
      </c>
      <c r="G549">
        <v>5</v>
      </c>
    </row>
    <row r="550" spans="1:7" x14ac:dyDescent="0.3">
      <c r="A550">
        <v>50</v>
      </c>
      <c r="B550">
        <v>1</v>
      </c>
      <c r="C550">
        <v>2</v>
      </c>
      <c r="D550">
        <v>1</v>
      </c>
      <c r="E550">
        <v>364</v>
      </c>
      <c r="F550">
        <v>30</v>
      </c>
      <c r="G550">
        <v>1</v>
      </c>
    </row>
    <row r="551" spans="1:7" x14ac:dyDescent="0.3">
      <c r="A551">
        <v>225</v>
      </c>
      <c r="B551">
        <v>1</v>
      </c>
      <c r="C551">
        <v>2</v>
      </c>
      <c r="D551">
        <v>1</v>
      </c>
      <c r="E551">
        <v>226</v>
      </c>
      <c r="F551">
        <v>1</v>
      </c>
      <c r="G551">
        <v>2</v>
      </c>
    </row>
    <row r="552" spans="1:7" x14ac:dyDescent="0.3">
      <c r="A552">
        <v>141</v>
      </c>
      <c r="B552">
        <v>1</v>
      </c>
      <c r="C552">
        <v>0</v>
      </c>
      <c r="D552">
        <v>1</v>
      </c>
      <c r="E552">
        <v>45</v>
      </c>
      <c r="F552">
        <v>4</v>
      </c>
      <c r="G552">
        <v>2</v>
      </c>
    </row>
    <row r="553" spans="1:7" x14ac:dyDescent="0.3">
      <c r="A553">
        <v>86</v>
      </c>
      <c r="B553">
        <v>1</v>
      </c>
      <c r="C553">
        <v>0</v>
      </c>
      <c r="D553">
        <v>1</v>
      </c>
      <c r="E553">
        <v>303</v>
      </c>
      <c r="F553">
        <v>30</v>
      </c>
      <c r="G553">
        <v>2</v>
      </c>
    </row>
    <row r="554" spans="1:7" x14ac:dyDescent="0.3">
      <c r="A554">
        <v>92</v>
      </c>
      <c r="B554">
        <v>1</v>
      </c>
      <c r="C554">
        <v>2</v>
      </c>
      <c r="D554">
        <v>1</v>
      </c>
      <c r="E554">
        <v>95</v>
      </c>
      <c r="F554">
        <v>30</v>
      </c>
      <c r="G554">
        <v>1</v>
      </c>
    </row>
    <row r="555" spans="1:7" x14ac:dyDescent="0.3">
      <c r="A555">
        <v>90</v>
      </c>
      <c r="B555">
        <v>1</v>
      </c>
      <c r="C555">
        <v>0</v>
      </c>
      <c r="D555">
        <v>0</v>
      </c>
      <c r="E555">
        <v>362</v>
      </c>
      <c r="F555">
        <v>30</v>
      </c>
      <c r="G555">
        <v>2</v>
      </c>
    </row>
    <row r="556" spans="1:7" x14ac:dyDescent="0.3">
      <c r="A556">
        <v>207</v>
      </c>
      <c r="B556">
        <v>1</v>
      </c>
      <c r="C556">
        <v>2</v>
      </c>
      <c r="D556">
        <v>1</v>
      </c>
      <c r="E556">
        <v>273</v>
      </c>
      <c r="F556">
        <v>1</v>
      </c>
      <c r="G556">
        <v>2</v>
      </c>
    </row>
    <row r="557" spans="1:7" x14ac:dyDescent="0.3">
      <c r="A557">
        <v>263</v>
      </c>
      <c r="B557">
        <v>1</v>
      </c>
      <c r="C557">
        <v>0</v>
      </c>
      <c r="D557">
        <v>1</v>
      </c>
      <c r="E557">
        <v>276</v>
      </c>
      <c r="F557">
        <v>1</v>
      </c>
      <c r="G557">
        <v>2</v>
      </c>
    </row>
    <row r="558" spans="1:7" x14ac:dyDescent="0.3">
      <c r="A558">
        <v>170</v>
      </c>
      <c r="B558">
        <v>1</v>
      </c>
      <c r="C558">
        <v>4</v>
      </c>
      <c r="D558">
        <v>0</v>
      </c>
      <c r="E558">
        <v>221</v>
      </c>
      <c r="F558">
        <v>30</v>
      </c>
      <c r="G558">
        <v>2</v>
      </c>
    </row>
    <row r="559" spans="1:7" x14ac:dyDescent="0.3">
      <c r="A559">
        <v>215</v>
      </c>
      <c r="B559">
        <v>1</v>
      </c>
      <c r="C559">
        <v>2</v>
      </c>
      <c r="D559">
        <v>0</v>
      </c>
      <c r="E559">
        <v>162</v>
      </c>
      <c r="F559">
        <v>30</v>
      </c>
      <c r="G559">
        <v>4</v>
      </c>
    </row>
    <row r="560" spans="1:7" x14ac:dyDescent="0.3">
      <c r="A560">
        <v>100</v>
      </c>
      <c r="B560">
        <v>1</v>
      </c>
      <c r="C560">
        <v>2</v>
      </c>
      <c r="D560">
        <v>0</v>
      </c>
      <c r="E560">
        <v>333</v>
      </c>
      <c r="F560">
        <v>30</v>
      </c>
      <c r="G560">
        <v>2</v>
      </c>
    </row>
    <row r="561" spans="1:7" x14ac:dyDescent="0.3">
      <c r="A561">
        <v>134</v>
      </c>
      <c r="B561">
        <v>1</v>
      </c>
      <c r="C561">
        <v>4</v>
      </c>
      <c r="D561">
        <v>1</v>
      </c>
      <c r="E561">
        <v>257</v>
      </c>
      <c r="F561">
        <v>1</v>
      </c>
      <c r="G561">
        <v>2</v>
      </c>
    </row>
    <row r="562" spans="1:7" x14ac:dyDescent="0.3">
      <c r="A562">
        <v>60</v>
      </c>
      <c r="B562">
        <v>1</v>
      </c>
      <c r="C562">
        <v>2</v>
      </c>
      <c r="D562">
        <v>1</v>
      </c>
      <c r="E562">
        <v>268</v>
      </c>
      <c r="F562">
        <v>30</v>
      </c>
      <c r="G562">
        <v>2</v>
      </c>
    </row>
    <row r="563" spans="1:7" x14ac:dyDescent="0.3">
      <c r="A563">
        <v>110</v>
      </c>
      <c r="B563">
        <v>1.5</v>
      </c>
      <c r="C563">
        <v>2</v>
      </c>
      <c r="D563">
        <v>0</v>
      </c>
      <c r="E563">
        <v>365</v>
      </c>
      <c r="F563">
        <v>30</v>
      </c>
      <c r="G563">
        <v>3</v>
      </c>
    </row>
    <row r="564" spans="1:7" x14ac:dyDescent="0.3">
      <c r="A564">
        <v>159</v>
      </c>
      <c r="B564">
        <v>1</v>
      </c>
      <c r="C564">
        <v>2</v>
      </c>
      <c r="D564">
        <v>0</v>
      </c>
      <c r="E564">
        <v>251</v>
      </c>
      <c r="F564">
        <v>30</v>
      </c>
      <c r="G564">
        <v>2</v>
      </c>
    </row>
    <row r="565" spans="1:7" x14ac:dyDescent="0.3">
      <c r="A565">
        <v>114</v>
      </c>
      <c r="B565">
        <v>1</v>
      </c>
      <c r="C565">
        <v>2</v>
      </c>
      <c r="D565">
        <v>0</v>
      </c>
      <c r="E565">
        <v>272</v>
      </c>
      <c r="F565">
        <v>30</v>
      </c>
      <c r="G565">
        <v>2</v>
      </c>
    </row>
    <row r="566" spans="1:7" x14ac:dyDescent="0.3">
      <c r="A566">
        <v>159</v>
      </c>
      <c r="B566">
        <v>1</v>
      </c>
      <c r="C566">
        <v>0</v>
      </c>
      <c r="D566">
        <v>0</v>
      </c>
      <c r="E566">
        <v>268</v>
      </c>
      <c r="F566">
        <v>30</v>
      </c>
      <c r="G566">
        <v>4</v>
      </c>
    </row>
    <row r="567" spans="1:7" x14ac:dyDescent="0.3">
      <c r="A567">
        <v>90</v>
      </c>
      <c r="B567">
        <v>2</v>
      </c>
      <c r="C567">
        <v>2</v>
      </c>
      <c r="D567">
        <v>1</v>
      </c>
      <c r="E567">
        <v>349</v>
      </c>
      <c r="F567">
        <v>2</v>
      </c>
      <c r="G567">
        <v>1</v>
      </c>
    </row>
    <row r="568" spans="1:7" x14ac:dyDescent="0.3">
      <c r="A568">
        <v>71</v>
      </c>
      <c r="B568">
        <v>1</v>
      </c>
      <c r="C568">
        <v>0</v>
      </c>
      <c r="D568">
        <v>0</v>
      </c>
      <c r="E568">
        <v>243</v>
      </c>
      <c r="F568">
        <v>30</v>
      </c>
      <c r="G568">
        <v>2</v>
      </c>
    </row>
    <row r="569" spans="1:7" x14ac:dyDescent="0.3">
      <c r="A569">
        <v>68</v>
      </c>
      <c r="B569">
        <v>2</v>
      </c>
      <c r="C569">
        <v>0</v>
      </c>
      <c r="D569">
        <v>1</v>
      </c>
      <c r="E569">
        <v>365</v>
      </c>
      <c r="F569">
        <v>30</v>
      </c>
      <c r="G569">
        <v>1</v>
      </c>
    </row>
    <row r="570" spans="1:7" x14ac:dyDescent="0.3">
      <c r="A570">
        <v>102</v>
      </c>
      <c r="B570">
        <v>1</v>
      </c>
      <c r="C570">
        <v>2</v>
      </c>
      <c r="D570">
        <v>0</v>
      </c>
      <c r="E570">
        <v>294</v>
      </c>
      <c r="F570">
        <v>30</v>
      </c>
      <c r="G570">
        <v>2</v>
      </c>
    </row>
    <row r="571" spans="1:7" x14ac:dyDescent="0.3">
      <c r="A571">
        <v>59</v>
      </c>
      <c r="B571">
        <v>1</v>
      </c>
      <c r="C571">
        <v>0</v>
      </c>
      <c r="D571">
        <v>1</v>
      </c>
      <c r="E571">
        <v>30</v>
      </c>
      <c r="F571">
        <v>30</v>
      </c>
      <c r="G571">
        <v>1</v>
      </c>
    </row>
    <row r="572" spans="1:7" x14ac:dyDescent="0.3">
      <c r="A572">
        <v>207</v>
      </c>
      <c r="B572">
        <v>1</v>
      </c>
      <c r="C572">
        <v>4</v>
      </c>
      <c r="D572">
        <v>1</v>
      </c>
      <c r="E572">
        <v>224</v>
      </c>
      <c r="F572">
        <v>1</v>
      </c>
      <c r="G572">
        <v>4</v>
      </c>
    </row>
    <row r="573" spans="1:7" x14ac:dyDescent="0.3">
      <c r="A573">
        <v>83</v>
      </c>
      <c r="B573">
        <v>1</v>
      </c>
      <c r="C573">
        <v>2</v>
      </c>
      <c r="D573">
        <v>1</v>
      </c>
      <c r="E573">
        <v>333</v>
      </c>
      <c r="F573">
        <v>30</v>
      </c>
      <c r="G573">
        <v>1</v>
      </c>
    </row>
    <row r="574" spans="1:7" x14ac:dyDescent="0.3">
      <c r="A574">
        <v>184</v>
      </c>
      <c r="B574">
        <v>1</v>
      </c>
      <c r="C574">
        <v>2</v>
      </c>
      <c r="D574">
        <v>1</v>
      </c>
      <c r="E574">
        <v>128</v>
      </c>
      <c r="F574">
        <v>2</v>
      </c>
      <c r="G574">
        <v>2</v>
      </c>
    </row>
    <row r="575" spans="1:7" x14ac:dyDescent="0.3">
      <c r="A575">
        <v>112</v>
      </c>
      <c r="B575">
        <v>1</v>
      </c>
      <c r="C575">
        <v>0</v>
      </c>
      <c r="D575">
        <v>0</v>
      </c>
      <c r="E575">
        <v>336</v>
      </c>
      <c r="F575">
        <v>30</v>
      </c>
      <c r="G575">
        <v>8</v>
      </c>
    </row>
    <row r="576" spans="1:7" x14ac:dyDescent="0.3">
      <c r="A576">
        <v>98</v>
      </c>
      <c r="B576">
        <v>1</v>
      </c>
      <c r="C576">
        <v>0</v>
      </c>
      <c r="D576">
        <v>1</v>
      </c>
      <c r="E576">
        <v>137</v>
      </c>
      <c r="F576">
        <v>2</v>
      </c>
      <c r="G576">
        <v>2</v>
      </c>
    </row>
    <row r="577" spans="1:7" x14ac:dyDescent="0.3">
      <c r="A577">
        <v>207</v>
      </c>
      <c r="B577">
        <v>1</v>
      </c>
      <c r="C577">
        <v>4</v>
      </c>
      <c r="D577">
        <v>1</v>
      </c>
      <c r="E577">
        <v>257</v>
      </c>
      <c r="F577">
        <v>1</v>
      </c>
      <c r="G577">
        <v>2</v>
      </c>
    </row>
    <row r="578" spans="1:7" x14ac:dyDescent="0.3">
      <c r="A578">
        <v>155</v>
      </c>
      <c r="B578">
        <v>1</v>
      </c>
      <c r="C578">
        <v>4</v>
      </c>
      <c r="D578">
        <v>0</v>
      </c>
      <c r="E578">
        <v>273</v>
      </c>
      <c r="F578">
        <v>30</v>
      </c>
      <c r="G578">
        <v>4</v>
      </c>
    </row>
    <row r="579" spans="1:7" x14ac:dyDescent="0.3">
      <c r="A579">
        <v>170</v>
      </c>
      <c r="B579">
        <v>2</v>
      </c>
      <c r="C579">
        <v>2</v>
      </c>
      <c r="D579">
        <v>1</v>
      </c>
      <c r="E579">
        <v>78</v>
      </c>
      <c r="F579">
        <v>30</v>
      </c>
      <c r="G579">
        <v>1</v>
      </c>
    </row>
    <row r="580" spans="1:7" x14ac:dyDescent="0.3">
      <c r="A580">
        <v>240</v>
      </c>
      <c r="B580">
        <v>2</v>
      </c>
      <c r="C580">
        <v>2</v>
      </c>
      <c r="D580">
        <v>0</v>
      </c>
      <c r="E580">
        <v>334</v>
      </c>
      <c r="F580">
        <v>30</v>
      </c>
      <c r="G580">
        <v>5</v>
      </c>
    </row>
    <row r="581" spans="1:7" x14ac:dyDescent="0.3">
      <c r="A581">
        <v>75</v>
      </c>
      <c r="B581">
        <v>1</v>
      </c>
      <c r="C581">
        <v>0</v>
      </c>
      <c r="D581">
        <v>0</v>
      </c>
      <c r="E581">
        <v>334</v>
      </c>
      <c r="F581">
        <v>30</v>
      </c>
      <c r="G581">
        <v>2</v>
      </c>
    </row>
    <row r="582" spans="1:7" x14ac:dyDescent="0.3">
      <c r="A582">
        <v>420</v>
      </c>
      <c r="B582">
        <v>2.5</v>
      </c>
      <c r="C582">
        <v>2</v>
      </c>
      <c r="D582">
        <v>0</v>
      </c>
      <c r="E582">
        <v>91</v>
      </c>
      <c r="F582">
        <v>30</v>
      </c>
      <c r="G582">
        <v>4</v>
      </c>
    </row>
    <row r="583" spans="1:7" x14ac:dyDescent="0.3">
      <c r="A583">
        <v>173</v>
      </c>
      <c r="B583">
        <v>1</v>
      </c>
      <c r="C583">
        <v>2</v>
      </c>
      <c r="D583">
        <v>0</v>
      </c>
      <c r="E583">
        <v>332</v>
      </c>
      <c r="F583">
        <v>2</v>
      </c>
      <c r="G583">
        <v>2</v>
      </c>
    </row>
    <row r="584" spans="1:7" x14ac:dyDescent="0.3">
      <c r="A584">
        <v>85</v>
      </c>
      <c r="B584">
        <v>1</v>
      </c>
      <c r="C584">
        <v>0</v>
      </c>
      <c r="D584">
        <v>0</v>
      </c>
      <c r="E584">
        <v>81</v>
      </c>
      <c r="F584">
        <v>30</v>
      </c>
      <c r="G584">
        <v>2</v>
      </c>
    </row>
    <row r="585" spans="1:7" x14ac:dyDescent="0.3">
      <c r="A585">
        <v>403</v>
      </c>
      <c r="B585">
        <v>2</v>
      </c>
      <c r="C585">
        <v>2</v>
      </c>
      <c r="D585">
        <v>0</v>
      </c>
      <c r="E585">
        <v>337</v>
      </c>
      <c r="F585">
        <v>30</v>
      </c>
      <c r="G585">
        <v>5</v>
      </c>
    </row>
    <row r="586" spans="1:7" x14ac:dyDescent="0.3">
      <c r="A586">
        <v>87</v>
      </c>
      <c r="B586">
        <v>1.5</v>
      </c>
      <c r="C586">
        <v>0</v>
      </c>
      <c r="D586">
        <v>1</v>
      </c>
      <c r="E586">
        <v>304</v>
      </c>
      <c r="F586">
        <v>3</v>
      </c>
      <c r="G586">
        <v>2</v>
      </c>
    </row>
    <row r="587" spans="1:7" x14ac:dyDescent="0.3">
      <c r="A587">
        <v>210</v>
      </c>
      <c r="B587">
        <v>1</v>
      </c>
      <c r="C587">
        <v>2</v>
      </c>
      <c r="D587">
        <v>0</v>
      </c>
      <c r="E587">
        <v>304</v>
      </c>
      <c r="F587">
        <v>30</v>
      </c>
      <c r="G587">
        <v>4</v>
      </c>
    </row>
    <row r="588" spans="1:7" x14ac:dyDescent="0.3">
      <c r="A588">
        <v>149</v>
      </c>
      <c r="B588">
        <v>1</v>
      </c>
      <c r="C588">
        <v>2</v>
      </c>
      <c r="D588">
        <v>1</v>
      </c>
      <c r="E588">
        <v>139</v>
      </c>
      <c r="F588">
        <v>30</v>
      </c>
      <c r="G588">
        <v>2</v>
      </c>
    </row>
    <row r="589" spans="1:7" x14ac:dyDescent="0.3">
      <c r="A589">
        <v>78</v>
      </c>
      <c r="B589">
        <v>1</v>
      </c>
      <c r="C589">
        <v>2</v>
      </c>
      <c r="D589">
        <v>1</v>
      </c>
      <c r="E589">
        <v>54</v>
      </c>
      <c r="F589">
        <v>30</v>
      </c>
      <c r="G589">
        <v>2</v>
      </c>
    </row>
    <row r="590" spans="1:7" x14ac:dyDescent="0.3">
      <c r="A590">
        <v>305</v>
      </c>
      <c r="B590">
        <v>2</v>
      </c>
      <c r="C590">
        <v>0</v>
      </c>
      <c r="D590">
        <v>0</v>
      </c>
      <c r="E590">
        <v>135</v>
      </c>
      <c r="F590">
        <v>2</v>
      </c>
      <c r="G590">
        <v>6</v>
      </c>
    </row>
    <row r="591" spans="1:7" x14ac:dyDescent="0.3">
      <c r="A591">
        <v>55</v>
      </c>
      <c r="B591">
        <v>2</v>
      </c>
      <c r="C591">
        <v>4</v>
      </c>
      <c r="D591">
        <v>1</v>
      </c>
      <c r="E591">
        <v>356</v>
      </c>
      <c r="F591">
        <v>30</v>
      </c>
      <c r="G591">
        <v>2</v>
      </c>
    </row>
    <row r="592" spans="1:7" x14ac:dyDescent="0.3">
      <c r="A592">
        <v>60</v>
      </c>
      <c r="B592">
        <v>2</v>
      </c>
      <c r="C592">
        <v>4</v>
      </c>
      <c r="D592">
        <v>1</v>
      </c>
      <c r="E592">
        <v>355</v>
      </c>
      <c r="F592">
        <v>30</v>
      </c>
      <c r="G592">
        <v>2</v>
      </c>
    </row>
    <row r="593" spans="1:7" x14ac:dyDescent="0.3">
      <c r="A593">
        <v>57</v>
      </c>
      <c r="B593">
        <v>2</v>
      </c>
      <c r="C593">
        <v>4</v>
      </c>
      <c r="D593">
        <v>1</v>
      </c>
      <c r="E593">
        <v>350</v>
      </c>
      <c r="F593">
        <v>30</v>
      </c>
      <c r="G593">
        <v>2</v>
      </c>
    </row>
    <row r="594" spans="1:7" x14ac:dyDescent="0.3">
      <c r="A594">
        <v>58</v>
      </c>
      <c r="B594">
        <v>1</v>
      </c>
      <c r="C594">
        <v>0</v>
      </c>
      <c r="D594">
        <v>1</v>
      </c>
      <c r="E594">
        <v>346</v>
      </c>
      <c r="F594">
        <v>30</v>
      </c>
      <c r="G594">
        <v>1</v>
      </c>
    </row>
    <row r="595" spans="1:7" x14ac:dyDescent="0.3">
      <c r="A595">
        <v>105</v>
      </c>
      <c r="B595">
        <v>1</v>
      </c>
      <c r="C595">
        <v>2</v>
      </c>
      <c r="D595">
        <v>0</v>
      </c>
      <c r="E595">
        <v>330</v>
      </c>
      <c r="F595">
        <v>30</v>
      </c>
      <c r="G595">
        <v>2</v>
      </c>
    </row>
    <row r="596" spans="1:7" x14ac:dyDescent="0.3">
      <c r="A596">
        <v>288</v>
      </c>
      <c r="B596">
        <v>1</v>
      </c>
      <c r="C596">
        <v>4</v>
      </c>
      <c r="D596">
        <v>1</v>
      </c>
      <c r="E596">
        <v>161</v>
      </c>
      <c r="F596">
        <v>1</v>
      </c>
      <c r="G596">
        <v>4</v>
      </c>
    </row>
    <row r="597" spans="1:7" x14ac:dyDescent="0.3">
      <c r="A597">
        <v>269</v>
      </c>
      <c r="B597">
        <v>1</v>
      </c>
      <c r="C597">
        <v>4</v>
      </c>
      <c r="D597">
        <v>0</v>
      </c>
      <c r="E597">
        <v>260</v>
      </c>
      <c r="F597">
        <v>30</v>
      </c>
      <c r="G597">
        <v>4</v>
      </c>
    </row>
    <row r="598" spans="1:7" x14ac:dyDescent="0.3">
      <c r="A598">
        <v>120</v>
      </c>
      <c r="B598">
        <v>1</v>
      </c>
      <c r="C598">
        <v>2</v>
      </c>
      <c r="D598">
        <v>0</v>
      </c>
      <c r="E598">
        <v>283</v>
      </c>
      <c r="F598">
        <v>30</v>
      </c>
      <c r="G598">
        <v>4</v>
      </c>
    </row>
    <row r="599" spans="1:7" x14ac:dyDescent="0.3">
      <c r="A599">
        <v>243</v>
      </c>
      <c r="B599">
        <v>1</v>
      </c>
      <c r="C599">
        <v>4</v>
      </c>
      <c r="D599">
        <v>1</v>
      </c>
      <c r="E599">
        <v>325</v>
      </c>
      <c r="F599">
        <v>1</v>
      </c>
      <c r="G599">
        <v>1</v>
      </c>
    </row>
    <row r="600" spans="1:7" x14ac:dyDescent="0.3">
      <c r="A600">
        <v>132</v>
      </c>
      <c r="B600">
        <v>1</v>
      </c>
      <c r="C600">
        <v>2</v>
      </c>
      <c r="D600">
        <v>0</v>
      </c>
      <c r="E600">
        <v>295</v>
      </c>
      <c r="F600">
        <v>30</v>
      </c>
      <c r="G600">
        <v>4</v>
      </c>
    </row>
    <row r="601" spans="1:7" x14ac:dyDescent="0.3">
      <c r="A601">
        <v>188</v>
      </c>
      <c r="B601">
        <v>1</v>
      </c>
      <c r="C601">
        <v>2</v>
      </c>
      <c r="D601">
        <v>0</v>
      </c>
      <c r="E601">
        <v>304</v>
      </c>
      <c r="F601">
        <v>30</v>
      </c>
      <c r="G601">
        <v>4</v>
      </c>
    </row>
    <row r="602" spans="1:7" x14ac:dyDescent="0.3">
      <c r="A602">
        <v>99</v>
      </c>
      <c r="B602">
        <v>1</v>
      </c>
      <c r="C602">
        <v>4</v>
      </c>
      <c r="D602">
        <v>0</v>
      </c>
      <c r="E602">
        <v>42</v>
      </c>
      <c r="F602">
        <v>30</v>
      </c>
      <c r="G602">
        <v>2</v>
      </c>
    </row>
    <row r="603" spans="1:7" x14ac:dyDescent="0.3">
      <c r="A603">
        <v>55</v>
      </c>
      <c r="B603">
        <v>1</v>
      </c>
      <c r="C603">
        <v>2</v>
      </c>
      <c r="D603">
        <v>1</v>
      </c>
      <c r="E603">
        <v>301</v>
      </c>
      <c r="F603">
        <v>30</v>
      </c>
      <c r="G603">
        <v>1</v>
      </c>
    </row>
    <row r="604" spans="1:7" x14ac:dyDescent="0.3">
      <c r="A604">
        <v>55</v>
      </c>
      <c r="B604">
        <v>1</v>
      </c>
      <c r="C604">
        <v>4</v>
      </c>
      <c r="D604">
        <v>1</v>
      </c>
      <c r="E604">
        <v>251</v>
      </c>
      <c r="F604">
        <v>30</v>
      </c>
      <c r="G604">
        <v>2</v>
      </c>
    </row>
    <row r="605" spans="1:7" x14ac:dyDescent="0.3">
      <c r="A605">
        <v>115</v>
      </c>
      <c r="B605">
        <v>1</v>
      </c>
      <c r="C605">
        <v>0</v>
      </c>
      <c r="D605">
        <v>0</v>
      </c>
      <c r="E605">
        <v>59</v>
      </c>
      <c r="F605">
        <v>30</v>
      </c>
      <c r="G605">
        <v>3</v>
      </c>
    </row>
    <row r="606" spans="1:7" x14ac:dyDescent="0.3">
      <c r="A606">
        <v>150</v>
      </c>
      <c r="B606">
        <v>1</v>
      </c>
      <c r="C606">
        <v>2</v>
      </c>
      <c r="D606">
        <v>0</v>
      </c>
      <c r="E606">
        <v>118</v>
      </c>
      <c r="F606">
        <v>30</v>
      </c>
      <c r="G606">
        <v>2</v>
      </c>
    </row>
    <row r="607" spans="1:7" x14ac:dyDescent="0.3">
      <c r="A607">
        <v>194</v>
      </c>
      <c r="B607">
        <v>1</v>
      </c>
      <c r="C607">
        <v>4</v>
      </c>
      <c r="D607">
        <v>0</v>
      </c>
      <c r="E607">
        <v>185</v>
      </c>
      <c r="F607">
        <v>30</v>
      </c>
      <c r="G607">
        <v>2</v>
      </c>
    </row>
    <row r="608" spans="1:7" x14ac:dyDescent="0.3">
      <c r="A608">
        <v>101</v>
      </c>
      <c r="B608">
        <v>1</v>
      </c>
      <c r="C608">
        <v>2</v>
      </c>
      <c r="D608">
        <v>0</v>
      </c>
      <c r="E608">
        <v>334</v>
      </c>
      <c r="F608">
        <v>30</v>
      </c>
      <c r="G608">
        <v>2</v>
      </c>
    </row>
    <row r="609" spans="1:7" x14ac:dyDescent="0.3">
      <c r="A609">
        <v>260</v>
      </c>
      <c r="B609">
        <v>1</v>
      </c>
      <c r="C609">
        <v>2</v>
      </c>
      <c r="D609">
        <v>0</v>
      </c>
      <c r="E609">
        <v>52</v>
      </c>
      <c r="F609">
        <v>30</v>
      </c>
      <c r="G609">
        <v>2</v>
      </c>
    </row>
    <row r="610" spans="1:7" x14ac:dyDescent="0.3">
      <c r="A610">
        <v>233</v>
      </c>
      <c r="B610">
        <v>1</v>
      </c>
      <c r="C610">
        <v>2</v>
      </c>
      <c r="D610">
        <v>0</v>
      </c>
      <c r="E610">
        <v>172</v>
      </c>
      <c r="F610">
        <v>30</v>
      </c>
      <c r="G610">
        <v>4</v>
      </c>
    </row>
    <row r="611" spans="1:7" x14ac:dyDescent="0.3">
      <c r="A611">
        <v>88</v>
      </c>
      <c r="B611">
        <v>1</v>
      </c>
      <c r="C611">
        <v>2</v>
      </c>
      <c r="D611">
        <v>0</v>
      </c>
      <c r="E611">
        <v>96</v>
      </c>
      <c r="F611">
        <v>30</v>
      </c>
      <c r="G611">
        <v>2</v>
      </c>
    </row>
    <row r="612" spans="1:7" x14ac:dyDescent="0.3">
      <c r="A612">
        <v>140</v>
      </c>
      <c r="B612">
        <v>1</v>
      </c>
      <c r="C612">
        <v>4</v>
      </c>
      <c r="D612">
        <v>0</v>
      </c>
      <c r="E612">
        <v>336</v>
      </c>
      <c r="F612">
        <v>30</v>
      </c>
      <c r="G612">
        <v>2</v>
      </c>
    </row>
    <row r="613" spans="1:7" x14ac:dyDescent="0.3">
      <c r="A613">
        <v>116</v>
      </c>
      <c r="B613">
        <v>1</v>
      </c>
      <c r="C613">
        <v>2</v>
      </c>
      <c r="D613">
        <v>0</v>
      </c>
      <c r="E613">
        <v>109</v>
      </c>
      <c r="F613">
        <v>30</v>
      </c>
      <c r="G613">
        <v>2</v>
      </c>
    </row>
    <row r="614" spans="1:7" x14ac:dyDescent="0.3">
      <c r="A614">
        <v>69</v>
      </c>
      <c r="B614">
        <v>1</v>
      </c>
      <c r="C614">
        <v>0</v>
      </c>
      <c r="D614">
        <v>1</v>
      </c>
      <c r="E614">
        <v>362</v>
      </c>
      <c r="F614">
        <v>30</v>
      </c>
      <c r="G614">
        <v>1</v>
      </c>
    </row>
    <row r="615" spans="1:7" x14ac:dyDescent="0.3">
      <c r="A615">
        <v>99</v>
      </c>
      <c r="B615">
        <v>1</v>
      </c>
      <c r="C615">
        <v>2</v>
      </c>
      <c r="D615">
        <v>1</v>
      </c>
      <c r="E615">
        <v>285</v>
      </c>
      <c r="F615">
        <v>1</v>
      </c>
      <c r="G615">
        <v>2</v>
      </c>
    </row>
    <row r="616" spans="1:7" x14ac:dyDescent="0.3">
      <c r="A616">
        <v>71</v>
      </c>
      <c r="B616">
        <v>1</v>
      </c>
      <c r="C616">
        <v>0</v>
      </c>
      <c r="D616">
        <v>1</v>
      </c>
      <c r="E616">
        <v>96</v>
      </c>
      <c r="F616">
        <v>3</v>
      </c>
      <c r="G616">
        <v>1</v>
      </c>
    </row>
    <row r="617" spans="1:7" x14ac:dyDescent="0.3">
      <c r="A617">
        <v>143</v>
      </c>
      <c r="B617">
        <v>1</v>
      </c>
      <c r="C617">
        <v>4</v>
      </c>
      <c r="D617">
        <v>1</v>
      </c>
      <c r="E617">
        <v>257</v>
      </c>
      <c r="F617">
        <v>1</v>
      </c>
      <c r="G617">
        <v>2</v>
      </c>
    </row>
    <row r="618" spans="1:7" x14ac:dyDescent="0.3">
      <c r="A618">
        <v>84</v>
      </c>
      <c r="B618">
        <v>1</v>
      </c>
      <c r="C618">
        <v>0</v>
      </c>
      <c r="D618">
        <v>0</v>
      </c>
      <c r="E618">
        <v>141</v>
      </c>
      <c r="F618">
        <v>30</v>
      </c>
      <c r="G618">
        <v>2</v>
      </c>
    </row>
    <row r="619" spans="1:7" x14ac:dyDescent="0.3">
      <c r="A619">
        <v>141</v>
      </c>
      <c r="B619">
        <v>1</v>
      </c>
      <c r="C619">
        <v>4</v>
      </c>
      <c r="D619">
        <v>0</v>
      </c>
      <c r="E619">
        <v>269</v>
      </c>
      <c r="F619">
        <v>30</v>
      </c>
      <c r="G619">
        <v>4</v>
      </c>
    </row>
    <row r="620" spans="1:7" x14ac:dyDescent="0.3">
      <c r="A620">
        <v>106</v>
      </c>
      <c r="B620">
        <v>1</v>
      </c>
      <c r="C620">
        <v>4</v>
      </c>
      <c r="D620">
        <v>0</v>
      </c>
      <c r="E620">
        <v>327</v>
      </c>
      <c r="F620">
        <v>30</v>
      </c>
      <c r="G620">
        <v>2</v>
      </c>
    </row>
    <row r="621" spans="1:7" x14ac:dyDescent="0.3">
      <c r="A621">
        <v>323</v>
      </c>
      <c r="B621">
        <v>1</v>
      </c>
      <c r="C621">
        <v>4</v>
      </c>
      <c r="D621">
        <v>0</v>
      </c>
      <c r="E621">
        <v>239</v>
      </c>
      <c r="F621">
        <v>1</v>
      </c>
      <c r="G621">
        <v>8</v>
      </c>
    </row>
    <row r="622" spans="1:7" x14ac:dyDescent="0.3">
      <c r="A622">
        <v>100</v>
      </c>
      <c r="B622">
        <v>1</v>
      </c>
      <c r="C622">
        <v>4</v>
      </c>
      <c r="D622">
        <v>0</v>
      </c>
      <c r="E622">
        <v>328</v>
      </c>
      <c r="F622">
        <v>30</v>
      </c>
      <c r="G622">
        <v>2</v>
      </c>
    </row>
    <row r="623" spans="1:7" x14ac:dyDescent="0.3">
      <c r="A623">
        <v>342</v>
      </c>
      <c r="B623">
        <v>1</v>
      </c>
      <c r="C623">
        <v>4</v>
      </c>
      <c r="D623">
        <v>0</v>
      </c>
      <c r="E623">
        <v>98</v>
      </c>
      <c r="F623">
        <v>30</v>
      </c>
      <c r="G623">
        <v>3</v>
      </c>
    </row>
    <row r="624" spans="1:7" x14ac:dyDescent="0.3">
      <c r="A624">
        <v>262</v>
      </c>
      <c r="B624">
        <v>2</v>
      </c>
      <c r="C624">
        <v>4</v>
      </c>
      <c r="D624">
        <v>0</v>
      </c>
      <c r="E624">
        <v>267</v>
      </c>
      <c r="F624">
        <v>30</v>
      </c>
      <c r="G624">
        <v>3</v>
      </c>
    </row>
    <row r="625" spans="1:7" x14ac:dyDescent="0.3">
      <c r="A625">
        <v>268</v>
      </c>
      <c r="B625">
        <v>2.5</v>
      </c>
      <c r="C625">
        <v>2</v>
      </c>
      <c r="D625">
        <v>0</v>
      </c>
      <c r="E625">
        <v>284</v>
      </c>
      <c r="F625">
        <v>30</v>
      </c>
      <c r="G625">
        <v>4</v>
      </c>
    </row>
    <row r="626" spans="1:7" x14ac:dyDescent="0.3">
      <c r="A626">
        <v>61</v>
      </c>
      <c r="B626">
        <v>1</v>
      </c>
      <c r="C626">
        <v>2</v>
      </c>
      <c r="D626">
        <v>1</v>
      </c>
      <c r="E626">
        <v>142</v>
      </c>
      <c r="F626">
        <v>30</v>
      </c>
      <c r="G626">
        <v>1</v>
      </c>
    </row>
    <row r="627" spans="1:7" x14ac:dyDescent="0.3">
      <c r="A627">
        <v>275</v>
      </c>
      <c r="B627">
        <v>2</v>
      </c>
      <c r="C627">
        <v>0</v>
      </c>
      <c r="D627">
        <v>0</v>
      </c>
      <c r="E627">
        <v>279</v>
      </c>
      <c r="F627">
        <v>30</v>
      </c>
      <c r="G627">
        <v>4</v>
      </c>
    </row>
    <row r="628" spans="1:7" x14ac:dyDescent="0.3">
      <c r="A628">
        <v>120</v>
      </c>
      <c r="B628">
        <v>1</v>
      </c>
      <c r="C628">
        <v>2</v>
      </c>
      <c r="D628">
        <v>0</v>
      </c>
      <c r="E628">
        <v>220</v>
      </c>
      <c r="F628">
        <v>30</v>
      </c>
      <c r="G628">
        <v>3</v>
      </c>
    </row>
    <row r="629" spans="1:7" x14ac:dyDescent="0.3">
      <c r="A629">
        <v>58</v>
      </c>
      <c r="B629">
        <v>1.5</v>
      </c>
      <c r="C629">
        <v>2</v>
      </c>
      <c r="D629">
        <v>1</v>
      </c>
      <c r="E629">
        <v>306</v>
      </c>
      <c r="F629">
        <v>30</v>
      </c>
      <c r="G629">
        <v>2</v>
      </c>
    </row>
    <row r="630" spans="1:7" x14ac:dyDescent="0.3">
      <c r="A630">
        <v>286</v>
      </c>
      <c r="B630">
        <v>1</v>
      </c>
      <c r="C630">
        <v>0</v>
      </c>
      <c r="D630">
        <v>0</v>
      </c>
      <c r="E630">
        <v>360</v>
      </c>
      <c r="F630">
        <v>30</v>
      </c>
      <c r="G630">
        <v>4</v>
      </c>
    </row>
    <row r="631" spans="1:7" x14ac:dyDescent="0.3">
      <c r="A631">
        <v>120</v>
      </c>
      <c r="B631">
        <v>1</v>
      </c>
      <c r="C631">
        <v>2</v>
      </c>
      <c r="D631">
        <v>0</v>
      </c>
      <c r="E631">
        <v>32</v>
      </c>
      <c r="F631">
        <v>30</v>
      </c>
      <c r="G631">
        <v>3</v>
      </c>
    </row>
    <row r="632" spans="1:7" x14ac:dyDescent="0.3">
      <c r="A632">
        <v>222</v>
      </c>
      <c r="B632">
        <v>1</v>
      </c>
      <c r="C632">
        <v>0</v>
      </c>
      <c r="D632">
        <v>0</v>
      </c>
      <c r="E632">
        <v>147</v>
      </c>
      <c r="F632">
        <v>30</v>
      </c>
      <c r="G632">
        <v>4</v>
      </c>
    </row>
    <row r="633" spans="1:7" x14ac:dyDescent="0.3">
      <c r="A633">
        <v>171</v>
      </c>
      <c r="B633">
        <v>1</v>
      </c>
      <c r="C633">
        <v>4</v>
      </c>
      <c r="D633">
        <v>0</v>
      </c>
      <c r="E633">
        <v>197</v>
      </c>
      <c r="F633">
        <v>30</v>
      </c>
      <c r="G633">
        <v>2</v>
      </c>
    </row>
    <row r="634" spans="1:7" x14ac:dyDescent="0.3">
      <c r="A634">
        <v>97</v>
      </c>
      <c r="B634">
        <v>1</v>
      </c>
      <c r="C634">
        <v>0</v>
      </c>
      <c r="D634">
        <v>1</v>
      </c>
      <c r="E634">
        <v>156</v>
      </c>
      <c r="F634">
        <v>3</v>
      </c>
      <c r="G634">
        <v>1</v>
      </c>
    </row>
    <row r="635" spans="1:7" x14ac:dyDescent="0.3">
      <c r="A635">
        <v>159</v>
      </c>
      <c r="B635">
        <v>1</v>
      </c>
      <c r="C635">
        <v>4</v>
      </c>
      <c r="D635">
        <v>0</v>
      </c>
      <c r="E635">
        <v>281</v>
      </c>
      <c r="F635">
        <v>30</v>
      </c>
      <c r="G635">
        <v>2</v>
      </c>
    </row>
    <row r="636" spans="1:7" x14ac:dyDescent="0.3">
      <c r="A636">
        <v>79</v>
      </c>
      <c r="B636">
        <v>1</v>
      </c>
      <c r="C636">
        <v>4</v>
      </c>
      <c r="D636">
        <v>0</v>
      </c>
      <c r="E636">
        <v>234</v>
      </c>
      <c r="F636">
        <v>30</v>
      </c>
      <c r="G636">
        <v>2</v>
      </c>
    </row>
    <row r="637" spans="1:7" x14ac:dyDescent="0.3">
      <c r="A637">
        <v>50</v>
      </c>
      <c r="B637">
        <v>2</v>
      </c>
      <c r="C637">
        <v>2</v>
      </c>
      <c r="D637">
        <v>1</v>
      </c>
      <c r="E637">
        <v>55</v>
      </c>
      <c r="F637">
        <v>30</v>
      </c>
      <c r="G637">
        <v>2</v>
      </c>
    </row>
    <row r="638" spans="1:7" x14ac:dyDescent="0.3">
      <c r="A638">
        <v>78</v>
      </c>
      <c r="B638">
        <v>1</v>
      </c>
      <c r="C638">
        <v>2</v>
      </c>
      <c r="D638">
        <v>1</v>
      </c>
      <c r="E638">
        <v>94</v>
      </c>
      <c r="F638">
        <v>30</v>
      </c>
      <c r="G638">
        <v>2</v>
      </c>
    </row>
    <row r="639" spans="1:7" x14ac:dyDescent="0.3">
      <c r="A639">
        <v>94</v>
      </c>
      <c r="B639">
        <v>1.5</v>
      </c>
      <c r="C639">
        <v>0</v>
      </c>
      <c r="D639">
        <v>1</v>
      </c>
      <c r="E639">
        <v>144</v>
      </c>
      <c r="F639">
        <v>2</v>
      </c>
      <c r="G639">
        <v>2</v>
      </c>
    </row>
    <row r="640" spans="1:7" x14ac:dyDescent="0.3">
      <c r="A640">
        <v>300</v>
      </c>
      <c r="B640">
        <v>1</v>
      </c>
      <c r="C640">
        <v>2</v>
      </c>
      <c r="D640">
        <v>0</v>
      </c>
      <c r="E640">
        <v>157</v>
      </c>
      <c r="F640">
        <v>30</v>
      </c>
      <c r="G640">
        <v>2</v>
      </c>
    </row>
    <row r="641" spans="1:7" x14ac:dyDescent="0.3">
      <c r="A641">
        <v>90</v>
      </c>
      <c r="B641">
        <v>1</v>
      </c>
      <c r="C641">
        <v>0</v>
      </c>
      <c r="D641">
        <v>1</v>
      </c>
      <c r="E641">
        <v>364</v>
      </c>
      <c r="F641">
        <v>30</v>
      </c>
      <c r="G641">
        <v>2</v>
      </c>
    </row>
    <row r="642" spans="1:7" x14ac:dyDescent="0.3">
      <c r="A642">
        <v>55</v>
      </c>
      <c r="B642">
        <v>2</v>
      </c>
      <c r="C642">
        <v>4</v>
      </c>
      <c r="D642">
        <v>1</v>
      </c>
      <c r="E642">
        <v>334</v>
      </c>
      <c r="F642">
        <v>30</v>
      </c>
      <c r="G642">
        <v>3</v>
      </c>
    </row>
    <row r="643" spans="1:7" x14ac:dyDescent="0.3">
      <c r="A643">
        <v>89</v>
      </c>
      <c r="B643">
        <v>1</v>
      </c>
      <c r="C643">
        <v>2</v>
      </c>
      <c r="D643">
        <v>1</v>
      </c>
      <c r="E643">
        <v>223</v>
      </c>
      <c r="F643">
        <v>5</v>
      </c>
      <c r="G643">
        <v>1</v>
      </c>
    </row>
    <row r="644" spans="1:7" x14ac:dyDescent="0.3">
      <c r="A644">
        <v>65</v>
      </c>
      <c r="B644">
        <v>2</v>
      </c>
      <c r="C644">
        <v>4</v>
      </c>
      <c r="D644">
        <v>1</v>
      </c>
      <c r="E644">
        <v>335</v>
      </c>
      <c r="F644">
        <v>30</v>
      </c>
      <c r="G644">
        <v>2</v>
      </c>
    </row>
    <row r="645" spans="1:7" x14ac:dyDescent="0.3">
      <c r="A645">
        <v>58</v>
      </c>
      <c r="B645">
        <v>1</v>
      </c>
      <c r="C645">
        <v>2</v>
      </c>
      <c r="D645">
        <v>1</v>
      </c>
      <c r="E645">
        <v>354</v>
      </c>
      <c r="F645">
        <v>30</v>
      </c>
      <c r="G645">
        <v>1</v>
      </c>
    </row>
    <row r="646" spans="1:7" x14ac:dyDescent="0.3">
      <c r="A646">
        <v>98</v>
      </c>
      <c r="B646">
        <v>1</v>
      </c>
      <c r="C646">
        <v>2</v>
      </c>
      <c r="D646">
        <v>0</v>
      </c>
      <c r="E646">
        <v>98</v>
      </c>
      <c r="F646">
        <v>30</v>
      </c>
      <c r="G646">
        <v>2</v>
      </c>
    </row>
    <row r="647" spans="1:7" x14ac:dyDescent="0.3">
      <c r="A647">
        <v>90</v>
      </c>
      <c r="B647">
        <v>1</v>
      </c>
      <c r="C647">
        <v>2</v>
      </c>
      <c r="D647">
        <v>1</v>
      </c>
      <c r="E647">
        <v>81</v>
      </c>
      <c r="F647">
        <v>30</v>
      </c>
      <c r="G647">
        <v>1</v>
      </c>
    </row>
    <row r="648" spans="1:7" x14ac:dyDescent="0.3">
      <c r="A648">
        <v>180</v>
      </c>
      <c r="B648">
        <v>1</v>
      </c>
      <c r="C648">
        <v>2</v>
      </c>
      <c r="D648">
        <v>0</v>
      </c>
      <c r="E648">
        <v>152</v>
      </c>
      <c r="F648">
        <v>3</v>
      </c>
      <c r="G648">
        <v>2</v>
      </c>
    </row>
    <row r="649" spans="1:7" x14ac:dyDescent="0.3">
      <c r="A649">
        <v>276</v>
      </c>
      <c r="B649">
        <v>1</v>
      </c>
      <c r="C649">
        <v>4</v>
      </c>
      <c r="D649">
        <v>0</v>
      </c>
      <c r="E649">
        <v>305</v>
      </c>
      <c r="F649">
        <v>30</v>
      </c>
      <c r="G649">
        <v>3</v>
      </c>
    </row>
    <row r="650" spans="1:7" x14ac:dyDescent="0.3">
      <c r="A650">
        <v>52</v>
      </c>
      <c r="B650">
        <v>1</v>
      </c>
      <c r="C650">
        <v>0</v>
      </c>
      <c r="D650">
        <v>1</v>
      </c>
      <c r="E650">
        <v>344</v>
      </c>
      <c r="F650">
        <v>30</v>
      </c>
      <c r="G650">
        <v>1</v>
      </c>
    </row>
    <row r="651" spans="1:7" x14ac:dyDescent="0.3">
      <c r="A651">
        <v>84</v>
      </c>
      <c r="B651">
        <v>1</v>
      </c>
      <c r="C651">
        <v>0</v>
      </c>
      <c r="D651">
        <v>1</v>
      </c>
      <c r="E651">
        <v>358</v>
      </c>
      <c r="F651">
        <v>3</v>
      </c>
      <c r="G651">
        <v>1</v>
      </c>
    </row>
    <row r="652" spans="1:7" x14ac:dyDescent="0.3">
      <c r="A652">
        <v>132</v>
      </c>
      <c r="B652">
        <v>1</v>
      </c>
      <c r="C652">
        <v>4</v>
      </c>
      <c r="D652">
        <v>0</v>
      </c>
      <c r="E652">
        <v>75</v>
      </c>
      <c r="F652">
        <v>30</v>
      </c>
      <c r="G652">
        <v>2</v>
      </c>
    </row>
    <row r="653" spans="1:7" x14ac:dyDescent="0.3">
      <c r="A653">
        <v>215</v>
      </c>
      <c r="B653">
        <v>1</v>
      </c>
      <c r="C653">
        <v>2</v>
      </c>
      <c r="D653">
        <v>0</v>
      </c>
      <c r="E653">
        <v>173</v>
      </c>
      <c r="F653">
        <v>30</v>
      </c>
      <c r="G653">
        <v>2</v>
      </c>
    </row>
    <row r="654" spans="1:7" x14ac:dyDescent="0.3">
      <c r="A654">
        <v>96</v>
      </c>
      <c r="B654">
        <v>1</v>
      </c>
      <c r="C654">
        <v>2</v>
      </c>
      <c r="D654">
        <v>0</v>
      </c>
      <c r="E654">
        <v>233</v>
      </c>
      <c r="F654">
        <v>30</v>
      </c>
      <c r="G654">
        <v>4</v>
      </c>
    </row>
    <row r="655" spans="1:7" x14ac:dyDescent="0.3">
      <c r="A655">
        <v>405</v>
      </c>
      <c r="B655">
        <v>2</v>
      </c>
      <c r="C655">
        <v>4</v>
      </c>
      <c r="D655">
        <v>0</v>
      </c>
      <c r="E655">
        <v>118</v>
      </c>
      <c r="F655">
        <v>7</v>
      </c>
      <c r="G655">
        <v>2</v>
      </c>
    </row>
    <row r="656" spans="1:7" x14ac:dyDescent="0.3">
      <c r="A656">
        <v>143</v>
      </c>
      <c r="B656">
        <v>1</v>
      </c>
      <c r="C656">
        <v>0</v>
      </c>
      <c r="D656">
        <v>0</v>
      </c>
      <c r="E656">
        <v>201</v>
      </c>
      <c r="F656">
        <v>30</v>
      </c>
      <c r="G656">
        <v>3</v>
      </c>
    </row>
    <row r="657" spans="1:7" x14ac:dyDescent="0.3">
      <c r="A657">
        <v>120</v>
      </c>
      <c r="B657">
        <v>1</v>
      </c>
      <c r="C657">
        <v>2</v>
      </c>
      <c r="D657">
        <v>0</v>
      </c>
      <c r="E657">
        <v>297</v>
      </c>
      <c r="F657">
        <v>30</v>
      </c>
      <c r="G657">
        <v>2</v>
      </c>
    </row>
    <row r="658" spans="1:7" x14ac:dyDescent="0.3">
      <c r="A658">
        <v>89</v>
      </c>
      <c r="B658">
        <v>1</v>
      </c>
      <c r="C658">
        <v>0</v>
      </c>
      <c r="D658">
        <v>1</v>
      </c>
      <c r="E658">
        <v>315</v>
      </c>
      <c r="F658">
        <v>30</v>
      </c>
      <c r="G658">
        <v>2</v>
      </c>
    </row>
    <row r="659" spans="1:7" x14ac:dyDescent="0.3">
      <c r="A659">
        <v>280</v>
      </c>
      <c r="B659">
        <v>2</v>
      </c>
      <c r="C659">
        <v>0</v>
      </c>
      <c r="D659">
        <v>1</v>
      </c>
      <c r="E659">
        <v>308</v>
      </c>
      <c r="F659">
        <v>2</v>
      </c>
      <c r="G659">
        <v>8</v>
      </c>
    </row>
    <row r="660" spans="1:7" x14ac:dyDescent="0.3">
      <c r="A660">
        <v>50</v>
      </c>
      <c r="B660">
        <v>1</v>
      </c>
      <c r="C660">
        <v>4</v>
      </c>
      <c r="D660">
        <v>1</v>
      </c>
      <c r="E660">
        <v>361</v>
      </c>
      <c r="F660">
        <v>30</v>
      </c>
      <c r="G660">
        <v>4</v>
      </c>
    </row>
    <row r="661" spans="1:7" x14ac:dyDescent="0.3">
      <c r="A661">
        <v>130</v>
      </c>
      <c r="B661">
        <v>1</v>
      </c>
      <c r="C661">
        <v>4</v>
      </c>
      <c r="D661">
        <v>0</v>
      </c>
      <c r="E661">
        <v>189</v>
      </c>
      <c r="F661">
        <v>30</v>
      </c>
      <c r="G661">
        <v>3</v>
      </c>
    </row>
    <row r="662" spans="1:7" x14ac:dyDescent="0.3">
      <c r="A662">
        <v>204</v>
      </c>
      <c r="B662">
        <v>1</v>
      </c>
      <c r="C662">
        <v>4</v>
      </c>
      <c r="D662">
        <v>0</v>
      </c>
      <c r="E662">
        <v>266</v>
      </c>
      <c r="F662">
        <v>30</v>
      </c>
      <c r="G662">
        <v>4</v>
      </c>
    </row>
    <row r="663" spans="1:7" x14ac:dyDescent="0.3">
      <c r="A663">
        <v>291</v>
      </c>
      <c r="B663">
        <v>2</v>
      </c>
      <c r="C663">
        <v>4</v>
      </c>
      <c r="D663">
        <v>1</v>
      </c>
      <c r="E663">
        <v>348</v>
      </c>
      <c r="F663">
        <v>1</v>
      </c>
      <c r="G663">
        <v>4</v>
      </c>
    </row>
    <row r="664" spans="1:7" x14ac:dyDescent="0.3">
      <c r="A664">
        <v>110</v>
      </c>
      <c r="B664">
        <v>1</v>
      </c>
      <c r="C664">
        <v>4</v>
      </c>
      <c r="D664">
        <v>0</v>
      </c>
      <c r="E664">
        <v>312</v>
      </c>
      <c r="F664">
        <v>30</v>
      </c>
      <c r="G664">
        <v>4</v>
      </c>
    </row>
    <row r="665" spans="1:7" x14ac:dyDescent="0.3">
      <c r="A665">
        <v>221</v>
      </c>
      <c r="B665">
        <v>1</v>
      </c>
      <c r="C665">
        <v>2</v>
      </c>
      <c r="D665">
        <v>0</v>
      </c>
      <c r="E665">
        <v>262</v>
      </c>
      <c r="F665">
        <v>30</v>
      </c>
      <c r="G665">
        <v>2</v>
      </c>
    </row>
    <row r="666" spans="1:7" x14ac:dyDescent="0.3">
      <c r="A666">
        <v>169</v>
      </c>
      <c r="B666">
        <v>1</v>
      </c>
      <c r="C666">
        <v>2</v>
      </c>
      <c r="D666">
        <v>1</v>
      </c>
      <c r="E666">
        <v>77</v>
      </c>
      <c r="F666">
        <v>2</v>
      </c>
      <c r="G666">
        <v>2</v>
      </c>
    </row>
    <row r="667" spans="1:7" x14ac:dyDescent="0.3">
      <c r="A667">
        <v>132</v>
      </c>
      <c r="B667">
        <v>1</v>
      </c>
      <c r="C667">
        <v>4</v>
      </c>
      <c r="D667">
        <v>0</v>
      </c>
      <c r="E667">
        <v>305</v>
      </c>
      <c r="F667">
        <v>30</v>
      </c>
      <c r="G667">
        <v>2</v>
      </c>
    </row>
    <row r="668" spans="1:7" x14ac:dyDescent="0.3">
      <c r="A668">
        <v>100</v>
      </c>
      <c r="B668">
        <v>1</v>
      </c>
      <c r="C668">
        <v>2</v>
      </c>
      <c r="D668">
        <v>0</v>
      </c>
      <c r="E668">
        <v>214</v>
      </c>
      <c r="F668">
        <v>30</v>
      </c>
      <c r="G668">
        <v>3</v>
      </c>
    </row>
    <row r="669" spans="1:7" x14ac:dyDescent="0.3">
      <c r="A669">
        <v>55</v>
      </c>
      <c r="B669">
        <v>1</v>
      </c>
      <c r="C669">
        <v>0</v>
      </c>
      <c r="D669">
        <v>1</v>
      </c>
      <c r="E669">
        <v>190</v>
      </c>
      <c r="F669">
        <v>30</v>
      </c>
      <c r="G669">
        <v>1</v>
      </c>
    </row>
    <row r="670" spans="1:7" x14ac:dyDescent="0.3">
      <c r="A670">
        <v>149</v>
      </c>
      <c r="B670">
        <v>1</v>
      </c>
      <c r="C670">
        <v>4</v>
      </c>
      <c r="D670">
        <v>0</v>
      </c>
      <c r="E670">
        <v>259</v>
      </c>
      <c r="F670">
        <v>30</v>
      </c>
      <c r="G670">
        <v>2</v>
      </c>
    </row>
    <row r="671" spans="1:7" x14ac:dyDescent="0.3">
      <c r="A671">
        <v>126</v>
      </c>
      <c r="B671">
        <v>1</v>
      </c>
      <c r="C671">
        <v>2</v>
      </c>
      <c r="D671">
        <v>0</v>
      </c>
      <c r="E671">
        <v>271</v>
      </c>
      <c r="F671">
        <v>30</v>
      </c>
      <c r="G671">
        <v>2</v>
      </c>
    </row>
    <row r="672" spans="1:7" x14ac:dyDescent="0.3">
      <c r="A672">
        <v>80</v>
      </c>
      <c r="B672">
        <v>1</v>
      </c>
      <c r="C672">
        <v>0</v>
      </c>
      <c r="D672">
        <v>1</v>
      </c>
      <c r="E672">
        <v>265</v>
      </c>
      <c r="F672">
        <v>30</v>
      </c>
      <c r="G672">
        <v>3</v>
      </c>
    </row>
    <row r="673" spans="1:7" x14ac:dyDescent="0.3">
      <c r="A673">
        <v>70</v>
      </c>
      <c r="B673">
        <v>1</v>
      </c>
      <c r="C673">
        <v>0</v>
      </c>
      <c r="D673">
        <v>1</v>
      </c>
      <c r="E673">
        <v>327</v>
      </c>
      <c r="F673">
        <v>30</v>
      </c>
      <c r="G673">
        <v>2</v>
      </c>
    </row>
    <row r="674" spans="1:7" x14ac:dyDescent="0.3">
      <c r="A674">
        <v>158</v>
      </c>
      <c r="B674">
        <v>1</v>
      </c>
      <c r="C674">
        <v>2</v>
      </c>
      <c r="D674">
        <v>0</v>
      </c>
      <c r="E674">
        <v>109</v>
      </c>
      <c r="F674">
        <v>30</v>
      </c>
      <c r="G674">
        <v>4</v>
      </c>
    </row>
    <row r="675" spans="1:7" x14ac:dyDescent="0.3">
      <c r="A675">
        <v>71</v>
      </c>
      <c r="B675">
        <v>1</v>
      </c>
      <c r="C675">
        <v>0</v>
      </c>
      <c r="D675">
        <v>0</v>
      </c>
      <c r="E675">
        <v>248</v>
      </c>
      <c r="F675">
        <v>30</v>
      </c>
      <c r="G675">
        <v>2</v>
      </c>
    </row>
    <row r="676" spans="1:7" x14ac:dyDescent="0.3">
      <c r="A676">
        <v>120</v>
      </c>
      <c r="B676">
        <v>1</v>
      </c>
      <c r="C676">
        <v>4</v>
      </c>
      <c r="D676">
        <v>0</v>
      </c>
      <c r="E676">
        <v>305</v>
      </c>
      <c r="F676">
        <v>30</v>
      </c>
      <c r="G676">
        <v>2</v>
      </c>
    </row>
    <row r="677" spans="1:7" x14ac:dyDescent="0.3">
      <c r="A677">
        <v>86</v>
      </c>
      <c r="B677">
        <v>1</v>
      </c>
      <c r="C677">
        <v>0</v>
      </c>
      <c r="D677">
        <v>1</v>
      </c>
      <c r="E677">
        <v>358</v>
      </c>
      <c r="F677">
        <v>3</v>
      </c>
      <c r="G677">
        <v>2</v>
      </c>
    </row>
    <row r="678" spans="1:7" x14ac:dyDescent="0.3">
      <c r="A678">
        <v>130</v>
      </c>
      <c r="B678">
        <v>1</v>
      </c>
      <c r="C678">
        <v>0</v>
      </c>
      <c r="D678">
        <v>1</v>
      </c>
      <c r="E678">
        <v>364</v>
      </c>
      <c r="F678">
        <v>3</v>
      </c>
      <c r="G678">
        <v>2</v>
      </c>
    </row>
    <row r="679" spans="1:7" x14ac:dyDescent="0.3">
      <c r="A679">
        <v>57</v>
      </c>
      <c r="B679">
        <v>1</v>
      </c>
      <c r="C679">
        <v>2</v>
      </c>
      <c r="D679">
        <v>1</v>
      </c>
      <c r="E679">
        <v>61</v>
      </c>
      <c r="F679">
        <v>30</v>
      </c>
      <c r="G679">
        <v>1</v>
      </c>
    </row>
    <row r="680" spans="1:7" x14ac:dyDescent="0.3">
      <c r="A680">
        <v>155</v>
      </c>
      <c r="B680">
        <v>1</v>
      </c>
      <c r="C680">
        <v>4</v>
      </c>
      <c r="D680">
        <v>0</v>
      </c>
      <c r="E680">
        <v>335</v>
      </c>
      <c r="F680">
        <v>30</v>
      </c>
      <c r="G680">
        <v>2</v>
      </c>
    </row>
    <row r="681" spans="1:7" x14ac:dyDescent="0.3">
      <c r="A681">
        <v>342</v>
      </c>
      <c r="B681">
        <v>1.5</v>
      </c>
      <c r="C681">
        <v>2</v>
      </c>
      <c r="D681">
        <v>0</v>
      </c>
      <c r="E681">
        <v>348</v>
      </c>
      <c r="F681">
        <v>2</v>
      </c>
      <c r="G681">
        <v>4</v>
      </c>
    </row>
    <row r="682" spans="1:7" x14ac:dyDescent="0.3">
      <c r="A682">
        <v>60</v>
      </c>
      <c r="B682">
        <v>1</v>
      </c>
      <c r="C682">
        <v>4</v>
      </c>
      <c r="D682">
        <v>1</v>
      </c>
      <c r="E682">
        <v>360</v>
      </c>
      <c r="F682">
        <v>30</v>
      </c>
      <c r="G682">
        <v>1</v>
      </c>
    </row>
    <row r="683" spans="1:7" x14ac:dyDescent="0.3">
      <c r="A683">
        <v>137</v>
      </c>
      <c r="B683">
        <v>1</v>
      </c>
      <c r="C683">
        <v>4</v>
      </c>
      <c r="D683">
        <v>1</v>
      </c>
      <c r="E683">
        <v>239</v>
      </c>
      <c r="F683">
        <v>30</v>
      </c>
      <c r="G683">
        <v>2</v>
      </c>
    </row>
    <row r="684" spans="1:7" x14ac:dyDescent="0.3">
      <c r="A684">
        <v>229</v>
      </c>
      <c r="B684">
        <v>1</v>
      </c>
      <c r="C684">
        <v>4</v>
      </c>
      <c r="D684">
        <v>1</v>
      </c>
      <c r="E684">
        <v>142</v>
      </c>
      <c r="F684">
        <v>1</v>
      </c>
      <c r="G684">
        <v>2</v>
      </c>
    </row>
    <row r="685" spans="1:7" x14ac:dyDescent="0.3">
      <c r="A685">
        <v>403</v>
      </c>
      <c r="B685">
        <v>1</v>
      </c>
      <c r="C685">
        <v>4</v>
      </c>
      <c r="D685">
        <v>0</v>
      </c>
      <c r="E685">
        <v>332</v>
      </c>
      <c r="F685">
        <v>1</v>
      </c>
      <c r="G685">
        <v>7</v>
      </c>
    </row>
    <row r="686" spans="1:7" x14ac:dyDescent="0.3">
      <c r="A686">
        <v>68</v>
      </c>
      <c r="B686">
        <v>2</v>
      </c>
      <c r="C686">
        <v>0</v>
      </c>
      <c r="D686">
        <v>1</v>
      </c>
      <c r="E686">
        <v>57</v>
      </c>
      <c r="F686">
        <v>30</v>
      </c>
      <c r="G686">
        <v>2</v>
      </c>
    </row>
    <row r="687" spans="1:7" x14ac:dyDescent="0.3">
      <c r="A687">
        <v>115</v>
      </c>
      <c r="B687">
        <v>1</v>
      </c>
      <c r="C687">
        <v>0</v>
      </c>
      <c r="D687">
        <v>0</v>
      </c>
      <c r="E687">
        <v>118</v>
      </c>
      <c r="F687">
        <v>30</v>
      </c>
      <c r="G687">
        <v>2</v>
      </c>
    </row>
    <row r="688" spans="1:7" x14ac:dyDescent="0.3">
      <c r="A688">
        <v>130</v>
      </c>
      <c r="B688">
        <v>1</v>
      </c>
      <c r="C688">
        <v>4</v>
      </c>
      <c r="D688">
        <v>0</v>
      </c>
      <c r="E688">
        <v>310</v>
      </c>
      <c r="F688">
        <v>30</v>
      </c>
      <c r="G688">
        <v>3</v>
      </c>
    </row>
    <row r="689" spans="1:7" x14ac:dyDescent="0.3">
      <c r="A689">
        <v>272</v>
      </c>
      <c r="B689">
        <v>1</v>
      </c>
      <c r="C689">
        <v>4</v>
      </c>
      <c r="D689">
        <v>0</v>
      </c>
      <c r="E689">
        <v>112</v>
      </c>
      <c r="F689">
        <v>30</v>
      </c>
      <c r="G689">
        <v>3</v>
      </c>
    </row>
    <row r="690" spans="1:7" x14ac:dyDescent="0.3">
      <c r="A690">
        <v>286</v>
      </c>
      <c r="B690">
        <v>1</v>
      </c>
      <c r="C690">
        <v>4</v>
      </c>
      <c r="D690">
        <v>1</v>
      </c>
      <c r="E690">
        <v>198</v>
      </c>
      <c r="F690">
        <v>1</v>
      </c>
      <c r="G690">
        <v>4</v>
      </c>
    </row>
    <row r="691" spans="1:7" x14ac:dyDescent="0.3">
      <c r="A691">
        <v>238</v>
      </c>
      <c r="B691">
        <v>1</v>
      </c>
      <c r="C691">
        <v>4</v>
      </c>
      <c r="D691">
        <v>1</v>
      </c>
      <c r="E691">
        <v>204</v>
      </c>
      <c r="F691">
        <v>1</v>
      </c>
      <c r="G691">
        <v>2</v>
      </c>
    </row>
    <row r="692" spans="1:7" x14ac:dyDescent="0.3">
      <c r="A692">
        <v>272</v>
      </c>
      <c r="B692">
        <v>1</v>
      </c>
      <c r="C692">
        <v>2</v>
      </c>
      <c r="D692">
        <v>0</v>
      </c>
      <c r="E692">
        <v>225</v>
      </c>
      <c r="F692">
        <v>30</v>
      </c>
      <c r="G692">
        <v>4</v>
      </c>
    </row>
    <row r="693" spans="1:7" x14ac:dyDescent="0.3">
      <c r="A693">
        <v>100</v>
      </c>
      <c r="B693">
        <v>1</v>
      </c>
      <c r="C693">
        <v>0</v>
      </c>
      <c r="D693">
        <v>0</v>
      </c>
      <c r="E693">
        <v>75</v>
      </c>
      <c r="F693">
        <v>30</v>
      </c>
      <c r="G693">
        <v>4</v>
      </c>
    </row>
    <row r="694" spans="1:7" x14ac:dyDescent="0.3">
      <c r="A694">
        <v>380</v>
      </c>
      <c r="B694">
        <v>1</v>
      </c>
      <c r="C694">
        <v>4</v>
      </c>
      <c r="D694">
        <v>0</v>
      </c>
      <c r="E694">
        <v>117</v>
      </c>
      <c r="F694">
        <v>30</v>
      </c>
      <c r="G694">
        <v>3</v>
      </c>
    </row>
    <row r="695" spans="1:7" x14ac:dyDescent="0.3">
      <c r="A695">
        <v>92</v>
      </c>
      <c r="B695">
        <v>1</v>
      </c>
      <c r="C695">
        <v>4</v>
      </c>
      <c r="D695">
        <v>0</v>
      </c>
      <c r="E695">
        <v>117</v>
      </c>
      <c r="F695">
        <v>30</v>
      </c>
      <c r="G695">
        <v>2</v>
      </c>
    </row>
    <row r="696" spans="1:7" x14ac:dyDescent="0.3">
      <c r="A696">
        <v>155</v>
      </c>
      <c r="B696">
        <v>1</v>
      </c>
      <c r="C696">
        <v>4</v>
      </c>
      <c r="D696">
        <v>0</v>
      </c>
      <c r="E696">
        <v>262</v>
      </c>
      <c r="F696">
        <v>30</v>
      </c>
      <c r="G696">
        <v>4</v>
      </c>
    </row>
    <row r="697" spans="1:7" x14ac:dyDescent="0.3">
      <c r="A697">
        <v>84</v>
      </c>
      <c r="B697">
        <v>2</v>
      </c>
      <c r="C697">
        <v>2</v>
      </c>
      <c r="D697">
        <v>1</v>
      </c>
      <c r="E697">
        <v>314</v>
      </c>
      <c r="F697">
        <v>2</v>
      </c>
      <c r="G697">
        <v>1</v>
      </c>
    </row>
    <row r="698" spans="1:7" x14ac:dyDescent="0.3">
      <c r="A698">
        <v>245</v>
      </c>
      <c r="B698">
        <v>1</v>
      </c>
      <c r="C698">
        <v>0</v>
      </c>
      <c r="D698">
        <v>0</v>
      </c>
      <c r="E698">
        <v>354</v>
      </c>
      <c r="F698">
        <v>2</v>
      </c>
      <c r="G698">
        <v>4</v>
      </c>
    </row>
    <row r="699" spans="1:7" x14ac:dyDescent="0.3">
      <c r="A699">
        <v>150</v>
      </c>
      <c r="B699">
        <v>1</v>
      </c>
      <c r="C699">
        <v>4</v>
      </c>
      <c r="D699">
        <v>0</v>
      </c>
      <c r="E699">
        <v>70</v>
      </c>
      <c r="F699">
        <v>30</v>
      </c>
      <c r="G699">
        <v>6</v>
      </c>
    </row>
    <row r="700" spans="1:7" x14ac:dyDescent="0.3">
      <c r="A700">
        <v>60</v>
      </c>
      <c r="B700">
        <v>1</v>
      </c>
      <c r="C700">
        <v>4</v>
      </c>
      <c r="D700">
        <v>1</v>
      </c>
      <c r="E700">
        <v>195</v>
      </c>
      <c r="F700">
        <v>30</v>
      </c>
      <c r="G700">
        <v>2</v>
      </c>
    </row>
    <row r="701" spans="1:7" x14ac:dyDescent="0.3">
      <c r="A701">
        <v>148</v>
      </c>
      <c r="B701">
        <v>1</v>
      </c>
      <c r="C701">
        <v>4</v>
      </c>
      <c r="D701">
        <v>0</v>
      </c>
      <c r="E701">
        <v>92</v>
      </c>
      <c r="F701">
        <v>1</v>
      </c>
      <c r="G701">
        <v>3</v>
      </c>
    </row>
    <row r="702" spans="1:7" x14ac:dyDescent="0.3">
      <c r="A702">
        <v>363</v>
      </c>
      <c r="B702">
        <v>1</v>
      </c>
      <c r="C702">
        <v>4</v>
      </c>
      <c r="D702">
        <v>1</v>
      </c>
      <c r="E702">
        <v>327</v>
      </c>
      <c r="F702">
        <v>1</v>
      </c>
      <c r="G702">
        <v>3</v>
      </c>
    </row>
    <row r="703" spans="1:7" x14ac:dyDescent="0.3">
      <c r="A703">
        <v>160</v>
      </c>
      <c r="B703">
        <v>1</v>
      </c>
      <c r="C703">
        <v>4</v>
      </c>
      <c r="D703">
        <v>0</v>
      </c>
      <c r="E703">
        <v>293</v>
      </c>
      <c r="F703">
        <v>30</v>
      </c>
      <c r="G703">
        <v>3</v>
      </c>
    </row>
    <row r="704" spans="1:7" x14ac:dyDescent="0.3">
      <c r="A704">
        <v>57</v>
      </c>
      <c r="B704">
        <v>1</v>
      </c>
      <c r="C704">
        <v>2</v>
      </c>
      <c r="D704">
        <v>1</v>
      </c>
      <c r="E704">
        <v>211</v>
      </c>
      <c r="F704">
        <v>30</v>
      </c>
      <c r="G704">
        <v>1</v>
      </c>
    </row>
    <row r="705" spans="1:7" x14ac:dyDescent="0.3">
      <c r="A705">
        <v>80</v>
      </c>
      <c r="B705">
        <v>1</v>
      </c>
      <c r="C705">
        <v>4</v>
      </c>
      <c r="D705">
        <v>1</v>
      </c>
      <c r="E705">
        <v>36</v>
      </c>
      <c r="F705">
        <v>5</v>
      </c>
      <c r="G705">
        <v>1</v>
      </c>
    </row>
    <row r="706" spans="1:7" x14ac:dyDescent="0.3">
      <c r="A706">
        <v>125</v>
      </c>
      <c r="B706">
        <v>1</v>
      </c>
      <c r="C706">
        <v>2</v>
      </c>
      <c r="D706">
        <v>0</v>
      </c>
      <c r="E706">
        <v>30</v>
      </c>
      <c r="F706">
        <v>30</v>
      </c>
      <c r="G706">
        <v>2</v>
      </c>
    </row>
    <row r="707" spans="1:7" x14ac:dyDescent="0.3">
      <c r="A707">
        <v>79</v>
      </c>
      <c r="B707">
        <v>1</v>
      </c>
      <c r="C707">
        <v>2</v>
      </c>
      <c r="D707">
        <v>0</v>
      </c>
      <c r="E707">
        <v>121</v>
      </c>
      <c r="F707">
        <v>30</v>
      </c>
      <c r="G707">
        <v>2</v>
      </c>
    </row>
    <row r="708" spans="1:7" x14ac:dyDescent="0.3">
      <c r="A708">
        <v>67</v>
      </c>
      <c r="B708">
        <v>2</v>
      </c>
      <c r="C708">
        <v>2</v>
      </c>
      <c r="D708">
        <v>1</v>
      </c>
      <c r="E708">
        <v>59</v>
      </c>
      <c r="F708">
        <v>30</v>
      </c>
      <c r="G708">
        <v>1</v>
      </c>
    </row>
    <row r="709" spans="1:7" x14ac:dyDescent="0.3">
      <c r="A709">
        <v>135</v>
      </c>
      <c r="B709">
        <v>1</v>
      </c>
      <c r="C709">
        <v>4</v>
      </c>
      <c r="D709">
        <v>0</v>
      </c>
      <c r="E709">
        <v>153</v>
      </c>
      <c r="F709">
        <v>30</v>
      </c>
      <c r="G709">
        <v>4</v>
      </c>
    </row>
    <row r="710" spans="1:7" x14ac:dyDescent="0.3">
      <c r="A710">
        <v>119</v>
      </c>
      <c r="B710">
        <v>1</v>
      </c>
      <c r="C710">
        <v>0</v>
      </c>
      <c r="D710">
        <v>0</v>
      </c>
      <c r="E710">
        <v>300</v>
      </c>
      <c r="F710">
        <v>30</v>
      </c>
      <c r="G710">
        <v>4</v>
      </c>
    </row>
    <row r="711" spans="1:7" x14ac:dyDescent="0.3">
      <c r="A711">
        <v>378</v>
      </c>
      <c r="B711">
        <v>1</v>
      </c>
      <c r="C711">
        <v>4</v>
      </c>
      <c r="D711">
        <v>0</v>
      </c>
      <c r="E711">
        <v>59</v>
      </c>
      <c r="F711">
        <v>8</v>
      </c>
      <c r="G711">
        <v>2</v>
      </c>
    </row>
    <row r="712" spans="1:7" x14ac:dyDescent="0.3">
      <c r="A712">
        <v>322</v>
      </c>
      <c r="B712">
        <v>1</v>
      </c>
      <c r="C712">
        <v>4</v>
      </c>
      <c r="D712">
        <v>0</v>
      </c>
      <c r="E712">
        <v>314</v>
      </c>
      <c r="F712">
        <v>1</v>
      </c>
      <c r="G712">
        <v>5</v>
      </c>
    </row>
    <row r="713" spans="1:7" x14ac:dyDescent="0.3">
      <c r="A713">
        <v>268</v>
      </c>
      <c r="B713">
        <v>1</v>
      </c>
      <c r="C713">
        <v>2</v>
      </c>
      <c r="D713">
        <v>0</v>
      </c>
      <c r="E713">
        <v>112</v>
      </c>
      <c r="F713">
        <v>2</v>
      </c>
      <c r="G713">
        <v>6</v>
      </c>
    </row>
    <row r="714" spans="1:7" x14ac:dyDescent="0.3">
      <c r="A714">
        <v>85</v>
      </c>
      <c r="B714">
        <v>1</v>
      </c>
      <c r="C714">
        <v>2</v>
      </c>
      <c r="D714">
        <v>1</v>
      </c>
      <c r="E714">
        <v>102</v>
      </c>
      <c r="F714">
        <v>30</v>
      </c>
      <c r="G714">
        <v>2</v>
      </c>
    </row>
    <row r="715" spans="1:7" x14ac:dyDescent="0.3">
      <c r="A715">
        <v>115</v>
      </c>
      <c r="B715">
        <v>1</v>
      </c>
      <c r="C715">
        <v>4</v>
      </c>
      <c r="D715">
        <v>0</v>
      </c>
      <c r="E715">
        <v>242</v>
      </c>
      <c r="F715">
        <v>30</v>
      </c>
      <c r="G715">
        <v>2</v>
      </c>
    </row>
    <row r="716" spans="1:7" x14ac:dyDescent="0.3">
      <c r="A716">
        <v>51</v>
      </c>
      <c r="B716">
        <v>1</v>
      </c>
      <c r="C716">
        <v>4</v>
      </c>
      <c r="D716">
        <v>1</v>
      </c>
      <c r="E716">
        <v>269</v>
      </c>
      <c r="F716">
        <v>30</v>
      </c>
      <c r="G716">
        <v>2</v>
      </c>
    </row>
    <row r="717" spans="1:7" x14ac:dyDescent="0.3">
      <c r="A717">
        <v>127</v>
      </c>
      <c r="B717">
        <v>1</v>
      </c>
      <c r="C717">
        <v>0</v>
      </c>
      <c r="D717">
        <v>1</v>
      </c>
      <c r="E717">
        <v>169</v>
      </c>
      <c r="F717">
        <v>5</v>
      </c>
      <c r="G717">
        <v>1</v>
      </c>
    </row>
    <row r="718" spans="1:7" x14ac:dyDescent="0.3">
      <c r="A718">
        <v>175</v>
      </c>
      <c r="B718">
        <v>1</v>
      </c>
      <c r="C718">
        <v>2</v>
      </c>
      <c r="D718">
        <v>0</v>
      </c>
      <c r="E718">
        <v>212</v>
      </c>
      <c r="F718">
        <v>30</v>
      </c>
      <c r="G718">
        <v>2</v>
      </c>
    </row>
    <row r="719" spans="1:7" x14ac:dyDescent="0.3">
      <c r="A719">
        <v>227</v>
      </c>
      <c r="B719">
        <v>1</v>
      </c>
      <c r="C719">
        <v>4</v>
      </c>
      <c r="D719">
        <v>0</v>
      </c>
      <c r="E719">
        <v>280</v>
      </c>
      <c r="F719">
        <v>30</v>
      </c>
      <c r="G719">
        <v>2</v>
      </c>
    </row>
    <row r="720" spans="1:7" x14ac:dyDescent="0.3">
      <c r="A720">
        <v>222</v>
      </c>
      <c r="B720">
        <v>1</v>
      </c>
      <c r="C720">
        <v>2</v>
      </c>
      <c r="D720">
        <v>0</v>
      </c>
      <c r="E720">
        <v>304</v>
      </c>
      <c r="F720">
        <v>30</v>
      </c>
      <c r="G720">
        <v>4</v>
      </c>
    </row>
    <row r="721" spans="1:7" x14ac:dyDescent="0.3">
      <c r="A721">
        <v>54</v>
      </c>
      <c r="B721">
        <v>1</v>
      </c>
      <c r="C721">
        <v>4</v>
      </c>
      <c r="D721">
        <v>1</v>
      </c>
      <c r="E721">
        <v>364</v>
      </c>
      <c r="F721">
        <v>30</v>
      </c>
      <c r="G721">
        <v>1</v>
      </c>
    </row>
    <row r="722" spans="1:7" x14ac:dyDescent="0.3">
      <c r="A722">
        <v>85</v>
      </c>
      <c r="B722">
        <v>1</v>
      </c>
      <c r="C722">
        <v>2</v>
      </c>
      <c r="D722">
        <v>1</v>
      </c>
      <c r="E722">
        <v>163</v>
      </c>
      <c r="F722">
        <v>2</v>
      </c>
      <c r="G722">
        <v>2</v>
      </c>
    </row>
    <row r="723" spans="1:7" x14ac:dyDescent="0.3">
      <c r="A723">
        <v>110</v>
      </c>
      <c r="B723">
        <v>1</v>
      </c>
      <c r="C723">
        <v>4</v>
      </c>
      <c r="D723">
        <v>0</v>
      </c>
      <c r="E723">
        <v>269</v>
      </c>
      <c r="F723">
        <v>30</v>
      </c>
      <c r="G723">
        <v>4</v>
      </c>
    </row>
    <row r="724" spans="1:7" x14ac:dyDescent="0.3">
      <c r="A724">
        <v>192</v>
      </c>
      <c r="B724">
        <v>1</v>
      </c>
      <c r="C724">
        <v>4</v>
      </c>
      <c r="D724">
        <v>0</v>
      </c>
      <c r="E724">
        <v>345</v>
      </c>
      <c r="F724">
        <v>30</v>
      </c>
      <c r="G724">
        <v>2</v>
      </c>
    </row>
    <row r="725" spans="1:7" x14ac:dyDescent="0.3">
      <c r="A725">
        <v>118</v>
      </c>
      <c r="B725">
        <v>1</v>
      </c>
      <c r="C725">
        <v>4</v>
      </c>
      <c r="D725">
        <v>0</v>
      </c>
      <c r="E725">
        <v>260</v>
      </c>
      <c r="F725">
        <v>30</v>
      </c>
      <c r="G725">
        <v>2</v>
      </c>
    </row>
    <row r="726" spans="1:7" x14ac:dyDescent="0.3">
      <c r="A726">
        <v>264</v>
      </c>
      <c r="B726">
        <v>1</v>
      </c>
      <c r="C726">
        <v>4</v>
      </c>
      <c r="D726">
        <v>0</v>
      </c>
      <c r="E726">
        <v>290</v>
      </c>
      <c r="F726">
        <v>1</v>
      </c>
      <c r="G726">
        <v>5</v>
      </c>
    </row>
    <row r="727" spans="1:7" x14ac:dyDescent="0.3">
      <c r="A727">
        <v>53</v>
      </c>
      <c r="B727">
        <v>1</v>
      </c>
      <c r="C727">
        <v>4</v>
      </c>
      <c r="D727">
        <v>0</v>
      </c>
      <c r="E727">
        <v>247</v>
      </c>
      <c r="F727">
        <v>30</v>
      </c>
      <c r="G727">
        <v>1</v>
      </c>
    </row>
    <row r="728" spans="1:7" x14ac:dyDescent="0.3">
      <c r="A728">
        <v>412</v>
      </c>
      <c r="B728">
        <v>1</v>
      </c>
      <c r="C728">
        <v>4</v>
      </c>
      <c r="D728">
        <v>1</v>
      </c>
      <c r="E728">
        <v>73</v>
      </c>
      <c r="F728">
        <v>1</v>
      </c>
      <c r="G728">
        <v>5</v>
      </c>
    </row>
    <row r="729" spans="1:7" x14ac:dyDescent="0.3">
      <c r="A729">
        <v>150</v>
      </c>
      <c r="B729">
        <v>1</v>
      </c>
      <c r="C729">
        <v>4</v>
      </c>
      <c r="D729">
        <v>0</v>
      </c>
      <c r="E729">
        <v>223</v>
      </c>
      <c r="F729">
        <v>30</v>
      </c>
      <c r="G729">
        <v>2</v>
      </c>
    </row>
    <row r="730" spans="1:7" x14ac:dyDescent="0.3">
      <c r="A730">
        <v>99</v>
      </c>
      <c r="B730">
        <v>1</v>
      </c>
      <c r="C730">
        <v>2</v>
      </c>
      <c r="D730">
        <v>0</v>
      </c>
      <c r="E730">
        <v>151</v>
      </c>
      <c r="F730">
        <v>30</v>
      </c>
      <c r="G730">
        <v>4</v>
      </c>
    </row>
    <row r="731" spans="1:7" x14ac:dyDescent="0.3">
      <c r="A731">
        <v>131</v>
      </c>
      <c r="B731">
        <v>1.5</v>
      </c>
      <c r="C731">
        <v>2</v>
      </c>
      <c r="D731">
        <v>0</v>
      </c>
      <c r="E731">
        <v>137</v>
      </c>
      <c r="F731">
        <v>30</v>
      </c>
      <c r="G731">
        <v>3</v>
      </c>
    </row>
    <row r="732" spans="1:7" x14ac:dyDescent="0.3">
      <c r="A732">
        <v>296</v>
      </c>
      <c r="B732">
        <v>1</v>
      </c>
      <c r="C732">
        <v>4</v>
      </c>
      <c r="D732">
        <v>0</v>
      </c>
      <c r="E732">
        <v>242</v>
      </c>
      <c r="F732">
        <v>1</v>
      </c>
      <c r="G732">
        <v>5</v>
      </c>
    </row>
    <row r="733" spans="1:7" x14ac:dyDescent="0.3">
      <c r="A733">
        <v>109</v>
      </c>
      <c r="B733">
        <v>1</v>
      </c>
      <c r="C733">
        <v>0</v>
      </c>
      <c r="D733">
        <v>0</v>
      </c>
      <c r="E733">
        <v>240</v>
      </c>
      <c r="F733">
        <v>30</v>
      </c>
      <c r="G733">
        <v>2</v>
      </c>
    </row>
    <row r="734" spans="1:7" x14ac:dyDescent="0.3">
      <c r="A734">
        <v>175</v>
      </c>
      <c r="B734">
        <v>1</v>
      </c>
      <c r="C734">
        <v>4</v>
      </c>
      <c r="D734">
        <v>0</v>
      </c>
      <c r="E734">
        <v>236</v>
      </c>
      <c r="F734">
        <v>30</v>
      </c>
      <c r="G734">
        <v>3</v>
      </c>
    </row>
    <row r="735" spans="1:7" x14ac:dyDescent="0.3">
      <c r="A735">
        <v>240</v>
      </c>
      <c r="B735">
        <v>1</v>
      </c>
      <c r="C735">
        <v>2</v>
      </c>
      <c r="D735">
        <v>0</v>
      </c>
      <c r="E735">
        <v>39</v>
      </c>
      <c r="F735">
        <v>30</v>
      </c>
      <c r="G735">
        <v>2</v>
      </c>
    </row>
    <row r="736" spans="1:7" x14ac:dyDescent="0.3">
      <c r="A736">
        <v>77</v>
      </c>
      <c r="B736">
        <v>1</v>
      </c>
      <c r="C736">
        <v>2</v>
      </c>
      <c r="D736">
        <v>1</v>
      </c>
      <c r="E736">
        <v>107</v>
      </c>
      <c r="F736">
        <v>30</v>
      </c>
      <c r="G736">
        <v>2</v>
      </c>
    </row>
    <row r="737" spans="1:7" x14ac:dyDescent="0.3">
      <c r="A737">
        <v>81</v>
      </c>
      <c r="B737">
        <v>1</v>
      </c>
      <c r="C737">
        <v>2</v>
      </c>
      <c r="D737">
        <v>1</v>
      </c>
      <c r="E737">
        <v>213</v>
      </c>
      <c r="F737">
        <v>30</v>
      </c>
      <c r="G737">
        <v>2</v>
      </c>
    </row>
    <row r="738" spans="1:7" x14ac:dyDescent="0.3">
      <c r="A738">
        <v>90</v>
      </c>
      <c r="B738">
        <v>1</v>
      </c>
      <c r="C738">
        <v>2</v>
      </c>
      <c r="D738">
        <v>0</v>
      </c>
      <c r="E738">
        <v>285</v>
      </c>
      <c r="F738">
        <v>30</v>
      </c>
      <c r="G738">
        <v>4</v>
      </c>
    </row>
    <row r="739" spans="1:7" x14ac:dyDescent="0.3">
      <c r="A739">
        <v>146</v>
      </c>
      <c r="B739">
        <v>1</v>
      </c>
      <c r="C739">
        <v>4</v>
      </c>
      <c r="D739">
        <v>0</v>
      </c>
      <c r="E739">
        <v>337</v>
      </c>
      <c r="F739">
        <v>30</v>
      </c>
      <c r="G739">
        <v>2</v>
      </c>
    </row>
    <row r="740" spans="1:7" x14ac:dyDescent="0.3">
      <c r="A740">
        <v>150</v>
      </c>
      <c r="B740">
        <v>1</v>
      </c>
      <c r="C740">
        <v>4</v>
      </c>
      <c r="D740">
        <v>0</v>
      </c>
      <c r="E740">
        <v>310</v>
      </c>
      <c r="F740">
        <v>30</v>
      </c>
      <c r="G740">
        <v>2</v>
      </c>
    </row>
    <row r="741" spans="1:7" x14ac:dyDescent="0.3">
      <c r="A741">
        <v>200</v>
      </c>
      <c r="B741">
        <v>2</v>
      </c>
      <c r="C741">
        <v>4</v>
      </c>
      <c r="D741">
        <v>0</v>
      </c>
      <c r="E741">
        <v>43</v>
      </c>
      <c r="F741">
        <v>30</v>
      </c>
      <c r="G741">
        <v>8</v>
      </c>
    </row>
    <row r="742" spans="1:7" x14ac:dyDescent="0.3">
      <c r="A742">
        <v>88</v>
      </c>
      <c r="B742">
        <v>1</v>
      </c>
      <c r="C742">
        <v>4</v>
      </c>
      <c r="D742">
        <v>0</v>
      </c>
      <c r="E742">
        <v>329</v>
      </c>
      <c r="F742">
        <v>30</v>
      </c>
      <c r="G742">
        <v>2</v>
      </c>
    </row>
    <row r="743" spans="1:7" x14ac:dyDescent="0.3">
      <c r="A743">
        <v>140</v>
      </c>
      <c r="B743">
        <v>1</v>
      </c>
      <c r="C743">
        <v>4</v>
      </c>
      <c r="D743">
        <v>0</v>
      </c>
      <c r="E743">
        <v>189</v>
      </c>
      <c r="F743">
        <v>30</v>
      </c>
      <c r="G743">
        <v>2</v>
      </c>
    </row>
    <row r="744" spans="1:7" x14ac:dyDescent="0.3">
      <c r="A744">
        <v>112</v>
      </c>
      <c r="B744">
        <v>1</v>
      </c>
      <c r="C744">
        <v>4</v>
      </c>
      <c r="D744">
        <v>0</v>
      </c>
      <c r="E744">
        <v>337</v>
      </c>
      <c r="F744">
        <v>30</v>
      </c>
      <c r="G744">
        <v>2</v>
      </c>
    </row>
    <row r="745" spans="1:7" x14ac:dyDescent="0.3">
      <c r="A745">
        <v>147</v>
      </c>
      <c r="B745">
        <v>2</v>
      </c>
      <c r="C745">
        <v>4</v>
      </c>
      <c r="D745">
        <v>1</v>
      </c>
      <c r="E745">
        <v>237</v>
      </c>
      <c r="F745">
        <v>2</v>
      </c>
      <c r="G745">
        <v>2</v>
      </c>
    </row>
    <row r="746" spans="1:7" x14ac:dyDescent="0.3">
      <c r="A746">
        <v>442</v>
      </c>
      <c r="B746">
        <v>1</v>
      </c>
      <c r="C746">
        <v>4</v>
      </c>
      <c r="D746">
        <v>1</v>
      </c>
      <c r="E746">
        <v>314</v>
      </c>
      <c r="F746">
        <v>1</v>
      </c>
      <c r="G746">
        <v>4</v>
      </c>
    </row>
    <row r="747" spans="1:7" x14ac:dyDescent="0.3">
      <c r="A747">
        <v>288</v>
      </c>
      <c r="B747">
        <v>1</v>
      </c>
      <c r="C747">
        <v>4</v>
      </c>
      <c r="D747">
        <v>0</v>
      </c>
      <c r="E747">
        <v>184</v>
      </c>
      <c r="F747">
        <v>30</v>
      </c>
      <c r="G747">
        <v>4</v>
      </c>
    </row>
    <row r="748" spans="1:7" x14ac:dyDescent="0.3">
      <c r="A748">
        <v>201</v>
      </c>
      <c r="B748">
        <v>1</v>
      </c>
      <c r="C748">
        <v>2</v>
      </c>
      <c r="D748">
        <v>0</v>
      </c>
      <c r="E748">
        <v>184</v>
      </c>
      <c r="F748">
        <v>30</v>
      </c>
      <c r="G748">
        <v>3</v>
      </c>
    </row>
    <row r="749" spans="1:7" x14ac:dyDescent="0.3">
      <c r="A749">
        <v>52</v>
      </c>
      <c r="B749">
        <v>2</v>
      </c>
      <c r="C749">
        <v>2</v>
      </c>
      <c r="D749">
        <v>1</v>
      </c>
      <c r="E749">
        <v>82</v>
      </c>
      <c r="F749">
        <v>30</v>
      </c>
      <c r="G749">
        <v>2</v>
      </c>
    </row>
    <row r="750" spans="1:7" x14ac:dyDescent="0.3">
      <c r="A750">
        <v>90</v>
      </c>
      <c r="B750">
        <v>1</v>
      </c>
      <c r="C750">
        <v>2</v>
      </c>
      <c r="D750">
        <v>1</v>
      </c>
      <c r="E750">
        <v>223</v>
      </c>
      <c r="F750">
        <v>1</v>
      </c>
      <c r="G750">
        <v>2</v>
      </c>
    </row>
    <row r="751" spans="1:7" x14ac:dyDescent="0.3">
      <c r="A751">
        <v>192</v>
      </c>
      <c r="B751">
        <v>2</v>
      </c>
      <c r="C751">
        <v>4</v>
      </c>
      <c r="D751">
        <v>1</v>
      </c>
      <c r="E751">
        <v>291</v>
      </c>
      <c r="F751">
        <v>1</v>
      </c>
      <c r="G751">
        <v>3</v>
      </c>
    </row>
    <row r="752" spans="1:7" x14ac:dyDescent="0.3">
      <c r="A752">
        <v>116</v>
      </c>
      <c r="B752">
        <v>1</v>
      </c>
      <c r="C752">
        <v>0</v>
      </c>
      <c r="D752">
        <v>1</v>
      </c>
      <c r="E752">
        <v>189</v>
      </c>
      <c r="F752">
        <v>2</v>
      </c>
      <c r="G752">
        <v>2</v>
      </c>
    </row>
    <row r="753" spans="1:7" x14ac:dyDescent="0.3">
      <c r="A753">
        <v>127</v>
      </c>
      <c r="B753">
        <v>1</v>
      </c>
      <c r="C753">
        <v>0</v>
      </c>
      <c r="D753">
        <v>0</v>
      </c>
      <c r="E753">
        <v>257</v>
      </c>
      <c r="F753">
        <v>1</v>
      </c>
      <c r="G753">
        <v>2</v>
      </c>
    </row>
    <row r="754" spans="1:7" x14ac:dyDescent="0.3">
      <c r="A754">
        <v>85</v>
      </c>
      <c r="B754">
        <v>1</v>
      </c>
      <c r="C754">
        <v>4</v>
      </c>
      <c r="D754">
        <v>1</v>
      </c>
      <c r="E754">
        <v>175</v>
      </c>
      <c r="F754">
        <v>30</v>
      </c>
      <c r="G754">
        <v>1</v>
      </c>
    </row>
    <row r="755" spans="1:7" x14ac:dyDescent="0.3">
      <c r="A755">
        <v>115</v>
      </c>
      <c r="B755">
        <v>2</v>
      </c>
      <c r="C755">
        <v>2</v>
      </c>
      <c r="D755">
        <v>1</v>
      </c>
      <c r="E755">
        <v>264</v>
      </c>
      <c r="F755">
        <v>1</v>
      </c>
      <c r="G755">
        <v>2</v>
      </c>
    </row>
    <row r="756" spans="1:7" x14ac:dyDescent="0.3">
      <c r="A756">
        <v>350</v>
      </c>
      <c r="B756">
        <v>2</v>
      </c>
      <c r="C756">
        <v>4</v>
      </c>
      <c r="D756">
        <v>0</v>
      </c>
      <c r="E756">
        <v>270</v>
      </c>
      <c r="F756">
        <v>30</v>
      </c>
      <c r="G756">
        <v>6</v>
      </c>
    </row>
    <row r="757" spans="1:7" x14ac:dyDescent="0.3">
      <c r="A757">
        <v>121</v>
      </c>
      <c r="B757">
        <v>1</v>
      </c>
      <c r="C757">
        <v>2</v>
      </c>
      <c r="D757">
        <v>1</v>
      </c>
      <c r="E757">
        <v>254</v>
      </c>
      <c r="F757">
        <v>1</v>
      </c>
      <c r="G757">
        <v>2</v>
      </c>
    </row>
    <row r="758" spans="1:7" x14ac:dyDescent="0.3">
      <c r="A758">
        <v>99</v>
      </c>
      <c r="B758">
        <v>1</v>
      </c>
      <c r="C758">
        <v>0</v>
      </c>
      <c r="D758">
        <v>0</v>
      </c>
      <c r="E758">
        <v>206</v>
      </c>
      <c r="F758">
        <v>30</v>
      </c>
      <c r="G758">
        <v>4</v>
      </c>
    </row>
    <row r="759" spans="1:7" x14ac:dyDescent="0.3">
      <c r="A759">
        <v>280</v>
      </c>
      <c r="B759">
        <v>2</v>
      </c>
      <c r="C759">
        <v>4</v>
      </c>
      <c r="D759">
        <v>0</v>
      </c>
      <c r="E759">
        <v>235</v>
      </c>
      <c r="F759">
        <v>7</v>
      </c>
      <c r="G759">
        <v>4</v>
      </c>
    </row>
    <row r="760" spans="1:7" x14ac:dyDescent="0.3">
      <c r="A760">
        <v>449</v>
      </c>
      <c r="B760">
        <v>1</v>
      </c>
      <c r="C760">
        <v>4</v>
      </c>
      <c r="D760">
        <v>1</v>
      </c>
      <c r="E760">
        <v>213</v>
      </c>
      <c r="F760">
        <v>1</v>
      </c>
      <c r="G760">
        <v>4</v>
      </c>
    </row>
    <row r="761" spans="1:7" x14ac:dyDescent="0.3">
      <c r="A761">
        <v>178</v>
      </c>
      <c r="B761">
        <v>1</v>
      </c>
      <c r="C761">
        <v>2</v>
      </c>
      <c r="D761">
        <v>0</v>
      </c>
      <c r="E761">
        <v>339</v>
      </c>
      <c r="F761">
        <v>30</v>
      </c>
      <c r="G761">
        <v>4</v>
      </c>
    </row>
    <row r="762" spans="1:7" x14ac:dyDescent="0.3">
      <c r="A762">
        <v>150</v>
      </c>
      <c r="B762">
        <v>1</v>
      </c>
      <c r="C762">
        <v>4</v>
      </c>
      <c r="D762">
        <v>0</v>
      </c>
      <c r="E762">
        <v>84</v>
      </c>
      <c r="F762">
        <v>30</v>
      </c>
      <c r="G762">
        <v>2</v>
      </c>
    </row>
    <row r="763" spans="1:7" x14ac:dyDescent="0.3">
      <c r="A763">
        <v>378</v>
      </c>
      <c r="B763">
        <v>1</v>
      </c>
      <c r="C763">
        <v>4</v>
      </c>
      <c r="D763">
        <v>0</v>
      </c>
      <c r="E763">
        <v>229</v>
      </c>
      <c r="F763">
        <v>1</v>
      </c>
      <c r="G763">
        <v>7</v>
      </c>
    </row>
    <row r="764" spans="1:7" x14ac:dyDescent="0.3">
      <c r="A764">
        <v>160</v>
      </c>
      <c r="B764">
        <v>1</v>
      </c>
      <c r="C764">
        <v>0</v>
      </c>
      <c r="D764">
        <v>0</v>
      </c>
      <c r="E764">
        <v>308</v>
      </c>
      <c r="F764">
        <v>30</v>
      </c>
      <c r="G764">
        <v>3</v>
      </c>
    </row>
    <row r="765" spans="1:7" x14ac:dyDescent="0.3">
      <c r="A765">
        <v>247</v>
      </c>
      <c r="B765">
        <v>1</v>
      </c>
      <c r="C765">
        <v>0</v>
      </c>
      <c r="D765">
        <v>0</v>
      </c>
      <c r="E765">
        <v>264</v>
      </c>
      <c r="F765">
        <v>1</v>
      </c>
      <c r="G765">
        <v>4</v>
      </c>
    </row>
    <row r="766" spans="1:7" x14ac:dyDescent="0.3">
      <c r="A766">
        <v>410</v>
      </c>
      <c r="B766">
        <v>1</v>
      </c>
      <c r="C766">
        <v>4</v>
      </c>
      <c r="D766">
        <v>0</v>
      </c>
      <c r="E766">
        <v>218</v>
      </c>
      <c r="F766">
        <v>30</v>
      </c>
      <c r="G766">
        <v>2</v>
      </c>
    </row>
    <row r="767" spans="1:7" x14ac:dyDescent="0.3">
      <c r="A767">
        <v>220</v>
      </c>
      <c r="B767">
        <v>1</v>
      </c>
      <c r="C767">
        <v>4</v>
      </c>
      <c r="D767">
        <v>0</v>
      </c>
      <c r="E767">
        <v>189</v>
      </c>
      <c r="F767">
        <v>2</v>
      </c>
      <c r="G767">
        <v>3</v>
      </c>
    </row>
    <row r="768" spans="1:7" x14ac:dyDescent="0.3">
      <c r="A768">
        <v>295</v>
      </c>
      <c r="B768">
        <v>2</v>
      </c>
      <c r="C768">
        <v>2</v>
      </c>
      <c r="D768">
        <v>1</v>
      </c>
      <c r="E768">
        <v>155</v>
      </c>
      <c r="F768">
        <v>3</v>
      </c>
      <c r="G768">
        <v>5</v>
      </c>
    </row>
    <row r="769" spans="1:7" x14ac:dyDescent="0.3">
      <c r="A769">
        <v>386</v>
      </c>
      <c r="B769">
        <v>2</v>
      </c>
      <c r="C769">
        <v>2</v>
      </c>
      <c r="D769">
        <v>0</v>
      </c>
      <c r="E769">
        <v>32</v>
      </c>
      <c r="F769">
        <v>2</v>
      </c>
      <c r="G769">
        <v>8</v>
      </c>
    </row>
    <row r="770" spans="1:7" x14ac:dyDescent="0.3">
      <c r="A770">
        <v>294</v>
      </c>
      <c r="B770">
        <v>1</v>
      </c>
      <c r="C770">
        <v>4</v>
      </c>
      <c r="D770">
        <v>0</v>
      </c>
      <c r="E770">
        <v>313</v>
      </c>
      <c r="F770">
        <v>4</v>
      </c>
      <c r="G770">
        <v>4</v>
      </c>
    </row>
    <row r="771" spans="1:7" x14ac:dyDescent="0.3">
      <c r="A771">
        <v>110</v>
      </c>
      <c r="B771">
        <v>1</v>
      </c>
      <c r="C771">
        <v>2</v>
      </c>
      <c r="D771">
        <v>1</v>
      </c>
      <c r="E771">
        <v>123</v>
      </c>
      <c r="F771">
        <v>30</v>
      </c>
      <c r="G771">
        <v>2</v>
      </c>
    </row>
    <row r="772" spans="1:7" x14ac:dyDescent="0.3">
      <c r="A772">
        <v>406</v>
      </c>
      <c r="B772">
        <v>4</v>
      </c>
      <c r="C772">
        <v>2</v>
      </c>
      <c r="D772">
        <v>0</v>
      </c>
      <c r="E772">
        <v>263</v>
      </c>
      <c r="F772">
        <v>1</v>
      </c>
      <c r="G772">
        <v>14</v>
      </c>
    </row>
    <row r="773" spans="1:7" x14ac:dyDescent="0.3">
      <c r="A773">
        <v>151</v>
      </c>
      <c r="B773">
        <v>1</v>
      </c>
      <c r="C773">
        <v>2</v>
      </c>
      <c r="D773">
        <v>0</v>
      </c>
      <c r="E773">
        <v>153</v>
      </c>
      <c r="F773">
        <v>30</v>
      </c>
      <c r="G773">
        <v>3</v>
      </c>
    </row>
    <row r="774" spans="1:7" x14ac:dyDescent="0.3">
      <c r="A774">
        <v>127</v>
      </c>
      <c r="B774">
        <v>1</v>
      </c>
      <c r="C774">
        <v>4</v>
      </c>
      <c r="D774">
        <v>0</v>
      </c>
      <c r="E774">
        <v>166</v>
      </c>
      <c r="F774">
        <v>30</v>
      </c>
      <c r="G774">
        <v>2</v>
      </c>
    </row>
    <row r="775" spans="1:7" x14ac:dyDescent="0.3">
      <c r="A775">
        <v>55</v>
      </c>
      <c r="B775">
        <v>1</v>
      </c>
      <c r="C775">
        <v>0</v>
      </c>
      <c r="D775">
        <v>1</v>
      </c>
      <c r="E775">
        <v>90</v>
      </c>
      <c r="F775">
        <v>30</v>
      </c>
      <c r="G775">
        <v>2</v>
      </c>
    </row>
    <row r="776" spans="1:7" x14ac:dyDescent="0.3">
      <c r="A776">
        <v>329</v>
      </c>
      <c r="B776">
        <v>1</v>
      </c>
      <c r="C776">
        <v>4</v>
      </c>
      <c r="D776">
        <v>0</v>
      </c>
      <c r="E776">
        <v>258</v>
      </c>
      <c r="F776">
        <v>4</v>
      </c>
      <c r="G776">
        <v>6</v>
      </c>
    </row>
    <row r="777" spans="1:7" x14ac:dyDescent="0.3">
      <c r="A777">
        <v>62</v>
      </c>
      <c r="B777">
        <v>1</v>
      </c>
      <c r="C777">
        <v>0</v>
      </c>
      <c r="D777">
        <v>1</v>
      </c>
      <c r="E777">
        <v>364</v>
      </c>
      <c r="F777">
        <v>30</v>
      </c>
      <c r="G777">
        <v>1</v>
      </c>
    </row>
    <row r="778" spans="1:7" x14ac:dyDescent="0.3">
      <c r="A778">
        <v>52</v>
      </c>
      <c r="B778">
        <v>1</v>
      </c>
      <c r="C778">
        <v>4</v>
      </c>
      <c r="D778">
        <v>1</v>
      </c>
      <c r="E778">
        <v>91</v>
      </c>
      <c r="F778">
        <v>30</v>
      </c>
      <c r="G778">
        <v>2</v>
      </c>
    </row>
    <row r="779" spans="1:7" x14ac:dyDescent="0.3">
      <c r="A779">
        <v>74</v>
      </c>
      <c r="B779">
        <v>1</v>
      </c>
      <c r="C779">
        <v>2</v>
      </c>
      <c r="D779">
        <v>1</v>
      </c>
      <c r="E779">
        <v>269</v>
      </c>
      <c r="F779">
        <v>30</v>
      </c>
      <c r="G779">
        <v>2</v>
      </c>
    </row>
    <row r="780" spans="1:7" x14ac:dyDescent="0.3">
      <c r="A780">
        <v>134</v>
      </c>
      <c r="B780">
        <v>0</v>
      </c>
      <c r="C780">
        <v>4</v>
      </c>
      <c r="D780">
        <v>1</v>
      </c>
      <c r="E780">
        <v>293</v>
      </c>
      <c r="F780">
        <v>1</v>
      </c>
      <c r="G780">
        <v>4</v>
      </c>
    </row>
    <row r="781" spans="1:7" x14ac:dyDescent="0.3">
      <c r="A781">
        <v>261</v>
      </c>
      <c r="B781">
        <v>1</v>
      </c>
      <c r="C781">
        <v>4</v>
      </c>
      <c r="D781">
        <v>0</v>
      </c>
      <c r="E781">
        <v>210</v>
      </c>
      <c r="F781">
        <v>25</v>
      </c>
      <c r="G781">
        <v>2</v>
      </c>
    </row>
    <row r="782" spans="1:7" x14ac:dyDescent="0.3">
      <c r="A782">
        <v>218</v>
      </c>
      <c r="B782">
        <v>1</v>
      </c>
      <c r="C782">
        <v>4</v>
      </c>
      <c r="D782">
        <v>0</v>
      </c>
      <c r="E782">
        <v>318</v>
      </c>
      <c r="F782">
        <v>30</v>
      </c>
      <c r="G782">
        <v>2</v>
      </c>
    </row>
    <row r="783" spans="1:7" x14ac:dyDescent="0.3">
      <c r="A783">
        <v>199</v>
      </c>
      <c r="B783">
        <v>1</v>
      </c>
      <c r="C783">
        <v>4</v>
      </c>
      <c r="D783">
        <v>0</v>
      </c>
      <c r="E783">
        <v>262</v>
      </c>
      <c r="F783">
        <v>30</v>
      </c>
      <c r="G783">
        <v>2</v>
      </c>
    </row>
    <row r="784" spans="1:7" x14ac:dyDescent="0.3">
      <c r="A784">
        <v>150</v>
      </c>
      <c r="B784">
        <v>1</v>
      </c>
      <c r="C784">
        <v>2</v>
      </c>
      <c r="D784">
        <v>0</v>
      </c>
      <c r="E784">
        <v>261</v>
      </c>
      <c r="F784">
        <v>30</v>
      </c>
      <c r="G784">
        <v>3</v>
      </c>
    </row>
    <row r="785" spans="1:7" x14ac:dyDescent="0.3">
      <c r="A785">
        <v>228</v>
      </c>
      <c r="B785">
        <v>1.5</v>
      </c>
      <c r="C785">
        <v>2</v>
      </c>
      <c r="D785">
        <v>0</v>
      </c>
      <c r="E785">
        <v>306</v>
      </c>
      <c r="F785">
        <v>30</v>
      </c>
      <c r="G785">
        <v>4</v>
      </c>
    </row>
    <row r="786" spans="1:7" x14ac:dyDescent="0.3">
      <c r="A786">
        <v>118</v>
      </c>
      <c r="B786">
        <v>1</v>
      </c>
      <c r="C786">
        <v>4</v>
      </c>
      <c r="D786">
        <v>0</v>
      </c>
      <c r="E786">
        <v>244</v>
      </c>
      <c r="F786">
        <v>30</v>
      </c>
      <c r="G786">
        <v>2</v>
      </c>
    </row>
    <row r="787" spans="1:7" x14ac:dyDescent="0.3">
      <c r="A787">
        <v>150</v>
      </c>
      <c r="B787">
        <v>1</v>
      </c>
      <c r="C787">
        <v>4</v>
      </c>
      <c r="D787">
        <v>0</v>
      </c>
      <c r="E787">
        <v>240</v>
      </c>
      <c r="F787">
        <v>30</v>
      </c>
      <c r="G787">
        <v>2</v>
      </c>
    </row>
    <row r="788" spans="1:7" x14ac:dyDescent="0.3">
      <c r="A788">
        <v>433</v>
      </c>
      <c r="B788">
        <v>1</v>
      </c>
      <c r="C788">
        <v>4</v>
      </c>
      <c r="D788">
        <v>0</v>
      </c>
      <c r="E788">
        <v>244</v>
      </c>
      <c r="F788">
        <v>30</v>
      </c>
      <c r="G788">
        <v>4</v>
      </c>
    </row>
    <row r="789" spans="1:7" x14ac:dyDescent="0.3">
      <c r="A789">
        <v>140</v>
      </c>
      <c r="B789">
        <v>1</v>
      </c>
      <c r="C789">
        <v>0</v>
      </c>
      <c r="D789">
        <v>0</v>
      </c>
      <c r="E789">
        <v>65</v>
      </c>
      <c r="F789">
        <v>5</v>
      </c>
      <c r="G789">
        <v>2</v>
      </c>
    </row>
    <row r="790" spans="1:7" x14ac:dyDescent="0.3">
      <c r="A790">
        <v>366</v>
      </c>
      <c r="B790">
        <v>1</v>
      </c>
      <c r="C790">
        <v>4</v>
      </c>
      <c r="D790">
        <v>0</v>
      </c>
      <c r="E790">
        <v>238</v>
      </c>
      <c r="F790">
        <v>1</v>
      </c>
      <c r="G790">
        <v>6</v>
      </c>
    </row>
    <row r="791" spans="1:7" x14ac:dyDescent="0.3">
      <c r="A791">
        <v>179</v>
      </c>
      <c r="B791">
        <v>2</v>
      </c>
      <c r="C791">
        <v>4</v>
      </c>
      <c r="D791">
        <v>1</v>
      </c>
      <c r="E791">
        <v>282</v>
      </c>
      <c r="F791">
        <v>1</v>
      </c>
      <c r="G791">
        <v>2</v>
      </c>
    </row>
    <row r="792" spans="1:7" x14ac:dyDescent="0.3">
      <c r="A792">
        <v>328</v>
      </c>
      <c r="B792">
        <v>1</v>
      </c>
      <c r="C792">
        <v>4</v>
      </c>
      <c r="D792">
        <v>1</v>
      </c>
      <c r="E792">
        <v>286</v>
      </c>
      <c r="F792">
        <v>1</v>
      </c>
      <c r="G792">
        <v>8</v>
      </c>
    </row>
    <row r="793" spans="1:7" x14ac:dyDescent="0.3">
      <c r="A793">
        <v>165</v>
      </c>
      <c r="B793">
        <v>1</v>
      </c>
      <c r="C793">
        <v>4</v>
      </c>
      <c r="D793">
        <v>0</v>
      </c>
      <c r="E793">
        <v>216</v>
      </c>
      <c r="F793">
        <v>30</v>
      </c>
      <c r="G793">
        <v>4</v>
      </c>
    </row>
    <row r="794" spans="1:7" x14ac:dyDescent="0.3">
      <c r="A794">
        <v>350</v>
      </c>
      <c r="B794">
        <v>2</v>
      </c>
      <c r="C794">
        <v>4</v>
      </c>
      <c r="D794">
        <v>0</v>
      </c>
      <c r="E794">
        <v>240</v>
      </c>
      <c r="F794">
        <v>30</v>
      </c>
      <c r="G794">
        <v>5</v>
      </c>
    </row>
    <row r="795" spans="1:7" x14ac:dyDescent="0.3">
      <c r="A795">
        <v>157</v>
      </c>
      <c r="B795">
        <v>1</v>
      </c>
      <c r="C795">
        <v>4</v>
      </c>
      <c r="D795">
        <v>1</v>
      </c>
      <c r="E795">
        <v>98</v>
      </c>
      <c r="F795">
        <v>1</v>
      </c>
      <c r="G795">
        <v>2</v>
      </c>
    </row>
    <row r="796" spans="1:7" x14ac:dyDescent="0.3">
      <c r="A796">
        <v>190</v>
      </c>
      <c r="B796">
        <v>2</v>
      </c>
      <c r="C796">
        <v>0</v>
      </c>
      <c r="D796">
        <v>1</v>
      </c>
      <c r="E796">
        <v>247</v>
      </c>
      <c r="F796">
        <v>3</v>
      </c>
      <c r="G796">
        <v>9</v>
      </c>
    </row>
    <row r="797" spans="1:7" x14ac:dyDescent="0.3">
      <c r="A797">
        <v>297</v>
      </c>
      <c r="B797">
        <v>1</v>
      </c>
      <c r="C797">
        <v>4</v>
      </c>
      <c r="D797">
        <v>0</v>
      </c>
      <c r="E797">
        <v>268</v>
      </c>
      <c r="F797">
        <v>4</v>
      </c>
      <c r="G797">
        <v>4</v>
      </c>
    </row>
    <row r="798" spans="1:7" x14ac:dyDescent="0.3">
      <c r="A798">
        <v>302</v>
      </c>
      <c r="B798">
        <v>1</v>
      </c>
      <c r="C798">
        <v>4</v>
      </c>
      <c r="D798">
        <v>0</v>
      </c>
      <c r="E798">
        <v>72</v>
      </c>
      <c r="F798">
        <v>1</v>
      </c>
      <c r="G798">
        <v>4</v>
      </c>
    </row>
    <row r="799" spans="1:7" x14ac:dyDescent="0.3">
      <c r="A799">
        <v>119</v>
      </c>
      <c r="B799">
        <v>1</v>
      </c>
      <c r="C799">
        <v>4</v>
      </c>
      <c r="D799">
        <v>1</v>
      </c>
      <c r="E799">
        <v>301</v>
      </c>
      <c r="F799">
        <v>1</v>
      </c>
      <c r="G799">
        <v>2</v>
      </c>
    </row>
    <row r="800" spans="1:7" x14ac:dyDescent="0.3">
      <c r="A800">
        <v>74</v>
      </c>
      <c r="B800">
        <v>1</v>
      </c>
      <c r="C800">
        <v>0</v>
      </c>
      <c r="D800">
        <v>1</v>
      </c>
      <c r="E800">
        <v>64</v>
      </c>
      <c r="F800">
        <v>2</v>
      </c>
      <c r="G800">
        <v>2</v>
      </c>
    </row>
    <row r="801" spans="1:7" x14ac:dyDescent="0.3">
      <c r="A801">
        <v>67</v>
      </c>
      <c r="B801">
        <v>1</v>
      </c>
      <c r="C801">
        <v>0</v>
      </c>
      <c r="D801">
        <v>0</v>
      </c>
      <c r="E801">
        <v>228</v>
      </c>
      <c r="F801">
        <v>30</v>
      </c>
      <c r="G801">
        <v>4</v>
      </c>
    </row>
    <row r="802" spans="1:7" x14ac:dyDescent="0.3">
      <c r="A802">
        <v>389</v>
      </c>
      <c r="B802">
        <v>1</v>
      </c>
      <c r="C802">
        <v>4</v>
      </c>
      <c r="D802">
        <v>0</v>
      </c>
      <c r="E802">
        <v>261</v>
      </c>
      <c r="F802">
        <v>30</v>
      </c>
      <c r="G802">
        <v>12</v>
      </c>
    </row>
    <row r="803" spans="1:7" x14ac:dyDescent="0.3">
      <c r="A803">
        <v>267</v>
      </c>
      <c r="B803">
        <v>1</v>
      </c>
      <c r="C803">
        <v>4</v>
      </c>
      <c r="D803">
        <v>1</v>
      </c>
      <c r="E803">
        <v>231</v>
      </c>
      <c r="F803">
        <v>1</v>
      </c>
      <c r="G803">
        <v>2</v>
      </c>
    </row>
    <row r="804" spans="1:7" x14ac:dyDescent="0.3">
      <c r="A804">
        <v>67</v>
      </c>
      <c r="B804">
        <v>1</v>
      </c>
      <c r="C804">
        <v>0</v>
      </c>
      <c r="D804">
        <v>1</v>
      </c>
      <c r="E804">
        <v>48</v>
      </c>
      <c r="F804">
        <v>2</v>
      </c>
      <c r="G804">
        <v>2</v>
      </c>
    </row>
    <row r="805" spans="1:7" x14ac:dyDescent="0.3">
      <c r="A805">
        <v>86</v>
      </c>
      <c r="B805">
        <v>1</v>
      </c>
      <c r="C805">
        <v>0</v>
      </c>
      <c r="D805">
        <v>0</v>
      </c>
      <c r="E805">
        <v>262</v>
      </c>
      <c r="F805">
        <v>30</v>
      </c>
      <c r="G805">
        <v>4</v>
      </c>
    </row>
    <row r="806" spans="1:7" x14ac:dyDescent="0.3">
      <c r="A806">
        <v>118</v>
      </c>
      <c r="B806">
        <v>1</v>
      </c>
      <c r="C806">
        <v>4</v>
      </c>
      <c r="D806">
        <v>0</v>
      </c>
      <c r="E806">
        <v>332</v>
      </c>
      <c r="F806">
        <v>30</v>
      </c>
      <c r="G806">
        <v>2</v>
      </c>
    </row>
    <row r="807" spans="1:7" x14ac:dyDescent="0.3">
      <c r="A807">
        <v>203</v>
      </c>
      <c r="B807">
        <v>1</v>
      </c>
      <c r="C807">
        <v>4</v>
      </c>
      <c r="D807">
        <v>0</v>
      </c>
      <c r="E807">
        <v>82</v>
      </c>
      <c r="F807">
        <v>3</v>
      </c>
      <c r="G807">
        <v>2</v>
      </c>
    </row>
    <row r="808" spans="1:7" x14ac:dyDescent="0.3">
      <c r="A808">
        <v>120</v>
      </c>
      <c r="B808">
        <v>1</v>
      </c>
      <c r="C808">
        <v>4</v>
      </c>
      <c r="D808">
        <v>0</v>
      </c>
      <c r="E808">
        <v>321</v>
      </c>
      <c r="F808">
        <v>30</v>
      </c>
      <c r="G808">
        <v>2</v>
      </c>
    </row>
    <row r="809" spans="1:7" x14ac:dyDescent="0.3">
      <c r="A809">
        <v>191</v>
      </c>
      <c r="B809">
        <v>1</v>
      </c>
      <c r="C809">
        <v>4</v>
      </c>
      <c r="D809">
        <v>1</v>
      </c>
      <c r="E809">
        <v>275</v>
      </c>
      <c r="F809">
        <v>1</v>
      </c>
      <c r="G809">
        <v>4</v>
      </c>
    </row>
    <row r="810" spans="1:7" x14ac:dyDescent="0.3">
      <c r="A810">
        <v>99</v>
      </c>
      <c r="B810">
        <v>1</v>
      </c>
      <c r="C810">
        <v>0</v>
      </c>
      <c r="D810">
        <v>1</v>
      </c>
      <c r="E810">
        <v>270</v>
      </c>
      <c r="F810">
        <v>3</v>
      </c>
      <c r="G810">
        <v>3</v>
      </c>
    </row>
    <row r="811" spans="1:7" x14ac:dyDescent="0.3">
      <c r="A811">
        <v>345</v>
      </c>
      <c r="B811">
        <v>1</v>
      </c>
      <c r="C811">
        <v>4</v>
      </c>
      <c r="D811">
        <v>1</v>
      </c>
      <c r="E811">
        <v>111</v>
      </c>
      <c r="F811">
        <v>1</v>
      </c>
      <c r="G811">
        <v>4</v>
      </c>
    </row>
    <row r="812" spans="1:7" x14ac:dyDescent="0.3">
      <c r="A812">
        <v>279</v>
      </c>
      <c r="B812">
        <v>1</v>
      </c>
      <c r="C812">
        <v>4</v>
      </c>
      <c r="D812">
        <v>0</v>
      </c>
      <c r="E812">
        <v>189</v>
      </c>
      <c r="F812">
        <v>7</v>
      </c>
      <c r="G812">
        <v>3</v>
      </c>
    </row>
    <row r="813" spans="1:7" x14ac:dyDescent="0.3">
      <c r="A813">
        <v>131</v>
      </c>
      <c r="B813">
        <v>1</v>
      </c>
      <c r="C813">
        <v>4</v>
      </c>
      <c r="D813">
        <v>0</v>
      </c>
      <c r="E813">
        <v>254</v>
      </c>
      <c r="F813">
        <v>30</v>
      </c>
      <c r="G813">
        <v>5</v>
      </c>
    </row>
    <row r="814" spans="1:7" x14ac:dyDescent="0.3">
      <c r="A814">
        <v>120</v>
      </c>
      <c r="B814">
        <v>1</v>
      </c>
      <c r="C814">
        <v>4</v>
      </c>
      <c r="D814">
        <v>0</v>
      </c>
      <c r="E814">
        <v>86</v>
      </c>
      <c r="F814">
        <v>30</v>
      </c>
      <c r="G814">
        <v>4</v>
      </c>
    </row>
    <row r="815" spans="1:7" x14ac:dyDescent="0.3">
      <c r="A815">
        <v>137</v>
      </c>
      <c r="B815">
        <v>1</v>
      </c>
      <c r="C815">
        <v>4</v>
      </c>
      <c r="D815">
        <v>0</v>
      </c>
      <c r="E815">
        <v>364</v>
      </c>
      <c r="F815">
        <v>30</v>
      </c>
      <c r="G815">
        <v>4</v>
      </c>
    </row>
    <row r="816" spans="1:7" x14ac:dyDescent="0.3">
      <c r="A816">
        <v>113</v>
      </c>
      <c r="B816">
        <v>1</v>
      </c>
      <c r="C816">
        <v>4</v>
      </c>
      <c r="D816">
        <v>0</v>
      </c>
      <c r="E816">
        <v>266</v>
      </c>
      <c r="F816">
        <v>30</v>
      </c>
      <c r="G816">
        <v>2</v>
      </c>
    </row>
    <row r="817" spans="1:7" x14ac:dyDescent="0.3">
      <c r="A817">
        <v>73</v>
      </c>
      <c r="B817">
        <v>1</v>
      </c>
      <c r="C817">
        <v>0</v>
      </c>
      <c r="D817">
        <v>1</v>
      </c>
      <c r="E817">
        <v>210</v>
      </c>
      <c r="F817">
        <v>30</v>
      </c>
      <c r="G817">
        <v>1</v>
      </c>
    </row>
    <row r="818" spans="1:7" x14ac:dyDescent="0.3">
      <c r="A818">
        <v>85</v>
      </c>
      <c r="B818">
        <v>1</v>
      </c>
      <c r="C818">
        <v>0</v>
      </c>
      <c r="D818">
        <v>1</v>
      </c>
      <c r="E818">
        <v>217</v>
      </c>
      <c r="F818">
        <v>2</v>
      </c>
      <c r="G818">
        <v>2</v>
      </c>
    </row>
    <row r="819" spans="1:7" x14ac:dyDescent="0.3">
      <c r="A819">
        <v>430</v>
      </c>
      <c r="B819">
        <v>1</v>
      </c>
      <c r="C819">
        <v>4</v>
      </c>
      <c r="D819">
        <v>1</v>
      </c>
      <c r="E819">
        <v>269</v>
      </c>
      <c r="F819">
        <v>1</v>
      </c>
      <c r="G819">
        <v>8</v>
      </c>
    </row>
    <row r="820" spans="1:7" x14ac:dyDescent="0.3">
      <c r="A820">
        <v>170</v>
      </c>
      <c r="B820">
        <v>1</v>
      </c>
      <c r="C820">
        <v>4</v>
      </c>
      <c r="D820">
        <v>0</v>
      </c>
      <c r="E820">
        <v>152</v>
      </c>
      <c r="F820">
        <v>30</v>
      </c>
      <c r="G820">
        <v>2</v>
      </c>
    </row>
    <row r="821" spans="1:7" x14ac:dyDescent="0.3">
      <c r="A821">
        <v>244</v>
      </c>
      <c r="B821">
        <v>1</v>
      </c>
      <c r="C821">
        <v>4</v>
      </c>
      <c r="D821">
        <v>0</v>
      </c>
      <c r="E821">
        <v>303</v>
      </c>
      <c r="F821">
        <v>2</v>
      </c>
      <c r="G821">
        <v>4</v>
      </c>
    </row>
    <row r="822" spans="1:7" x14ac:dyDescent="0.3">
      <c r="A822">
        <v>78</v>
      </c>
      <c r="B822">
        <v>1</v>
      </c>
      <c r="C822">
        <v>4</v>
      </c>
      <c r="D822">
        <v>0</v>
      </c>
      <c r="E822">
        <v>185</v>
      </c>
      <c r="F822">
        <v>30</v>
      </c>
      <c r="G822">
        <v>1</v>
      </c>
    </row>
    <row r="823" spans="1:7" x14ac:dyDescent="0.3">
      <c r="A823">
        <v>358</v>
      </c>
      <c r="B823">
        <v>1</v>
      </c>
      <c r="C823">
        <v>4</v>
      </c>
      <c r="D823">
        <v>1</v>
      </c>
      <c r="E823">
        <v>114</v>
      </c>
      <c r="F823">
        <v>1</v>
      </c>
      <c r="G823">
        <v>4</v>
      </c>
    </row>
    <row r="824" spans="1:7" x14ac:dyDescent="0.3">
      <c r="A824">
        <v>385</v>
      </c>
      <c r="B824">
        <v>1</v>
      </c>
      <c r="C824">
        <v>4</v>
      </c>
      <c r="D824">
        <v>1</v>
      </c>
      <c r="E824">
        <v>114</v>
      </c>
      <c r="F824">
        <v>1</v>
      </c>
      <c r="G824">
        <v>2</v>
      </c>
    </row>
    <row r="825" spans="1:7" x14ac:dyDescent="0.3">
      <c r="A825">
        <v>249</v>
      </c>
      <c r="B825">
        <v>1</v>
      </c>
      <c r="C825">
        <v>4</v>
      </c>
      <c r="D825">
        <v>0</v>
      </c>
      <c r="E825">
        <v>335</v>
      </c>
      <c r="F825">
        <v>30</v>
      </c>
      <c r="G825">
        <v>2</v>
      </c>
    </row>
    <row r="826" spans="1:7" x14ac:dyDescent="0.3">
      <c r="A826">
        <v>290</v>
      </c>
      <c r="B826">
        <v>1</v>
      </c>
      <c r="C826">
        <v>4</v>
      </c>
      <c r="D826">
        <v>0</v>
      </c>
      <c r="E826">
        <v>129</v>
      </c>
      <c r="F826">
        <v>1</v>
      </c>
      <c r="G826">
        <v>5</v>
      </c>
    </row>
    <row r="827" spans="1:7" x14ac:dyDescent="0.3">
      <c r="A827">
        <v>90</v>
      </c>
      <c r="B827">
        <v>1</v>
      </c>
      <c r="C827">
        <v>4</v>
      </c>
      <c r="D827">
        <v>0</v>
      </c>
      <c r="E827">
        <v>155</v>
      </c>
      <c r="F827">
        <v>30</v>
      </c>
      <c r="G827">
        <v>3</v>
      </c>
    </row>
    <row r="828" spans="1:7" x14ac:dyDescent="0.3">
      <c r="A828">
        <v>181</v>
      </c>
      <c r="B828">
        <v>1</v>
      </c>
      <c r="C828">
        <v>2</v>
      </c>
      <c r="D828">
        <v>0</v>
      </c>
      <c r="E828">
        <v>80</v>
      </c>
      <c r="F828">
        <v>30</v>
      </c>
      <c r="G828">
        <v>2</v>
      </c>
    </row>
    <row r="829" spans="1:7" x14ac:dyDescent="0.3">
      <c r="A829">
        <v>76</v>
      </c>
      <c r="B829">
        <v>1</v>
      </c>
      <c r="C829">
        <v>0</v>
      </c>
      <c r="D829">
        <v>1</v>
      </c>
      <c r="E829">
        <v>81</v>
      </c>
      <c r="F829">
        <v>2</v>
      </c>
      <c r="G829">
        <v>2</v>
      </c>
    </row>
    <row r="830" spans="1:7" x14ac:dyDescent="0.3">
      <c r="A830">
        <v>316</v>
      </c>
      <c r="B830">
        <v>1</v>
      </c>
      <c r="C830">
        <v>4</v>
      </c>
      <c r="D830">
        <v>1</v>
      </c>
      <c r="E830">
        <v>275</v>
      </c>
      <c r="F830">
        <v>1</v>
      </c>
      <c r="G830">
        <v>2</v>
      </c>
    </row>
    <row r="831" spans="1:7" x14ac:dyDescent="0.3">
      <c r="A831">
        <v>355</v>
      </c>
      <c r="B831">
        <v>1</v>
      </c>
      <c r="C831">
        <v>4</v>
      </c>
      <c r="D831">
        <v>1</v>
      </c>
      <c r="E831">
        <v>245</v>
      </c>
      <c r="F831">
        <v>1</v>
      </c>
      <c r="G831">
        <v>2</v>
      </c>
    </row>
    <row r="832" spans="1:7" x14ac:dyDescent="0.3">
      <c r="A832">
        <v>203</v>
      </c>
      <c r="B832">
        <v>1</v>
      </c>
      <c r="C832">
        <v>4</v>
      </c>
      <c r="D832">
        <v>0</v>
      </c>
      <c r="E832">
        <v>228</v>
      </c>
      <c r="F832">
        <v>30</v>
      </c>
      <c r="G832">
        <v>2</v>
      </c>
    </row>
    <row r="833" spans="1:7" x14ac:dyDescent="0.3">
      <c r="A833">
        <v>154</v>
      </c>
      <c r="B833">
        <v>1</v>
      </c>
      <c r="C833">
        <v>4</v>
      </c>
      <c r="D833">
        <v>0</v>
      </c>
      <c r="E833">
        <v>224</v>
      </c>
      <c r="F833">
        <v>30</v>
      </c>
      <c r="G833">
        <v>2</v>
      </c>
    </row>
    <row r="834" spans="1:7" x14ac:dyDescent="0.3">
      <c r="A834">
        <v>69</v>
      </c>
      <c r="B834">
        <v>1</v>
      </c>
      <c r="C834">
        <v>0</v>
      </c>
      <c r="D834">
        <v>0</v>
      </c>
      <c r="E834">
        <v>107</v>
      </c>
      <c r="F834">
        <v>30</v>
      </c>
      <c r="G834">
        <v>2</v>
      </c>
    </row>
    <row r="835" spans="1:7" x14ac:dyDescent="0.3">
      <c r="A835">
        <v>74</v>
      </c>
      <c r="B835">
        <v>1</v>
      </c>
      <c r="C835">
        <v>4</v>
      </c>
      <c r="D835">
        <v>0</v>
      </c>
      <c r="E835">
        <v>81</v>
      </c>
      <c r="F835">
        <v>30</v>
      </c>
      <c r="G835">
        <v>2</v>
      </c>
    </row>
    <row r="836" spans="1:7" x14ac:dyDescent="0.3">
      <c r="A836">
        <v>325</v>
      </c>
      <c r="B836">
        <v>2</v>
      </c>
      <c r="C836">
        <v>2</v>
      </c>
      <c r="D836">
        <v>1</v>
      </c>
      <c r="E836">
        <v>346</v>
      </c>
      <c r="F836">
        <v>1</v>
      </c>
      <c r="G836">
        <v>2</v>
      </c>
    </row>
    <row r="837" spans="1:7" x14ac:dyDescent="0.3">
      <c r="A837">
        <v>231</v>
      </c>
      <c r="B837">
        <v>1</v>
      </c>
      <c r="C837">
        <v>4</v>
      </c>
      <c r="D837">
        <v>1</v>
      </c>
      <c r="E837">
        <v>277</v>
      </c>
      <c r="F837">
        <v>1</v>
      </c>
      <c r="G837">
        <v>4</v>
      </c>
    </row>
    <row r="838" spans="1:7" x14ac:dyDescent="0.3">
      <c r="A838">
        <v>145</v>
      </c>
      <c r="B838">
        <v>1</v>
      </c>
      <c r="C838">
        <v>4</v>
      </c>
      <c r="D838">
        <v>0</v>
      </c>
      <c r="E838">
        <v>169</v>
      </c>
      <c r="F838">
        <v>30</v>
      </c>
      <c r="G838">
        <v>2</v>
      </c>
    </row>
    <row r="839" spans="1:7" x14ac:dyDescent="0.3">
      <c r="A839">
        <v>160</v>
      </c>
      <c r="B839">
        <v>1</v>
      </c>
      <c r="C839">
        <v>4</v>
      </c>
      <c r="D839">
        <v>1</v>
      </c>
      <c r="E839">
        <v>247</v>
      </c>
      <c r="F839">
        <v>1</v>
      </c>
      <c r="G839">
        <v>1</v>
      </c>
    </row>
    <row r="840" spans="1:7" x14ac:dyDescent="0.3">
      <c r="A840">
        <v>293</v>
      </c>
      <c r="B840">
        <v>1</v>
      </c>
      <c r="C840">
        <v>4</v>
      </c>
      <c r="D840">
        <v>1</v>
      </c>
      <c r="E840">
        <v>212</v>
      </c>
      <c r="F840">
        <v>1</v>
      </c>
      <c r="G840">
        <v>2</v>
      </c>
    </row>
    <row r="841" spans="1:7" x14ac:dyDescent="0.3">
      <c r="A841">
        <v>53</v>
      </c>
      <c r="B841">
        <v>1</v>
      </c>
      <c r="C841">
        <v>4</v>
      </c>
      <c r="D841">
        <v>0</v>
      </c>
      <c r="E841">
        <v>239</v>
      </c>
      <c r="F841">
        <v>30</v>
      </c>
      <c r="G841">
        <v>1</v>
      </c>
    </row>
    <row r="842" spans="1:7" x14ac:dyDescent="0.3">
      <c r="A842">
        <v>64</v>
      </c>
      <c r="B842">
        <v>1</v>
      </c>
      <c r="C842">
        <v>4</v>
      </c>
      <c r="D842">
        <v>0</v>
      </c>
      <c r="E842">
        <v>241</v>
      </c>
      <c r="F842">
        <v>30</v>
      </c>
      <c r="G842">
        <v>1</v>
      </c>
    </row>
    <row r="843" spans="1:7" x14ac:dyDescent="0.3">
      <c r="A843">
        <v>250</v>
      </c>
      <c r="B843">
        <v>1</v>
      </c>
      <c r="C843">
        <v>4</v>
      </c>
      <c r="D843">
        <v>1</v>
      </c>
      <c r="E843">
        <v>250</v>
      </c>
      <c r="F843">
        <v>2</v>
      </c>
      <c r="G843">
        <v>2</v>
      </c>
    </row>
    <row r="844" spans="1:7" x14ac:dyDescent="0.3">
      <c r="A844">
        <v>144</v>
      </c>
      <c r="B844">
        <v>1</v>
      </c>
      <c r="C844">
        <v>4</v>
      </c>
      <c r="D844">
        <v>0</v>
      </c>
      <c r="E844">
        <v>310</v>
      </c>
      <c r="F844">
        <v>30</v>
      </c>
      <c r="G844">
        <v>3</v>
      </c>
    </row>
    <row r="845" spans="1:7" x14ac:dyDescent="0.3">
      <c r="A845">
        <v>296</v>
      </c>
      <c r="B845">
        <v>1</v>
      </c>
      <c r="C845">
        <v>4</v>
      </c>
      <c r="D845">
        <v>1</v>
      </c>
      <c r="E845">
        <v>275</v>
      </c>
      <c r="F845">
        <v>1</v>
      </c>
      <c r="G845">
        <v>2</v>
      </c>
    </row>
    <row r="846" spans="1:7" x14ac:dyDescent="0.3">
      <c r="A846">
        <v>232</v>
      </c>
      <c r="B846">
        <v>2</v>
      </c>
      <c r="C846">
        <v>2</v>
      </c>
      <c r="D846">
        <v>0</v>
      </c>
      <c r="E846">
        <v>269</v>
      </c>
      <c r="F846">
        <v>30</v>
      </c>
      <c r="G846">
        <v>10</v>
      </c>
    </row>
    <row r="847" spans="1:7" x14ac:dyDescent="0.3">
      <c r="A847">
        <v>209</v>
      </c>
      <c r="B847">
        <v>1</v>
      </c>
      <c r="C847">
        <v>4</v>
      </c>
      <c r="D847">
        <v>1</v>
      </c>
      <c r="E847">
        <v>352</v>
      </c>
      <c r="F847">
        <v>5</v>
      </c>
      <c r="G847">
        <v>2</v>
      </c>
    </row>
    <row r="848" spans="1:7" x14ac:dyDescent="0.3">
      <c r="A848">
        <v>64</v>
      </c>
      <c r="B848">
        <v>1</v>
      </c>
      <c r="C848">
        <v>4</v>
      </c>
      <c r="D848">
        <v>0</v>
      </c>
      <c r="E848">
        <v>182</v>
      </c>
      <c r="F848">
        <v>30</v>
      </c>
      <c r="G848">
        <v>1</v>
      </c>
    </row>
    <row r="849" spans="1:7" x14ac:dyDescent="0.3">
      <c r="A849">
        <v>132</v>
      </c>
      <c r="B849">
        <v>1</v>
      </c>
      <c r="C849">
        <v>4</v>
      </c>
      <c r="D849">
        <v>0</v>
      </c>
      <c r="E849">
        <v>347</v>
      </c>
      <c r="F849">
        <v>30</v>
      </c>
      <c r="G849">
        <v>2</v>
      </c>
    </row>
    <row r="850" spans="1:7" x14ac:dyDescent="0.3">
      <c r="A850">
        <v>90</v>
      </c>
      <c r="B850">
        <v>1</v>
      </c>
      <c r="C850">
        <v>0</v>
      </c>
      <c r="D850">
        <v>1</v>
      </c>
      <c r="E850">
        <v>350</v>
      </c>
      <c r="F850">
        <v>1</v>
      </c>
      <c r="G850">
        <v>2</v>
      </c>
    </row>
    <row r="851" spans="1:7" x14ac:dyDescent="0.3">
      <c r="A851">
        <v>81</v>
      </c>
      <c r="B851">
        <v>1</v>
      </c>
      <c r="C851">
        <v>4</v>
      </c>
      <c r="D851">
        <v>0</v>
      </c>
      <c r="E851">
        <v>63</v>
      </c>
      <c r="F851">
        <v>30</v>
      </c>
      <c r="G851">
        <v>1</v>
      </c>
    </row>
    <row r="852" spans="1:7" x14ac:dyDescent="0.3">
      <c r="A852">
        <v>57</v>
      </c>
      <c r="B852">
        <v>1</v>
      </c>
      <c r="C852">
        <v>4</v>
      </c>
      <c r="D852">
        <v>0</v>
      </c>
      <c r="E852">
        <v>56</v>
      </c>
      <c r="F852">
        <v>30</v>
      </c>
      <c r="G852">
        <v>1</v>
      </c>
    </row>
    <row r="853" spans="1:7" x14ac:dyDescent="0.3">
      <c r="A853">
        <v>388</v>
      </c>
      <c r="B853">
        <v>2</v>
      </c>
      <c r="C853">
        <v>4</v>
      </c>
      <c r="D853">
        <v>0</v>
      </c>
      <c r="E853">
        <v>227</v>
      </c>
      <c r="F853">
        <v>30</v>
      </c>
      <c r="G853">
        <v>5</v>
      </c>
    </row>
    <row r="854" spans="1:7" x14ac:dyDescent="0.3">
      <c r="A854">
        <v>318</v>
      </c>
      <c r="B854">
        <v>1</v>
      </c>
      <c r="C854">
        <v>4</v>
      </c>
      <c r="D854">
        <v>0</v>
      </c>
      <c r="E854">
        <v>248</v>
      </c>
      <c r="F854">
        <v>30</v>
      </c>
      <c r="G854">
        <v>5</v>
      </c>
    </row>
    <row r="855" spans="1:7" x14ac:dyDescent="0.3">
      <c r="A855">
        <v>74</v>
      </c>
      <c r="B855">
        <v>1</v>
      </c>
      <c r="C855">
        <v>4</v>
      </c>
      <c r="D855">
        <v>1</v>
      </c>
      <c r="E855">
        <v>89</v>
      </c>
      <c r="F855">
        <v>30</v>
      </c>
      <c r="G855">
        <v>1</v>
      </c>
    </row>
    <row r="856" spans="1:7" x14ac:dyDescent="0.3">
      <c r="A856">
        <v>57</v>
      </c>
      <c r="B856">
        <v>1</v>
      </c>
      <c r="C856">
        <v>4</v>
      </c>
      <c r="D856">
        <v>0</v>
      </c>
      <c r="E856">
        <v>262</v>
      </c>
      <c r="F856">
        <v>30</v>
      </c>
      <c r="G856">
        <v>1</v>
      </c>
    </row>
    <row r="857" spans="1:7" x14ac:dyDescent="0.3">
      <c r="A857">
        <v>120</v>
      </c>
      <c r="B857">
        <v>1</v>
      </c>
      <c r="C857">
        <v>4</v>
      </c>
      <c r="D857">
        <v>1</v>
      </c>
      <c r="E857">
        <v>286</v>
      </c>
      <c r="F857">
        <v>1</v>
      </c>
      <c r="G857">
        <v>3</v>
      </c>
    </row>
    <row r="858" spans="1:7" x14ac:dyDescent="0.3">
      <c r="A858">
        <v>232</v>
      </c>
      <c r="B858">
        <v>1</v>
      </c>
      <c r="C858">
        <v>4</v>
      </c>
      <c r="D858">
        <v>0</v>
      </c>
      <c r="E858">
        <v>181</v>
      </c>
      <c r="F858">
        <v>30</v>
      </c>
      <c r="G858">
        <v>3</v>
      </c>
    </row>
    <row r="859" spans="1:7" x14ac:dyDescent="0.3">
      <c r="A859">
        <v>130</v>
      </c>
      <c r="B859">
        <v>1</v>
      </c>
      <c r="C859">
        <v>4</v>
      </c>
      <c r="D859">
        <v>1</v>
      </c>
      <c r="E859">
        <v>254</v>
      </c>
      <c r="F859">
        <v>5</v>
      </c>
      <c r="G859">
        <v>2</v>
      </c>
    </row>
    <row r="860" spans="1:7" x14ac:dyDescent="0.3">
      <c r="A860">
        <v>109</v>
      </c>
      <c r="B860">
        <v>1</v>
      </c>
      <c r="C860">
        <v>0</v>
      </c>
      <c r="D860">
        <v>1</v>
      </c>
      <c r="E860">
        <v>350</v>
      </c>
      <c r="F860">
        <v>3</v>
      </c>
      <c r="G860">
        <v>2</v>
      </c>
    </row>
    <row r="861" spans="1:7" x14ac:dyDescent="0.3">
      <c r="A861">
        <v>96</v>
      </c>
      <c r="B861">
        <v>1</v>
      </c>
      <c r="C861">
        <v>0</v>
      </c>
      <c r="D861">
        <v>0</v>
      </c>
      <c r="E861">
        <v>358</v>
      </c>
      <c r="F861">
        <v>30</v>
      </c>
      <c r="G861">
        <v>2</v>
      </c>
    </row>
    <row r="862" spans="1:7" x14ac:dyDescent="0.3">
      <c r="A862">
        <v>197</v>
      </c>
      <c r="B862">
        <v>1</v>
      </c>
      <c r="C862">
        <v>4</v>
      </c>
      <c r="D862">
        <v>0</v>
      </c>
      <c r="E862">
        <v>80</v>
      </c>
      <c r="F862">
        <v>1</v>
      </c>
      <c r="G862">
        <v>5</v>
      </c>
    </row>
    <row r="863" spans="1:7" x14ac:dyDescent="0.3">
      <c r="A863">
        <v>58</v>
      </c>
      <c r="B863">
        <v>1</v>
      </c>
      <c r="C863">
        <v>4</v>
      </c>
      <c r="D863">
        <v>1</v>
      </c>
      <c r="E863">
        <v>239</v>
      </c>
      <c r="F863">
        <v>30</v>
      </c>
      <c r="G863">
        <v>1</v>
      </c>
    </row>
    <row r="864" spans="1:7" x14ac:dyDescent="0.3">
      <c r="A864">
        <v>140</v>
      </c>
      <c r="B864">
        <v>1</v>
      </c>
      <c r="C864">
        <v>0</v>
      </c>
      <c r="D864">
        <v>0</v>
      </c>
      <c r="E864">
        <v>185</v>
      </c>
      <c r="F864">
        <v>30</v>
      </c>
      <c r="G864">
        <v>2</v>
      </c>
    </row>
    <row r="865" spans="1:7" x14ac:dyDescent="0.3">
      <c r="A865">
        <v>262</v>
      </c>
      <c r="B865">
        <v>1</v>
      </c>
      <c r="C865">
        <v>4</v>
      </c>
      <c r="D865">
        <v>1</v>
      </c>
      <c r="E865">
        <v>356</v>
      </c>
      <c r="F865">
        <v>1</v>
      </c>
      <c r="G865">
        <v>2</v>
      </c>
    </row>
    <row r="866" spans="1:7" x14ac:dyDescent="0.3">
      <c r="A866">
        <v>209</v>
      </c>
      <c r="B866">
        <v>1</v>
      </c>
      <c r="C866">
        <v>4</v>
      </c>
      <c r="D866">
        <v>1</v>
      </c>
      <c r="E866">
        <v>278</v>
      </c>
      <c r="F866">
        <v>1</v>
      </c>
      <c r="G866">
        <v>2</v>
      </c>
    </row>
    <row r="867" spans="1:7" x14ac:dyDescent="0.3">
      <c r="A867">
        <v>233</v>
      </c>
      <c r="B867">
        <v>1</v>
      </c>
      <c r="C867">
        <v>0</v>
      </c>
      <c r="D867">
        <v>1</v>
      </c>
      <c r="E867">
        <v>114</v>
      </c>
      <c r="F867">
        <v>1</v>
      </c>
      <c r="G867">
        <v>2</v>
      </c>
    </row>
    <row r="868" spans="1:7" x14ac:dyDescent="0.3">
      <c r="A868">
        <v>377</v>
      </c>
      <c r="B868">
        <v>1</v>
      </c>
      <c r="C868">
        <v>4</v>
      </c>
      <c r="D868">
        <v>1</v>
      </c>
      <c r="E868">
        <v>241</v>
      </c>
      <c r="F868">
        <v>1</v>
      </c>
      <c r="G868">
        <v>2</v>
      </c>
    </row>
    <row r="869" spans="1:7" x14ac:dyDescent="0.3">
      <c r="A869">
        <v>302</v>
      </c>
      <c r="B869">
        <v>1</v>
      </c>
      <c r="C869">
        <v>4</v>
      </c>
      <c r="D869">
        <v>0</v>
      </c>
      <c r="E869">
        <v>90</v>
      </c>
      <c r="F869">
        <v>2</v>
      </c>
      <c r="G869">
        <v>2</v>
      </c>
    </row>
    <row r="870" spans="1:7" x14ac:dyDescent="0.3">
      <c r="A870">
        <v>67</v>
      </c>
      <c r="B870">
        <v>1</v>
      </c>
      <c r="C870">
        <v>4</v>
      </c>
      <c r="D870">
        <v>0</v>
      </c>
      <c r="E870">
        <v>125</v>
      </c>
      <c r="F870">
        <v>30</v>
      </c>
      <c r="G870">
        <v>1</v>
      </c>
    </row>
    <row r="871" spans="1:7" x14ac:dyDescent="0.3">
      <c r="A871">
        <v>57</v>
      </c>
      <c r="B871">
        <v>1</v>
      </c>
      <c r="C871">
        <v>4</v>
      </c>
      <c r="D871">
        <v>0</v>
      </c>
      <c r="E871">
        <v>165</v>
      </c>
      <c r="F871">
        <v>30</v>
      </c>
      <c r="G871">
        <v>1</v>
      </c>
    </row>
    <row r="872" spans="1:7" x14ac:dyDescent="0.3">
      <c r="A872">
        <v>317</v>
      </c>
      <c r="B872">
        <v>1</v>
      </c>
      <c r="C872">
        <v>4</v>
      </c>
      <c r="D872">
        <v>1</v>
      </c>
      <c r="E872">
        <v>112</v>
      </c>
      <c r="F872">
        <v>1</v>
      </c>
      <c r="G872">
        <v>2</v>
      </c>
    </row>
    <row r="873" spans="1:7" x14ac:dyDescent="0.3">
      <c r="A873">
        <v>120</v>
      </c>
      <c r="B873">
        <v>1</v>
      </c>
      <c r="C873">
        <v>4</v>
      </c>
      <c r="D873">
        <v>0</v>
      </c>
      <c r="E873">
        <v>326</v>
      </c>
      <c r="F873">
        <v>30</v>
      </c>
      <c r="G873">
        <v>2</v>
      </c>
    </row>
    <row r="874" spans="1:7" x14ac:dyDescent="0.3">
      <c r="A874">
        <v>300</v>
      </c>
      <c r="B874">
        <v>1</v>
      </c>
      <c r="C874">
        <v>4</v>
      </c>
      <c r="D874">
        <v>1</v>
      </c>
      <c r="E874">
        <v>82</v>
      </c>
      <c r="F874">
        <v>1</v>
      </c>
      <c r="G874">
        <v>2</v>
      </c>
    </row>
    <row r="875" spans="1:7" x14ac:dyDescent="0.3">
      <c r="A875">
        <v>150</v>
      </c>
      <c r="B875">
        <v>1</v>
      </c>
      <c r="C875">
        <v>4</v>
      </c>
      <c r="D875">
        <v>1</v>
      </c>
      <c r="E875">
        <v>290</v>
      </c>
      <c r="F875">
        <v>1</v>
      </c>
      <c r="G875">
        <v>4</v>
      </c>
    </row>
    <row r="876" spans="1:7" x14ac:dyDescent="0.3">
      <c r="A876">
        <v>189</v>
      </c>
      <c r="B876">
        <v>2.5</v>
      </c>
      <c r="C876">
        <v>2</v>
      </c>
      <c r="D876">
        <v>0</v>
      </c>
      <c r="E876">
        <v>351</v>
      </c>
      <c r="F876">
        <v>30</v>
      </c>
      <c r="G876">
        <v>8</v>
      </c>
    </row>
    <row r="877" spans="1:7" x14ac:dyDescent="0.3">
      <c r="A877">
        <v>169</v>
      </c>
      <c r="B877">
        <v>1</v>
      </c>
      <c r="C877">
        <v>4</v>
      </c>
      <c r="D877">
        <v>1</v>
      </c>
      <c r="E877">
        <v>281</v>
      </c>
      <c r="F877">
        <v>1</v>
      </c>
      <c r="G877">
        <v>3</v>
      </c>
    </row>
    <row r="878" spans="1:7" x14ac:dyDescent="0.3">
      <c r="A878">
        <v>68</v>
      </c>
      <c r="B878">
        <v>1</v>
      </c>
      <c r="C878">
        <v>0</v>
      </c>
      <c r="D878">
        <v>1</v>
      </c>
      <c r="E878">
        <v>329</v>
      </c>
      <c r="F878">
        <v>3</v>
      </c>
      <c r="G878">
        <v>1</v>
      </c>
    </row>
    <row r="879" spans="1:7" x14ac:dyDescent="0.3">
      <c r="A879">
        <v>74</v>
      </c>
      <c r="B879">
        <v>1</v>
      </c>
      <c r="C879">
        <v>0</v>
      </c>
      <c r="D879">
        <v>1</v>
      </c>
      <c r="E879">
        <v>187</v>
      </c>
      <c r="F879">
        <v>10</v>
      </c>
      <c r="G879">
        <v>2</v>
      </c>
    </row>
    <row r="880" spans="1:7" x14ac:dyDescent="0.3">
      <c r="A880">
        <v>53</v>
      </c>
      <c r="B880">
        <v>1</v>
      </c>
      <c r="C880">
        <v>4</v>
      </c>
      <c r="D880">
        <v>0</v>
      </c>
      <c r="E880">
        <v>286</v>
      </c>
      <c r="F880">
        <v>30</v>
      </c>
      <c r="G880">
        <v>1</v>
      </c>
    </row>
    <row r="881" spans="1:7" x14ac:dyDescent="0.3">
      <c r="A881">
        <v>81</v>
      </c>
      <c r="B881">
        <v>1</v>
      </c>
      <c r="C881">
        <v>0</v>
      </c>
      <c r="D881">
        <v>0</v>
      </c>
      <c r="E881">
        <v>120</v>
      </c>
      <c r="F881">
        <v>30</v>
      </c>
      <c r="G881">
        <v>2</v>
      </c>
    </row>
    <row r="882" spans="1:7" x14ac:dyDescent="0.3">
      <c r="A882">
        <v>66</v>
      </c>
      <c r="B882">
        <v>1</v>
      </c>
      <c r="C882">
        <v>4</v>
      </c>
      <c r="D882">
        <v>0</v>
      </c>
      <c r="E882">
        <v>177</v>
      </c>
      <c r="F882">
        <v>30</v>
      </c>
      <c r="G882">
        <v>1</v>
      </c>
    </row>
    <row r="883" spans="1:7" x14ac:dyDescent="0.3">
      <c r="A883">
        <v>385</v>
      </c>
      <c r="B883">
        <v>2</v>
      </c>
      <c r="C883">
        <v>4</v>
      </c>
      <c r="D883">
        <v>0</v>
      </c>
      <c r="E883">
        <v>58</v>
      </c>
      <c r="F883">
        <v>3</v>
      </c>
      <c r="G883">
        <v>8</v>
      </c>
    </row>
    <row r="884" spans="1:7" x14ac:dyDescent="0.3">
      <c r="A884">
        <v>161</v>
      </c>
      <c r="B884">
        <v>1</v>
      </c>
      <c r="C884">
        <v>4</v>
      </c>
      <c r="D884">
        <v>1</v>
      </c>
      <c r="E884">
        <v>285</v>
      </c>
      <c r="F884">
        <v>1</v>
      </c>
      <c r="G884">
        <v>3</v>
      </c>
    </row>
    <row r="885" spans="1:7" x14ac:dyDescent="0.3">
      <c r="A885">
        <v>350</v>
      </c>
      <c r="B885">
        <v>1</v>
      </c>
      <c r="C885">
        <v>4</v>
      </c>
      <c r="D885">
        <v>0</v>
      </c>
      <c r="E885">
        <v>324</v>
      </c>
      <c r="F885">
        <v>30</v>
      </c>
      <c r="G885">
        <v>4</v>
      </c>
    </row>
    <row r="886" spans="1:7" x14ac:dyDescent="0.3">
      <c r="A886">
        <v>298</v>
      </c>
      <c r="B886">
        <v>1</v>
      </c>
      <c r="C886">
        <v>4</v>
      </c>
      <c r="D886">
        <v>1</v>
      </c>
      <c r="E886">
        <v>96</v>
      </c>
      <c r="F886">
        <v>1</v>
      </c>
      <c r="G886">
        <v>2</v>
      </c>
    </row>
    <row r="887" spans="1:7" x14ac:dyDescent="0.3">
      <c r="A887">
        <v>178</v>
      </c>
      <c r="B887">
        <v>1</v>
      </c>
      <c r="C887">
        <v>2</v>
      </c>
      <c r="D887">
        <v>0</v>
      </c>
      <c r="E887">
        <v>344</v>
      </c>
      <c r="F887">
        <v>3</v>
      </c>
      <c r="G887">
        <v>2</v>
      </c>
    </row>
    <row r="888" spans="1:7" x14ac:dyDescent="0.3">
      <c r="A888">
        <v>54</v>
      </c>
      <c r="B888">
        <v>1</v>
      </c>
      <c r="C888">
        <v>2</v>
      </c>
      <c r="D888">
        <v>1</v>
      </c>
      <c r="E888">
        <v>125</v>
      </c>
      <c r="F888">
        <v>30</v>
      </c>
      <c r="G888">
        <v>1</v>
      </c>
    </row>
    <row r="889" spans="1:7" x14ac:dyDescent="0.3">
      <c r="A889">
        <v>132</v>
      </c>
      <c r="B889">
        <v>1</v>
      </c>
      <c r="C889">
        <v>4</v>
      </c>
      <c r="D889">
        <v>1</v>
      </c>
      <c r="E889">
        <v>277</v>
      </c>
      <c r="F889">
        <v>1</v>
      </c>
      <c r="G889">
        <v>3</v>
      </c>
    </row>
    <row r="890" spans="1:7" x14ac:dyDescent="0.3">
      <c r="A890">
        <v>189</v>
      </c>
      <c r="B890">
        <v>1</v>
      </c>
      <c r="C890">
        <v>4</v>
      </c>
      <c r="D890">
        <v>0</v>
      </c>
      <c r="E890">
        <v>233</v>
      </c>
      <c r="F890">
        <v>30</v>
      </c>
      <c r="G890">
        <v>2</v>
      </c>
    </row>
    <row r="891" spans="1:7" x14ac:dyDescent="0.3">
      <c r="A891">
        <v>192</v>
      </c>
      <c r="B891">
        <v>1</v>
      </c>
      <c r="C891">
        <v>4</v>
      </c>
      <c r="D891">
        <v>1</v>
      </c>
      <c r="E891">
        <v>292</v>
      </c>
      <c r="F891">
        <v>1</v>
      </c>
      <c r="G891">
        <v>4</v>
      </c>
    </row>
    <row r="892" spans="1:7" x14ac:dyDescent="0.3">
      <c r="A892">
        <v>134</v>
      </c>
      <c r="B892">
        <v>1</v>
      </c>
      <c r="C892">
        <v>4</v>
      </c>
      <c r="D892">
        <v>1</v>
      </c>
      <c r="E892">
        <v>292</v>
      </c>
      <c r="F892">
        <v>1</v>
      </c>
      <c r="G892">
        <v>4</v>
      </c>
    </row>
    <row r="893" spans="1:7" x14ac:dyDescent="0.3">
      <c r="A893">
        <v>189</v>
      </c>
      <c r="B893">
        <v>1</v>
      </c>
      <c r="C893">
        <v>4</v>
      </c>
      <c r="D893">
        <v>0</v>
      </c>
      <c r="E893">
        <v>263</v>
      </c>
      <c r="F893">
        <v>30</v>
      </c>
      <c r="G893">
        <v>2</v>
      </c>
    </row>
    <row r="894" spans="1:7" x14ac:dyDescent="0.3">
      <c r="A894">
        <v>185</v>
      </c>
      <c r="B894">
        <v>1</v>
      </c>
      <c r="C894">
        <v>4</v>
      </c>
      <c r="D894">
        <v>0</v>
      </c>
      <c r="E894">
        <v>178</v>
      </c>
      <c r="F894">
        <v>30</v>
      </c>
      <c r="G894">
        <v>2</v>
      </c>
    </row>
    <row r="895" spans="1:7" x14ac:dyDescent="0.3">
      <c r="A895">
        <v>120</v>
      </c>
      <c r="B895">
        <v>2</v>
      </c>
      <c r="C895">
        <v>2</v>
      </c>
      <c r="D895">
        <v>1</v>
      </c>
      <c r="E895">
        <v>257</v>
      </c>
      <c r="F895">
        <v>5</v>
      </c>
      <c r="G895">
        <v>2</v>
      </c>
    </row>
    <row r="896" spans="1:7" x14ac:dyDescent="0.3">
      <c r="A896">
        <v>146</v>
      </c>
      <c r="B896">
        <v>2</v>
      </c>
      <c r="C896">
        <v>2</v>
      </c>
      <c r="D896">
        <v>1</v>
      </c>
      <c r="E896">
        <v>265</v>
      </c>
      <c r="F896">
        <v>5</v>
      </c>
      <c r="G896">
        <v>2</v>
      </c>
    </row>
    <row r="897" spans="1:7" x14ac:dyDescent="0.3">
      <c r="A897">
        <v>79</v>
      </c>
      <c r="B897">
        <v>2</v>
      </c>
      <c r="C897">
        <v>4</v>
      </c>
      <c r="D897">
        <v>1</v>
      </c>
      <c r="E897">
        <v>269</v>
      </c>
      <c r="F897">
        <v>30</v>
      </c>
      <c r="G897">
        <v>2</v>
      </c>
    </row>
    <row r="898" spans="1:7" x14ac:dyDescent="0.3">
      <c r="A898">
        <v>127</v>
      </c>
      <c r="B898">
        <v>1</v>
      </c>
      <c r="C898">
        <v>4</v>
      </c>
      <c r="D898">
        <v>0</v>
      </c>
      <c r="E898">
        <v>364</v>
      </c>
      <c r="F898">
        <v>30</v>
      </c>
      <c r="G898">
        <v>3</v>
      </c>
    </row>
    <row r="899" spans="1:7" x14ac:dyDescent="0.3">
      <c r="A899">
        <v>110</v>
      </c>
      <c r="B899">
        <v>1</v>
      </c>
      <c r="C899">
        <v>2</v>
      </c>
      <c r="D899">
        <v>1</v>
      </c>
      <c r="E899">
        <v>269</v>
      </c>
      <c r="F899">
        <v>5</v>
      </c>
      <c r="G899">
        <v>2</v>
      </c>
    </row>
    <row r="900" spans="1:7" x14ac:dyDescent="0.3">
      <c r="A900">
        <v>163</v>
      </c>
      <c r="B900">
        <v>2</v>
      </c>
      <c r="C900">
        <v>2</v>
      </c>
      <c r="D900">
        <v>1</v>
      </c>
      <c r="E900">
        <v>263</v>
      </c>
      <c r="F900">
        <v>5</v>
      </c>
      <c r="G900">
        <v>2</v>
      </c>
    </row>
    <row r="901" spans="1:7" x14ac:dyDescent="0.3">
      <c r="A901">
        <v>141</v>
      </c>
      <c r="B901">
        <v>1</v>
      </c>
      <c r="C901">
        <v>4</v>
      </c>
      <c r="D901">
        <v>0</v>
      </c>
      <c r="E901">
        <v>259</v>
      </c>
      <c r="F901">
        <v>30</v>
      </c>
      <c r="G901">
        <v>2</v>
      </c>
    </row>
    <row r="902" spans="1:7" x14ac:dyDescent="0.3">
      <c r="A902">
        <v>233</v>
      </c>
      <c r="B902">
        <v>1</v>
      </c>
      <c r="C902">
        <v>4</v>
      </c>
      <c r="D902">
        <v>0</v>
      </c>
      <c r="E902">
        <v>215</v>
      </c>
      <c r="F902">
        <v>30</v>
      </c>
      <c r="G902">
        <v>4</v>
      </c>
    </row>
    <row r="903" spans="1:7" x14ac:dyDescent="0.3">
      <c r="A903">
        <v>208</v>
      </c>
      <c r="B903">
        <v>1</v>
      </c>
      <c r="C903">
        <v>4</v>
      </c>
      <c r="D903">
        <v>1</v>
      </c>
      <c r="E903">
        <v>275</v>
      </c>
      <c r="F903">
        <v>1</v>
      </c>
      <c r="G903">
        <v>2</v>
      </c>
    </row>
    <row r="904" spans="1:7" x14ac:dyDescent="0.3">
      <c r="A904">
        <v>116</v>
      </c>
      <c r="B904">
        <v>1</v>
      </c>
      <c r="C904">
        <v>2</v>
      </c>
      <c r="D904">
        <v>1</v>
      </c>
      <c r="E904">
        <v>264</v>
      </c>
      <c r="F904">
        <v>5</v>
      </c>
      <c r="G904">
        <v>2</v>
      </c>
    </row>
    <row r="905" spans="1:7" x14ac:dyDescent="0.3">
      <c r="A905">
        <v>198</v>
      </c>
      <c r="B905">
        <v>1</v>
      </c>
      <c r="C905">
        <v>4</v>
      </c>
      <c r="D905">
        <v>0</v>
      </c>
      <c r="E905">
        <v>139</v>
      </c>
      <c r="F905">
        <v>5</v>
      </c>
      <c r="G905">
        <v>2</v>
      </c>
    </row>
    <row r="906" spans="1:7" x14ac:dyDescent="0.3">
      <c r="A906">
        <v>51</v>
      </c>
      <c r="B906">
        <v>1</v>
      </c>
      <c r="C906">
        <v>2</v>
      </c>
      <c r="D906">
        <v>1</v>
      </c>
      <c r="E906">
        <v>153</v>
      </c>
      <c r="F906">
        <v>30</v>
      </c>
      <c r="G906">
        <v>2</v>
      </c>
    </row>
    <row r="907" spans="1:7" x14ac:dyDescent="0.3">
      <c r="A907">
        <v>120</v>
      </c>
      <c r="B907">
        <v>1</v>
      </c>
      <c r="C907">
        <v>2</v>
      </c>
      <c r="D907">
        <v>1</v>
      </c>
      <c r="E907">
        <v>365</v>
      </c>
      <c r="F907">
        <v>5</v>
      </c>
      <c r="G907">
        <v>2</v>
      </c>
    </row>
    <row r="908" spans="1:7" x14ac:dyDescent="0.3">
      <c r="A908">
        <v>361</v>
      </c>
      <c r="B908">
        <v>2</v>
      </c>
      <c r="C908">
        <v>2</v>
      </c>
      <c r="D908">
        <v>0</v>
      </c>
      <c r="E908">
        <v>140</v>
      </c>
      <c r="F908">
        <v>3</v>
      </c>
      <c r="G908">
        <v>6</v>
      </c>
    </row>
    <row r="909" spans="1:7" x14ac:dyDescent="0.3">
      <c r="A909">
        <v>99</v>
      </c>
      <c r="B909">
        <v>1</v>
      </c>
      <c r="C909">
        <v>4</v>
      </c>
      <c r="D909">
        <v>1</v>
      </c>
      <c r="E909">
        <v>121</v>
      </c>
      <c r="F909">
        <v>1</v>
      </c>
      <c r="G909">
        <v>2</v>
      </c>
    </row>
    <row r="910" spans="1:7" x14ac:dyDescent="0.3">
      <c r="A910">
        <v>183</v>
      </c>
      <c r="B910">
        <v>1</v>
      </c>
      <c r="C910">
        <v>4</v>
      </c>
      <c r="D910">
        <v>0</v>
      </c>
      <c r="E910">
        <v>86</v>
      </c>
      <c r="F910">
        <v>30</v>
      </c>
      <c r="G910">
        <v>2</v>
      </c>
    </row>
    <row r="911" spans="1:7" x14ac:dyDescent="0.3">
      <c r="A911">
        <v>109</v>
      </c>
      <c r="B911">
        <v>1.5</v>
      </c>
      <c r="C911">
        <v>2</v>
      </c>
      <c r="D911">
        <v>1</v>
      </c>
      <c r="E911">
        <v>183</v>
      </c>
      <c r="F911">
        <v>30</v>
      </c>
      <c r="G911">
        <v>2</v>
      </c>
    </row>
    <row r="912" spans="1:7" x14ac:dyDescent="0.3">
      <c r="A912">
        <v>199</v>
      </c>
      <c r="B912">
        <v>1</v>
      </c>
      <c r="C912">
        <v>4</v>
      </c>
      <c r="D912">
        <v>0</v>
      </c>
      <c r="E912">
        <v>237</v>
      </c>
      <c r="F912">
        <v>30</v>
      </c>
      <c r="G912">
        <v>3</v>
      </c>
    </row>
    <row r="913" spans="1:7" x14ac:dyDescent="0.3">
      <c r="A913">
        <v>61</v>
      </c>
      <c r="B913">
        <v>1.5</v>
      </c>
      <c r="C913">
        <v>2</v>
      </c>
      <c r="D913">
        <v>1</v>
      </c>
      <c r="E913">
        <v>199</v>
      </c>
      <c r="F913">
        <v>30</v>
      </c>
      <c r="G913">
        <v>1</v>
      </c>
    </row>
    <row r="914" spans="1:7" x14ac:dyDescent="0.3">
      <c r="A914">
        <v>119</v>
      </c>
      <c r="B914">
        <v>1</v>
      </c>
      <c r="C914">
        <v>2</v>
      </c>
      <c r="D914">
        <v>1</v>
      </c>
      <c r="E914">
        <v>238</v>
      </c>
      <c r="F914">
        <v>1</v>
      </c>
      <c r="G914">
        <v>2</v>
      </c>
    </row>
    <row r="915" spans="1:7" x14ac:dyDescent="0.3">
      <c r="A915">
        <v>116</v>
      </c>
      <c r="B915">
        <v>1</v>
      </c>
      <c r="C915">
        <v>2</v>
      </c>
      <c r="D915">
        <v>0</v>
      </c>
      <c r="E915">
        <v>249</v>
      </c>
      <c r="F915">
        <v>1</v>
      </c>
      <c r="G915">
        <v>2</v>
      </c>
    </row>
    <row r="916" spans="1:7" x14ac:dyDescent="0.3">
      <c r="A916">
        <v>184</v>
      </c>
      <c r="B916">
        <v>1</v>
      </c>
      <c r="C916">
        <v>2</v>
      </c>
      <c r="D916">
        <v>0</v>
      </c>
      <c r="E916">
        <v>95</v>
      </c>
      <c r="F916">
        <v>30</v>
      </c>
      <c r="G916">
        <v>2</v>
      </c>
    </row>
    <row r="917" spans="1:7" x14ac:dyDescent="0.3">
      <c r="A917">
        <v>128</v>
      </c>
      <c r="B917">
        <v>1</v>
      </c>
      <c r="C917">
        <v>2</v>
      </c>
      <c r="D917">
        <v>0</v>
      </c>
      <c r="E917">
        <v>127</v>
      </c>
      <c r="F917">
        <v>1</v>
      </c>
      <c r="G917">
        <v>2</v>
      </c>
    </row>
    <row r="918" spans="1:7" x14ac:dyDescent="0.3">
      <c r="A918">
        <v>139</v>
      </c>
      <c r="B918">
        <v>1</v>
      </c>
      <c r="C918">
        <v>2</v>
      </c>
      <c r="D918">
        <v>0</v>
      </c>
      <c r="E918">
        <v>341</v>
      </c>
      <c r="F918">
        <v>1</v>
      </c>
      <c r="G918">
        <v>2</v>
      </c>
    </row>
    <row r="919" spans="1:7" x14ac:dyDescent="0.3">
      <c r="A919">
        <v>128</v>
      </c>
      <c r="B919">
        <v>1</v>
      </c>
      <c r="C919">
        <v>2</v>
      </c>
      <c r="D919">
        <v>0</v>
      </c>
      <c r="E919">
        <v>339</v>
      </c>
      <c r="F919">
        <v>1</v>
      </c>
      <c r="G919">
        <v>2</v>
      </c>
    </row>
    <row r="920" spans="1:7" x14ac:dyDescent="0.3">
      <c r="A920">
        <v>53</v>
      </c>
      <c r="B920">
        <v>1</v>
      </c>
      <c r="C920">
        <v>4</v>
      </c>
      <c r="D920">
        <v>0</v>
      </c>
      <c r="E920">
        <v>286</v>
      </c>
      <c r="F920">
        <v>30</v>
      </c>
      <c r="G920">
        <v>1</v>
      </c>
    </row>
    <row r="921" spans="1:7" x14ac:dyDescent="0.3">
      <c r="A921">
        <v>129</v>
      </c>
      <c r="B921">
        <v>1</v>
      </c>
      <c r="C921">
        <v>0</v>
      </c>
      <c r="D921">
        <v>0</v>
      </c>
      <c r="E921">
        <v>58</v>
      </c>
      <c r="F921">
        <v>5</v>
      </c>
      <c r="G921">
        <v>2</v>
      </c>
    </row>
    <row r="922" spans="1:7" x14ac:dyDescent="0.3">
      <c r="A922">
        <v>335</v>
      </c>
      <c r="B922">
        <v>1</v>
      </c>
      <c r="C922">
        <v>4</v>
      </c>
      <c r="D922">
        <v>0</v>
      </c>
      <c r="E922">
        <v>97</v>
      </c>
      <c r="F922">
        <v>1</v>
      </c>
      <c r="G922">
        <v>6</v>
      </c>
    </row>
    <row r="923" spans="1:7" x14ac:dyDescent="0.3">
      <c r="A923">
        <v>450</v>
      </c>
      <c r="B923">
        <v>1.5</v>
      </c>
      <c r="C923">
        <v>4</v>
      </c>
      <c r="D923">
        <v>0</v>
      </c>
      <c r="E923">
        <v>138</v>
      </c>
      <c r="F923">
        <v>30</v>
      </c>
      <c r="G923">
        <v>4</v>
      </c>
    </row>
    <row r="924" spans="1:7" x14ac:dyDescent="0.3">
      <c r="A924">
        <v>96</v>
      </c>
      <c r="B924">
        <v>1</v>
      </c>
      <c r="C924">
        <v>4</v>
      </c>
      <c r="D924">
        <v>1</v>
      </c>
      <c r="E924">
        <v>264</v>
      </c>
      <c r="F924">
        <v>30</v>
      </c>
      <c r="G924">
        <v>2</v>
      </c>
    </row>
    <row r="925" spans="1:7" x14ac:dyDescent="0.3">
      <c r="A925">
        <v>72</v>
      </c>
      <c r="B925">
        <v>1</v>
      </c>
      <c r="C925">
        <v>2</v>
      </c>
      <c r="D925">
        <v>0</v>
      </c>
      <c r="E925">
        <v>233</v>
      </c>
      <c r="F925">
        <v>30</v>
      </c>
      <c r="G925">
        <v>2</v>
      </c>
    </row>
    <row r="926" spans="1:7" x14ac:dyDescent="0.3">
      <c r="A926">
        <v>119</v>
      </c>
      <c r="B926">
        <v>1</v>
      </c>
      <c r="C926">
        <v>4</v>
      </c>
      <c r="D926">
        <v>0</v>
      </c>
      <c r="E926">
        <v>326</v>
      </c>
      <c r="F926">
        <v>30</v>
      </c>
      <c r="G926">
        <v>4</v>
      </c>
    </row>
    <row r="927" spans="1:7" x14ac:dyDescent="0.3">
      <c r="A927">
        <v>280</v>
      </c>
      <c r="B927">
        <v>1</v>
      </c>
      <c r="C927">
        <v>4</v>
      </c>
      <c r="D927">
        <v>0</v>
      </c>
      <c r="E927">
        <v>221</v>
      </c>
      <c r="F927">
        <v>1</v>
      </c>
      <c r="G927">
        <v>2</v>
      </c>
    </row>
    <row r="928" spans="1:7" x14ac:dyDescent="0.3">
      <c r="A928">
        <v>361</v>
      </c>
      <c r="B928">
        <v>1</v>
      </c>
      <c r="C928">
        <v>4</v>
      </c>
      <c r="D928">
        <v>0</v>
      </c>
      <c r="E928">
        <v>230</v>
      </c>
      <c r="F928">
        <v>1</v>
      </c>
      <c r="G928">
        <v>2</v>
      </c>
    </row>
    <row r="929" spans="1:7" x14ac:dyDescent="0.3">
      <c r="A929">
        <v>90</v>
      </c>
      <c r="B929">
        <v>1</v>
      </c>
      <c r="C929">
        <v>4</v>
      </c>
      <c r="D929">
        <v>0</v>
      </c>
      <c r="E929">
        <v>124</v>
      </c>
      <c r="F929">
        <v>30</v>
      </c>
      <c r="G929">
        <v>2</v>
      </c>
    </row>
    <row r="930" spans="1:7" x14ac:dyDescent="0.3">
      <c r="A930">
        <v>285</v>
      </c>
      <c r="B930">
        <v>1</v>
      </c>
      <c r="C930">
        <v>4</v>
      </c>
      <c r="D930">
        <v>0</v>
      </c>
      <c r="E930">
        <v>147</v>
      </c>
      <c r="F930">
        <v>30</v>
      </c>
      <c r="G930">
        <v>6</v>
      </c>
    </row>
    <row r="931" spans="1:7" x14ac:dyDescent="0.3">
      <c r="A931">
        <v>54</v>
      </c>
      <c r="B931">
        <v>1</v>
      </c>
      <c r="C931">
        <v>4</v>
      </c>
      <c r="D931">
        <v>0</v>
      </c>
      <c r="E931">
        <v>236</v>
      </c>
      <c r="F931">
        <v>30</v>
      </c>
      <c r="G931">
        <v>1</v>
      </c>
    </row>
    <row r="932" spans="1:7" x14ac:dyDescent="0.3">
      <c r="A932">
        <v>73</v>
      </c>
      <c r="B932">
        <v>1</v>
      </c>
      <c r="C932">
        <v>0</v>
      </c>
      <c r="D932">
        <v>1</v>
      </c>
      <c r="E932">
        <v>143</v>
      </c>
      <c r="F932">
        <v>1</v>
      </c>
      <c r="G932">
        <v>2</v>
      </c>
    </row>
    <row r="933" spans="1:7" x14ac:dyDescent="0.3">
      <c r="A933">
        <v>238</v>
      </c>
      <c r="B933">
        <v>1</v>
      </c>
      <c r="C933">
        <v>4</v>
      </c>
      <c r="D933">
        <v>1</v>
      </c>
      <c r="E933">
        <v>232</v>
      </c>
      <c r="F933">
        <v>1</v>
      </c>
      <c r="G933">
        <v>2</v>
      </c>
    </row>
    <row r="934" spans="1:7" x14ac:dyDescent="0.3">
      <c r="A934">
        <v>50</v>
      </c>
      <c r="B934">
        <v>1</v>
      </c>
      <c r="C934">
        <v>0</v>
      </c>
      <c r="D934">
        <v>1</v>
      </c>
      <c r="E934">
        <v>195</v>
      </c>
      <c r="F934">
        <v>30</v>
      </c>
      <c r="G934">
        <v>1</v>
      </c>
    </row>
    <row r="935" spans="1:7" x14ac:dyDescent="0.3">
      <c r="A935">
        <v>225</v>
      </c>
      <c r="B935">
        <v>1</v>
      </c>
      <c r="C935">
        <v>4</v>
      </c>
      <c r="D935">
        <v>1</v>
      </c>
      <c r="E935">
        <v>214</v>
      </c>
      <c r="F935">
        <v>30</v>
      </c>
      <c r="G935">
        <v>2</v>
      </c>
    </row>
    <row r="936" spans="1:7" x14ac:dyDescent="0.3">
      <c r="A936">
        <v>104</v>
      </c>
      <c r="B936">
        <v>1</v>
      </c>
      <c r="C936">
        <v>4</v>
      </c>
      <c r="D936">
        <v>0</v>
      </c>
      <c r="E936">
        <v>85</v>
      </c>
      <c r="F936">
        <v>1</v>
      </c>
      <c r="G936">
        <v>1</v>
      </c>
    </row>
    <row r="937" spans="1:7" x14ac:dyDescent="0.3">
      <c r="A937">
        <v>58</v>
      </c>
      <c r="B937">
        <v>1</v>
      </c>
      <c r="C937">
        <v>2</v>
      </c>
      <c r="D937">
        <v>1</v>
      </c>
      <c r="E937">
        <v>336</v>
      </c>
      <c r="F937">
        <v>30</v>
      </c>
      <c r="G937">
        <v>2</v>
      </c>
    </row>
    <row r="938" spans="1:7" x14ac:dyDescent="0.3">
      <c r="A938">
        <v>257</v>
      </c>
      <c r="B938">
        <v>1</v>
      </c>
      <c r="C938">
        <v>4</v>
      </c>
      <c r="D938">
        <v>0</v>
      </c>
      <c r="E938">
        <v>298</v>
      </c>
      <c r="F938">
        <v>30</v>
      </c>
      <c r="G938">
        <v>2</v>
      </c>
    </row>
    <row r="939" spans="1:7" x14ac:dyDescent="0.3">
      <c r="A939">
        <v>180</v>
      </c>
      <c r="B939">
        <v>1</v>
      </c>
      <c r="C939">
        <v>4</v>
      </c>
      <c r="D939">
        <v>0</v>
      </c>
      <c r="E939">
        <v>356</v>
      </c>
      <c r="F939">
        <v>30</v>
      </c>
      <c r="G939">
        <v>2</v>
      </c>
    </row>
    <row r="940" spans="1:7" x14ac:dyDescent="0.3">
      <c r="A940">
        <v>263</v>
      </c>
      <c r="B940">
        <v>1</v>
      </c>
      <c r="C940">
        <v>4</v>
      </c>
      <c r="D940">
        <v>1</v>
      </c>
      <c r="E940">
        <v>348</v>
      </c>
      <c r="F940">
        <v>1</v>
      </c>
      <c r="G940">
        <v>4</v>
      </c>
    </row>
    <row r="941" spans="1:7" x14ac:dyDescent="0.3">
      <c r="A941">
        <v>255</v>
      </c>
      <c r="B941">
        <v>1</v>
      </c>
      <c r="C941">
        <v>4</v>
      </c>
      <c r="D941">
        <v>1</v>
      </c>
      <c r="E941">
        <v>318</v>
      </c>
      <c r="F941">
        <v>1</v>
      </c>
      <c r="G941">
        <v>4</v>
      </c>
    </row>
    <row r="942" spans="1:7" x14ac:dyDescent="0.3">
      <c r="A942">
        <v>106</v>
      </c>
      <c r="B942">
        <v>1</v>
      </c>
      <c r="C942">
        <v>0</v>
      </c>
      <c r="D942">
        <v>1</v>
      </c>
      <c r="E942">
        <v>89</v>
      </c>
      <c r="F942">
        <v>1</v>
      </c>
      <c r="G942">
        <v>1</v>
      </c>
    </row>
    <row r="943" spans="1:7" x14ac:dyDescent="0.3">
      <c r="A943">
        <v>194</v>
      </c>
      <c r="B943">
        <v>1</v>
      </c>
      <c r="C943">
        <v>4</v>
      </c>
      <c r="D943">
        <v>0</v>
      </c>
      <c r="E943">
        <v>243</v>
      </c>
      <c r="F943">
        <v>30</v>
      </c>
      <c r="G943">
        <v>4</v>
      </c>
    </row>
    <row r="944" spans="1:7" x14ac:dyDescent="0.3">
      <c r="A944">
        <v>155</v>
      </c>
      <c r="B944">
        <v>0</v>
      </c>
      <c r="C944">
        <v>4</v>
      </c>
      <c r="D944">
        <v>0</v>
      </c>
      <c r="E944">
        <v>273</v>
      </c>
      <c r="F944">
        <v>30</v>
      </c>
      <c r="G944">
        <v>4</v>
      </c>
    </row>
    <row r="945" spans="1:7" x14ac:dyDescent="0.3">
      <c r="A945">
        <v>137</v>
      </c>
      <c r="B945">
        <v>1</v>
      </c>
      <c r="C945">
        <v>4</v>
      </c>
      <c r="D945">
        <v>0</v>
      </c>
      <c r="E945">
        <v>271</v>
      </c>
      <c r="F945">
        <v>30</v>
      </c>
      <c r="G945">
        <v>2</v>
      </c>
    </row>
    <row r="946" spans="1:7" x14ac:dyDescent="0.3">
      <c r="A946">
        <v>237</v>
      </c>
      <c r="B946">
        <v>1</v>
      </c>
      <c r="C946">
        <v>4</v>
      </c>
      <c r="D946">
        <v>0</v>
      </c>
      <c r="E946">
        <v>364</v>
      </c>
      <c r="F946">
        <v>30</v>
      </c>
      <c r="G946">
        <v>4</v>
      </c>
    </row>
    <row r="947" spans="1:7" x14ac:dyDescent="0.3">
      <c r="A947">
        <v>97</v>
      </c>
      <c r="B947">
        <v>1</v>
      </c>
      <c r="C947">
        <v>2</v>
      </c>
      <c r="D947">
        <v>0</v>
      </c>
      <c r="E947">
        <v>305</v>
      </c>
      <c r="F947">
        <v>30</v>
      </c>
      <c r="G947">
        <v>4</v>
      </c>
    </row>
    <row r="948" spans="1:7" x14ac:dyDescent="0.3">
      <c r="A948">
        <v>72</v>
      </c>
      <c r="B948">
        <v>0</v>
      </c>
      <c r="C948">
        <v>0</v>
      </c>
      <c r="D948">
        <v>1</v>
      </c>
      <c r="E948">
        <v>288</v>
      </c>
      <c r="F948">
        <v>30</v>
      </c>
      <c r="G948">
        <v>2</v>
      </c>
    </row>
    <row r="949" spans="1:7" x14ac:dyDescent="0.3">
      <c r="A949">
        <v>339</v>
      </c>
      <c r="B949">
        <v>1</v>
      </c>
      <c r="C949">
        <v>4</v>
      </c>
      <c r="D949">
        <v>1</v>
      </c>
      <c r="E949">
        <v>288</v>
      </c>
      <c r="F949">
        <v>1</v>
      </c>
      <c r="G949">
        <v>5</v>
      </c>
    </row>
    <row r="950" spans="1:7" x14ac:dyDescent="0.3">
      <c r="A950">
        <v>180</v>
      </c>
      <c r="B950">
        <v>1.5</v>
      </c>
      <c r="C950">
        <v>4</v>
      </c>
      <c r="D950">
        <v>0</v>
      </c>
      <c r="E950">
        <v>85</v>
      </c>
      <c r="F950">
        <v>30</v>
      </c>
      <c r="G950">
        <v>3</v>
      </c>
    </row>
    <row r="951" spans="1:7" x14ac:dyDescent="0.3">
      <c r="A951">
        <v>162</v>
      </c>
      <c r="B951">
        <v>1</v>
      </c>
      <c r="C951">
        <v>4</v>
      </c>
      <c r="D951">
        <v>1</v>
      </c>
      <c r="E951">
        <v>282</v>
      </c>
      <c r="F951">
        <v>1</v>
      </c>
      <c r="G951">
        <v>2</v>
      </c>
    </row>
    <row r="952" spans="1:7" x14ac:dyDescent="0.3">
      <c r="A952">
        <v>418</v>
      </c>
      <c r="B952">
        <v>1</v>
      </c>
      <c r="C952">
        <v>2</v>
      </c>
      <c r="D952">
        <v>1</v>
      </c>
      <c r="E952">
        <v>154</v>
      </c>
      <c r="F952">
        <v>1</v>
      </c>
      <c r="G952">
        <v>4</v>
      </c>
    </row>
    <row r="953" spans="1:7" x14ac:dyDescent="0.3">
      <c r="A953">
        <v>100</v>
      </c>
      <c r="B953">
        <v>1</v>
      </c>
      <c r="C953">
        <v>0</v>
      </c>
      <c r="D953">
        <v>0</v>
      </c>
      <c r="E953">
        <v>90</v>
      </c>
      <c r="F953">
        <v>30</v>
      </c>
      <c r="G953">
        <v>7</v>
      </c>
    </row>
    <row r="954" spans="1:7" x14ac:dyDescent="0.3">
      <c r="A954">
        <v>109</v>
      </c>
      <c r="B954">
        <v>2</v>
      </c>
      <c r="C954">
        <v>0</v>
      </c>
      <c r="D954">
        <v>0</v>
      </c>
      <c r="E954">
        <v>116</v>
      </c>
      <c r="F954">
        <v>30</v>
      </c>
      <c r="G954">
        <v>4</v>
      </c>
    </row>
    <row r="955" spans="1:7" x14ac:dyDescent="0.3">
      <c r="A955">
        <v>244</v>
      </c>
      <c r="B955">
        <v>2</v>
      </c>
      <c r="C955">
        <v>0</v>
      </c>
      <c r="D955">
        <v>0</v>
      </c>
      <c r="E955">
        <v>142</v>
      </c>
      <c r="F955">
        <v>2</v>
      </c>
      <c r="G955">
        <v>8</v>
      </c>
    </row>
    <row r="956" spans="1:7" x14ac:dyDescent="0.3">
      <c r="A956">
        <v>154</v>
      </c>
      <c r="B956">
        <v>1</v>
      </c>
      <c r="C956">
        <v>4</v>
      </c>
      <c r="D956">
        <v>1</v>
      </c>
      <c r="E956">
        <v>271</v>
      </c>
      <c r="F956">
        <v>1</v>
      </c>
      <c r="G956">
        <v>4</v>
      </c>
    </row>
    <row r="957" spans="1:7" x14ac:dyDescent="0.3">
      <c r="A957">
        <v>240</v>
      </c>
      <c r="B957">
        <v>1</v>
      </c>
      <c r="C957">
        <v>4</v>
      </c>
      <c r="D957">
        <v>1</v>
      </c>
      <c r="E957">
        <v>114</v>
      </c>
      <c r="F957">
        <v>1</v>
      </c>
      <c r="G957">
        <v>2</v>
      </c>
    </row>
    <row r="958" spans="1:7" x14ac:dyDescent="0.3">
      <c r="A958">
        <v>226</v>
      </c>
      <c r="B958">
        <v>1</v>
      </c>
      <c r="C958">
        <v>4</v>
      </c>
      <c r="D958">
        <v>1</v>
      </c>
      <c r="E958">
        <v>105</v>
      </c>
      <c r="F958">
        <v>1</v>
      </c>
      <c r="G958">
        <v>2</v>
      </c>
    </row>
    <row r="959" spans="1:7" x14ac:dyDescent="0.3">
      <c r="A959">
        <v>222</v>
      </c>
      <c r="B959">
        <v>1</v>
      </c>
      <c r="C959">
        <v>4</v>
      </c>
      <c r="D959">
        <v>1</v>
      </c>
      <c r="E959">
        <v>111</v>
      </c>
      <c r="F959">
        <v>1</v>
      </c>
      <c r="G959">
        <v>2</v>
      </c>
    </row>
    <row r="960" spans="1:7" x14ac:dyDescent="0.3">
      <c r="A960">
        <v>150</v>
      </c>
      <c r="B960">
        <v>1</v>
      </c>
      <c r="C960">
        <v>4</v>
      </c>
      <c r="D960">
        <v>0</v>
      </c>
      <c r="E960">
        <v>336</v>
      </c>
      <c r="F960">
        <v>30</v>
      </c>
      <c r="G960">
        <v>2</v>
      </c>
    </row>
    <row r="961" spans="1:7" x14ac:dyDescent="0.3">
      <c r="A961">
        <v>379</v>
      </c>
      <c r="B961">
        <v>1</v>
      </c>
      <c r="C961">
        <v>4</v>
      </c>
      <c r="D961">
        <v>0</v>
      </c>
      <c r="E961">
        <v>119</v>
      </c>
      <c r="F961">
        <v>30</v>
      </c>
      <c r="G961">
        <v>2</v>
      </c>
    </row>
    <row r="962" spans="1:7" x14ac:dyDescent="0.3">
      <c r="A962">
        <v>72</v>
      </c>
      <c r="B962">
        <v>1</v>
      </c>
      <c r="C962">
        <v>2</v>
      </c>
      <c r="D962">
        <v>1</v>
      </c>
      <c r="E962">
        <v>351</v>
      </c>
      <c r="F962">
        <v>30</v>
      </c>
      <c r="G962">
        <v>2</v>
      </c>
    </row>
    <row r="963" spans="1:7" x14ac:dyDescent="0.3">
      <c r="A963">
        <v>170</v>
      </c>
      <c r="B963">
        <v>1</v>
      </c>
      <c r="C963">
        <v>0</v>
      </c>
      <c r="D963">
        <v>0</v>
      </c>
      <c r="E963">
        <v>334</v>
      </c>
      <c r="F963">
        <v>30</v>
      </c>
      <c r="G963">
        <v>4</v>
      </c>
    </row>
    <row r="964" spans="1:7" x14ac:dyDescent="0.3">
      <c r="A964">
        <v>289</v>
      </c>
      <c r="B964">
        <v>1</v>
      </c>
      <c r="C964">
        <v>4</v>
      </c>
      <c r="D964">
        <v>0</v>
      </c>
      <c r="E964">
        <v>348</v>
      </c>
      <c r="F964">
        <v>30</v>
      </c>
      <c r="G964">
        <v>2</v>
      </c>
    </row>
    <row r="965" spans="1:7" x14ac:dyDescent="0.3">
      <c r="A965">
        <v>233</v>
      </c>
      <c r="B965">
        <v>1</v>
      </c>
      <c r="C965">
        <v>2</v>
      </c>
      <c r="D965">
        <v>1</v>
      </c>
      <c r="E965">
        <v>159</v>
      </c>
      <c r="F965">
        <v>1</v>
      </c>
      <c r="G965">
        <v>2</v>
      </c>
    </row>
    <row r="966" spans="1:7" x14ac:dyDescent="0.3">
      <c r="A966">
        <v>102</v>
      </c>
      <c r="B966">
        <v>1</v>
      </c>
      <c r="C966">
        <v>2</v>
      </c>
      <c r="D966">
        <v>0</v>
      </c>
      <c r="E966">
        <v>148</v>
      </c>
      <c r="F966">
        <v>30</v>
      </c>
      <c r="G966">
        <v>2</v>
      </c>
    </row>
    <row r="967" spans="1:7" x14ac:dyDescent="0.3">
      <c r="A967">
        <v>115</v>
      </c>
      <c r="B967">
        <v>1</v>
      </c>
      <c r="C967">
        <v>0</v>
      </c>
      <c r="D967">
        <v>0</v>
      </c>
      <c r="E967">
        <v>109</v>
      </c>
      <c r="F967">
        <v>30</v>
      </c>
      <c r="G967">
        <v>1</v>
      </c>
    </row>
    <row r="968" spans="1:7" x14ac:dyDescent="0.3">
      <c r="A968">
        <v>50</v>
      </c>
      <c r="B968">
        <v>1</v>
      </c>
      <c r="C968">
        <v>0</v>
      </c>
      <c r="D968">
        <v>1</v>
      </c>
      <c r="E968">
        <v>350</v>
      </c>
      <c r="F968">
        <v>30</v>
      </c>
      <c r="G968">
        <v>2</v>
      </c>
    </row>
    <row r="969" spans="1:7" x14ac:dyDescent="0.3">
      <c r="A969">
        <v>277</v>
      </c>
      <c r="B969">
        <v>1</v>
      </c>
      <c r="C969">
        <v>4</v>
      </c>
      <c r="D969">
        <v>1</v>
      </c>
      <c r="E969">
        <v>96</v>
      </c>
      <c r="F969">
        <v>1</v>
      </c>
      <c r="G969">
        <v>2</v>
      </c>
    </row>
    <row r="970" spans="1:7" x14ac:dyDescent="0.3">
      <c r="A970">
        <v>135</v>
      </c>
      <c r="B970">
        <v>1</v>
      </c>
      <c r="C970">
        <v>4</v>
      </c>
      <c r="D970">
        <v>0</v>
      </c>
      <c r="E970">
        <v>275</v>
      </c>
      <c r="F970">
        <v>30</v>
      </c>
      <c r="G970">
        <v>4</v>
      </c>
    </row>
    <row r="971" spans="1:7" x14ac:dyDescent="0.3">
      <c r="A971">
        <v>175</v>
      </c>
      <c r="B971">
        <v>1.5</v>
      </c>
      <c r="C971">
        <v>4</v>
      </c>
      <c r="D971">
        <v>0</v>
      </c>
      <c r="E971">
        <v>182</v>
      </c>
      <c r="F971">
        <v>30</v>
      </c>
      <c r="G971">
        <v>3</v>
      </c>
    </row>
    <row r="972" spans="1:7" x14ac:dyDescent="0.3">
      <c r="A972">
        <v>143</v>
      </c>
      <c r="B972">
        <v>1</v>
      </c>
      <c r="C972">
        <v>4</v>
      </c>
      <c r="D972">
        <v>0</v>
      </c>
      <c r="E972">
        <v>243</v>
      </c>
      <c r="F972">
        <v>30</v>
      </c>
      <c r="G972">
        <v>5</v>
      </c>
    </row>
    <row r="973" spans="1:7" x14ac:dyDescent="0.3">
      <c r="A973">
        <v>185</v>
      </c>
      <c r="B973">
        <v>1</v>
      </c>
      <c r="C973">
        <v>4</v>
      </c>
      <c r="D973">
        <v>0</v>
      </c>
      <c r="E973">
        <v>283</v>
      </c>
      <c r="F973">
        <v>30</v>
      </c>
      <c r="G973">
        <v>2</v>
      </c>
    </row>
    <row r="974" spans="1:7" x14ac:dyDescent="0.3">
      <c r="A974">
        <v>60</v>
      </c>
      <c r="B974">
        <v>1</v>
      </c>
      <c r="C974">
        <v>4</v>
      </c>
      <c r="D974">
        <v>1</v>
      </c>
      <c r="E974">
        <v>169</v>
      </c>
      <c r="F974">
        <v>30</v>
      </c>
      <c r="G974">
        <v>1</v>
      </c>
    </row>
    <row r="975" spans="1:7" x14ac:dyDescent="0.3">
      <c r="A975">
        <v>221</v>
      </c>
      <c r="B975">
        <v>1</v>
      </c>
      <c r="C975">
        <v>2</v>
      </c>
      <c r="D975">
        <v>0</v>
      </c>
      <c r="E975">
        <v>112</v>
      </c>
      <c r="F975">
        <v>30</v>
      </c>
      <c r="G975">
        <v>2</v>
      </c>
    </row>
    <row r="976" spans="1:7" x14ac:dyDescent="0.3">
      <c r="A976">
        <v>80</v>
      </c>
      <c r="B976">
        <v>1</v>
      </c>
      <c r="C976">
        <v>4</v>
      </c>
      <c r="D976">
        <v>1</v>
      </c>
      <c r="E976">
        <v>334</v>
      </c>
      <c r="F976">
        <v>30</v>
      </c>
      <c r="G976">
        <v>1</v>
      </c>
    </row>
    <row r="977" spans="1:7" x14ac:dyDescent="0.3">
      <c r="A977">
        <v>75</v>
      </c>
      <c r="B977">
        <v>1</v>
      </c>
      <c r="C977">
        <v>4</v>
      </c>
      <c r="D977">
        <v>0</v>
      </c>
      <c r="E977">
        <v>269</v>
      </c>
      <c r="F977">
        <v>30</v>
      </c>
      <c r="G977">
        <v>2</v>
      </c>
    </row>
    <row r="978" spans="1:7" x14ac:dyDescent="0.3">
      <c r="A978">
        <v>53</v>
      </c>
      <c r="B978">
        <v>1</v>
      </c>
      <c r="C978">
        <v>4</v>
      </c>
      <c r="D978">
        <v>1</v>
      </c>
      <c r="E978">
        <v>59</v>
      </c>
      <c r="F978">
        <v>30</v>
      </c>
      <c r="G978">
        <v>2</v>
      </c>
    </row>
    <row r="979" spans="1:7" x14ac:dyDescent="0.3">
      <c r="A979">
        <v>350</v>
      </c>
      <c r="B979">
        <v>2.5</v>
      </c>
      <c r="C979">
        <v>2</v>
      </c>
      <c r="D979">
        <v>1</v>
      </c>
      <c r="E979">
        <v>348</v>
      </c>
      <c r="F979">
        <v>1</v>
      </c>
      <c r="G979">
        <v>4</v>
      </c>
    </row>
    <row r="980" spans="1:7" x14ac:dyDescent="0.3">
      <c r="A980">
        <v>65</v>
      </c>
      <c r="B980">
        <v>1</v>
      </c>
      <c r="C980">
        <v>0</v>
      </c>
      <c r="D980">
        <v>0</v>
      </c>
      <c r="E980">
        <v>58</v>
      </c>
      <c r="F980">
        <v>30</v>
      </c>
      <c r="G980">
        <v>2</v>
      </c>
    </row>
    <row r="981" spans="1:7" x14ac:dyDescent="0.3">
      <c r="A981">
        <v>243</v>
      </c>
      <c r="B981">
        <v>1</v>
      </c>
      <c r="C981">
        <v>4</v>
      </c>
      <c r="D981">
        <v>0</v>
      </c>
      <c r="E981">
        <v>244</v>
      </c>
      <c r="F981">
        <v>4</v>
      </c>
      <c r="G981">
        <v>2</v>
      </c>
    </row>
    <row r="982" spans="1:7" x14ac:dyDescent="0.3">
      <c r="A982">
        <v>55</v>
      </c>
      <c r="B982">
        <v>1</v>
      </c>
      <c r="C982">
        <v>2</v>
      </c>
      <c r="D982">
        <v>1</v>
      </c>
      <c r="E982">
        <v>81</v>
      </c>
      <c r="F982">
        <v>30</v>
      </c>
      <c r="G982">
        <v>1</v>
      </c>
    </row>
    <row r="983" spans="1:7" x14ac:dyDescent="0.3">
      <c r="A983">
        <v>180</v>
      </c>
      <c r="B983">
        <v>1</v>
      </c>
      <c r="C983">
        <v>4</v>
      </c>
      <c r="D983">
        <v>0</v>
      </c>
      <c r="E983">
        <v>191</v>
      </c>
      <c r="F983">
        <v>1</v>
      </c>
      <c r="G983">
        <v>4</v>
      </c>
    </row>
    <row r="984" spans="1:7" x14ac:dyDescent="0.3">
      <c r="A984">
        <v>292</v>
      </c>
      <c r="B984">
        <v>1</v>
      </c>
      <c r="C984">
        <v>2</v>
      </c>
      <c r="D984">
        <v>1</v>
      </c>
      <c r="E984">
        <v>109</v>
      </c>
      <c r="F984">
        <v>1</v>
      </c>
      <c r="G984">
        <v>2</v>
      </c>
    </row>
    <row r="985" spans="1:7" x14ac:dyDescent="0.3">
      <c r="A985">
        <v>54</v>
      </c>
      <c r="B985">
        <v>1</v>
      </c>
      <c r="C985">
        <v>4</v>
      </c>
      <c r="D985">
        <v>1</v>
      </c>
      <c r="E985">
        <v>280</v>
      </c>
      <c r="F985">
        <v>30</v>
      </c>
      <c r="G985">
        <v>1</v>
      </c>
    </row>
    <row r="986" spans="1:7" x14ac:dyDescent="0.3">
      <c r="A986">
        <v>116</v>
      </c>
      <c r="B986">
        <v>1</v>
      </c>
      <c r="C986">
        <v>2</v>
      </c>
      <c r="D986">
        <v>0</v>
      </c>
      <c r="E986">
        <v>115</v>
      </c>
      <c r="F986">
        <v>30</v>
      </c>
      <c r="G986">
        <v>2</v>
      </c>
    </row>
    <row r="987" spans="1:7" x14ac:dyDescent="0.3">
      <c r="A987">
        <v>141</v>
      </c>
      <c r="B987">
        <v>1</v>
      </c>
      <c r="C987">
        <v>2</v>
      </c>
      <c r="D987">
        <v>0</v>
      </c>
      <c r="E987">
        <v>364</v>
      </c>
      <c r="F987">
        <v>30</v>
      </c>
      <c r="G987">
        <v>4</v>
      </c>
    </row>
    <row r="988" spans="1:7" x14ac:dyDescent="0.3">
      <c r="A988">
        <v>130</v>
      </c>
      <c r="B988">
        <v>1</v>
      </c>
      <c r="C988">
        <v>2</v>
      </c>
      <c r="D988">
        <v>0</v>
      </c>
      <c r="E988">
        <v>180</v>
      </c>
      <c r="F988">
        <v>30</v>
      </c>
      <c r="G988">
        <v>2</v>
      </c>
    </row>
    <row r="989" spans="1:7" x14ac:dyDescent="0.3">
      <c r="A989">
        <v>55</v>
      </c>
      <c r="B989">
        <v>3</v>
      </c>
      <c r="C989">
        <v>2</v>
      </c>
      <c r="D989">
        <v>1</v>
      </c>
      <c r="E989">
        <v>265</v>
      </c>
      <c r="F989">
        <v>30</v>
      </c>
      <c r="G989">
        <v>1</v>
      </c>
    </row>
    <row r="990" spans="1:7" x14ac:dyDescent="0.3">
      <c r="A990">
        <v>96</v>
      </c>
      <c r="B990">
        <v>1</v>
      </c>
      <c r="C990">
        <v>2</v>
      </c>
      <c r="D990">
        <v>0</v>
      </c>
      <c r="E990">
        <v>353</v>
      </c>
      <c r="F990">
        <v>30</v>
      </c>
      <c r="G990">
        <v>2</v>
      </c>
    </row>
    <row r="991" spans="1:7" x14ac:dyDescent="0.3">
      <c r="A991">
        <v>171</v>
      </c>
      <c r="B991">
        <v>1</v>
      </c>
      <c r="C991">
        <v>4</v>
      </c>
      <c r="D991">
        <v>0</v>
      </c>
      <c r="E991">
        <v>254</v>
      </c>
      <c r="F991">
        <v>30</v>
      </c>
      <c r="G991">
        <v>4</v>
      </c>
    </row>
    <row r="992" spans="1:7" x14ac:dyDescent="0.3">
      <c r="A992">
        <v>170</v>
      </c>
      <c r="B992">
        <v>2</v>
      </c>
      <c r="C992">
        <v>4</v>
      </c>
      <c r="D992">
        <v>0</v>
      </c>
      <c r="E992">
        <v>335</v>
      </c>
      <c r="F992">
        <v>30</v>
      </c>
      <c r="G992">
        <v>4</v>
      </c>
    </row>
    <row r="993" spans="1:7" x14ac:dyDescent="0.3">
      <c r="A993">
        <v>150</v>
      </c>
      <c r="B993">
        <v>1</v>
      </c>
      <c r="C993">
        <v>4</v>
      </c>
      <c r="D993">
        <v>0</v>
      </c>
      <c r="E993">
        <v>294</v>
      </c>
      <c r="F993">
        <v>30</v>
      </c>
      <c r="G993">
        <v>2</v>
      </c>
    </row>
    <row r="994" spans="1:7" x14ac:dyDescent="0.3">
      <c r="A994">
        <v>110</v>
      </c>
      <c r="B994">
        <v>1</v>
      </c>
      <c r="C994">
        <v>0</v>
      </c>
      <c r="D994">
        <v>0</v>
      </c>
      <c r="E994">
        <v>271</v>
      </c>
      <c r="F994">
        <v>30</v>
      </c>
      <c r="G994">
        <v>5</v>
      </c>
    </row>
    <row r="995" spans="1:7" x14ac:dyDescent="0.3">
      <c r="A995">
        <v>163</v>
      </c>
      <c r="B995">
        <v>1</v>
      </c>
      <c r="C995">
        <v>2</v>
      </c>
      <c r="D995">
        <v>0</v>
      </c>
      <c r="E995">
        <v>358</v>
      </c>
      <c r="F995">
        <v>30</v>
      </c>
      <c r="G995">
        <v>2</v>
      </c>
    </row>
    <row r="996" spans="1:7" x14ac:dyDescent="0.3">
      <c r="A996">
        <v>140</v>
      </c>
      <c r="B996">
        <v>1</v>
      </c>
      <c r="C996">
        <v>4</v>
      </c>
      <c r="D996">
        <v>0</v>
      </c>
      <c r="E996">
        <v>32</v>
      </c>
      <c r="F996">
        <v>30</v>
      </c>
      <c r="G996">
        <v>2</v>
      </c>
    </row>
    <row r="997" spans="1:7" x14ac:dyDescent="0.3">
      <c r="A997">
        <v>126</v>
      </c>
      <c r="B997">
        <v>1</v>
      </c>
      <c r="C997">
        <v>2</v>
      </c>
      <c r="D997">
        <v>0</v>
      </c>
      <c r="E997">
        <v>340</v>
      </c>
      <c r="F997">
        <v>30</v>
      </c>
      <c r="G997">
        <v>2</v>
      </c>
    </row>
    <row r="998" spans="1:7" x14ac:dyDescent="0.3">
      <c r="A998">
        <v>433</v>
      </c>
      <c r="B998">
        <v>1</v>
      </c>
      <c r="C998">
        <v>4</v>
      </c>
      <c r="D998">
        <v>0</v>
      </c>
      <c r="E998">
        <v>257</v>
      </c>
      <c r="F998">
        <v>1</v>
      </c>
      <c r="G998">
        <v>4</v>
      </c>
    </row>
    <row r="999" spans="1:7" x14ac:dyDescent="0.3">
      <c r="A999">
        <v>394</v>
      </c>
      <c r="B999">
        <v>1</v>
      </c>
      <c r="C999">
        <v>4</v>
      </c>
      <c r="D999">
        <v>0</v>
      </c>
      <c r="E999">
        <v>300</v>
      </c>
      <c r="F999">
        <v>1</v>
      </c>
      <c r="G999">
        <v>2</v>
      </c>
    </row>
    <row r="1000" spans="1:7" x14ac:dyDescent="0.3">
      <c r="A1000">
        <v>394</v>
      </c>
      <c r="B1000">
        <v>1</v>
      </c>
      <c r="C1000">
        <v>4</v>
      </c>
      <c r="D1000">
        <v>0</v>
      </c>
      <c r="E1000">
        <v>300</v>
      </c>
      <c r="F1000">
        <v>1</v>
      </c>
      <c r="G1000">
        <v>2</v>
      </c>
    </row>
    <row r="1001" spans="1:7" x14ac:dyDescent="0.3">
      <c r="A1001">
        <v>210</v>
      </c>
      <c r="B1001">
        <v>1</v>
      </c>
      <c r="C1001">
        <v>2</v>
      </c>
      <c r="D1001">
        <v>0</v>
      </c>
      <c r="E1001">
        <v>180</v>
      </c>
      <c r="F1001">
        <v>30</v>
      </c>
      <c r="G1001">
        <v>4</v>
      </c>
    </row>
    <row r="1002" spans="1:7" x14ac:dyDescent="0.3">
      <c r="A1002">
        <v>117</v>
      </c>
      <c r="B1002">
        <v>1</v>
      </c>
      <c r="C1002">
        <v>2</v>
      </c>
      <c r="D1002">
        <v>0</v>
      </c>
      <c r="E1002">
        <v>278</v>
      </c>
      <c r="F1002">
        <v>30</v>
      </c>
      <c r="G1002">
        <v>3</v>
      </c>
    </row>
    <row r="1003" spans="1:7" x14ac:dyDescent="0.3">
      <c r="A1003">
        <v>80</v>
      </c>
      <c r="B1003">
        <v>1</v>
      </c>
      <c r="C1003">
        <v>0</v>
      </c>
      <c r="D1003">
        <v>0</v>
      </c>
      <c r="E1003">
        <v>244</v>
      </c>
      <c r="F1003">
        <v>30</v>
      </c>
      <c r="G1003">
        <v>5</v>
      </c>
    </row>
    <row r="1004" spans="1:7" x14ac:dyDescent="0.3">
      <c r="A1004">
        <v>105</v>
      </c>
      <c r="B1004">
        <v>1</v>
      </c>
      <c r="C1004">
        <v>0</v>
      </c>
      <c r="D1004">
        <v>0</v>
      </c>
      <c r="E1004">
        <v>212</v>
      </c>
      <c r="F1004">
        <v>30</v>
      </c>
      <c r="G1004">
        <v>4</v>
      </c>
    </row>
    <row r="1005" spans="1:7" x14ac:dyDescent="0.3">
      <c r="A1005">
        <v>140</v>
      </c>
      <c r="B1005">
        <v>1</v>
      </c>
      <c r="C1005">
        <v>2</v>
      </c>
      <c r="D1005">
        <v>0</v>
      </c>
      <c r="E1005">
        <v>179</v>
      </c>
      <c r="F1005">
        <v>30</v>
      </c>
      <c r="G1005">
        <v>3</v>
      </c>
    </row>
    <row r="1006" spans="1:7" x14ac:dyDescent="0.3">
      <c r="A1006">
        <v>92</v>
      </c>
      <c r="B1006">
        <v>1</v>
      </c>
      <c r="C1006">
        <v>4</v>
      </c>
      <c r="D1006">
        <v>0</v>
      </c>
      <c r="E1006">
        <v>92</v>
      </c>
      <c r="F1006">
        <v>30</v>
      </c>
      <c r="G1006">
        <v>2</v>
      </c>
    </row>
    <row r="1007" spans="1:7" x14ac:dyDescent="0.3">
      <c r="A1007">
        <v>179</v>
      </c>
      <c r="B1007">
        <v>1</v>
      </c>
      <c r="C1007">
        <v>4</v>
      </c>
      <c r="D1007">
        <v>0</v>
      </c>
      <c r="E1007">
        <v>133</v>
      </c>
      <c r="F1007">
        <v>30</v>
      </c>
      <c r="G1007">
        <v>4</v>
      </c>
    </row>
    <row r="1008" spans="1:7" x14ac:dyDescent="0.3">
      <c r="A1008">
        <v>150</v>
      </c>
      <c r="B1008">
        <v>1</v>
      </c>
      <c r="C1008">
        <v>4</v>
      </c>
      <c r="D1008">
        <v>0</v>
      </c>
      <c r="E1008">
        <v>365</v>
      </c>
      <c r="F1008">
        <v>30</v>
      </c>
      <c r="G1008">
        <v>2</v>
      </c>
    </row>
    <row r="1009" spans="1:7" x14ac:dyDescent="0.3">
      <c r="A1009">
        <v>125</v>
      </c>
      <c r="B1009">
        <v>1</v>
      </c>
      <c r="C1009">
        <v>4</v>
      </c>
      <c r="D1009">
        <v>0</v>
      </c>
      <c r="E1009">
        <v>270</v>
      </c>
      <c r="F1009">
        <v>30</v>
      </c>
      <c r="G1009">
        <v>2</v>
      </c>
    </row>
    <row r="1010" spans="1:7" x14ac:dyDescent="0.3">
      <c r="A1010">
        <v>239</v>
      </c>
      <c r="B1010">
        <v>1</v>
      </c>
      <c r="C1010">
        <v>4</v>
      </c>
      <c r="D1010">
        <v>0</v>
      </c>
      <c r="E1010">
        <v>218</v>
      </c>
      <c r="F1010">
        <v>3</v>
      </c>
      <c r="G1010">
        <v>3</v>
      </c>
    </row>
    <row r="1011" spans="1:7" x14ac:dyDescent="0.3">
      <c r="A1011">
        <v>77</v>
      </c>
      <c r="B1011">
        <v>1</v>
      </c>
      <c r="C1011">
        <v>2</v>
      </c>
      <c r="D1011">
        <v>0</v>
      </c>
      <c r="E1011">
        <v>264</v>
      </c>
      <c r="F1011">
        <v>30</v>
      </c>
      <c r="G1011">
        <v>2</v>
      </c>
    </row>
    <row r="1012" spans="1:7" x14ac:dyDescent="0.3">
      <c r="A1012">
        <v>105</v>
      </c>
      <c r="B1012">
        <v>1</v>
      </c>
      <c r="C1012">
        <v>4</v>
      </c>
      <c r="D1012">
        <v>0</v>
      </c>
      <c r="E1012">
        <v>274</v>
      </c>
      <c r="F1012">
        <v>30</v>
      </c>
      <c r="G1012">
        <v>3</v>
      </c>
    </row>
    <row r="1013" spans="1:7" x14ac:dyDescent="0.3">
      <c r="A1013">
        <v>260</v>
      </c>
      <c r="B1013">
        <v>1</v>
      </c>
      <c r="C1013">
        <v>4</v>
      </c>
      <c r="D1013">
        <v>1</v>
      </c>
      <c r="E1013">
        <v>291</v>
      </c>
      <c r="F1013">
        <v>1</v>
      </c>
      <c r="G1013">
        <v>8</v>
      </c>
    </row>
    <row r="1014" spans="1:7" x14ac:dyDescent="0.3">
      <c r="A1014">
        <v>151</v>
      </c>
      <c r="B1014">
        <v>1</v>
      </c>
      <c r="C1014">
        <v>0</v>
      </c>
      <c r="D1014">
        <v>0</v>
      </c>
      <c r="E1014">
        <v>175</v>
      </c>
      <c r="F1014">
        <v>30</v>
      </c>
      <c r="G1014">
        <v>2</v>
      </c>
    </row>
    <row r="1015" spans="1:7" x14ac:dyDescent="0.3">
      <c r="A1015">
        <v>120</v>
      </c>
      <c r="B1015">
        <v>1</v>
      </c>
      <c r="C1015">
        <v>0</v>
      </c>
      <c r="D1015">
        <v>0</v>
      </c>
      <c r="E1015">
        <v>289</v>
      </c>
      <c r="F1015">
        <v>30</v>
      </c>
      <c r="G1015">
        <v>2</v>
      </c>
    </row>
    <row r="1016" spans="1:7" x14ac:dyDescent="0.3">
      <c r="A1016">
        <v>276</v>
      </c>
      <c r="B1016">
        <v>0</v>
      </c>
      <c r="C1016">
        <v>4</v>
      </c>
      <c r="D1016">
        <v>1</v>
      </c>
      <c r="E1016">
        <v>282</v>
      </c>
      <c r="F1016">
        <v>1</v>
      </c>
      <c r="G1016">
        <v>8</v>
      </c>
    </row>
    <row r="1017" spans="1:7" x14ac:dyDescent="0.3">
      <c r="A1017">
        <v>120</v>
      </c>
      <c r="B1017">
        <v>1</v>
      </c>
      <c r="C1017">
        <v>4</v>
      </c>
      <c r="D1017">
        <v>0</v>
      </c>
      <c r="E1017">
        <v>294</v>
      </c>
      <c r="F1017">
        <v>30</v>
      </c>
      <c r="G1017">
        <v>2</v>
      </c>
    </row>
    <row r="1018" spans="1:7" x14ac:dyDescent="0.3">
      <c r="A1018">
        <v>114</v>
      </c>
      <c r="B1018">
        <v>1</v>
      </c>
      <c r="C1018">
        <v>2</v>
      </c>
      <c r="D1018">
        <v>1</v>
      </c>
      <c r="E1018">
        <v>346</v>
      </c>
      <c r="F1018">
        <v>1</v>
      </c>
      <c r="G1018">
        <v>2</v>
      </c>
    </row>
    <row r="1019" spans="1:7" x14ac:dyDescent="0.3">
      <c r="A1019">
        <v>97</v>
      </c>
      <c r="B1019">
        <v>1</v>
      </c>
      <c r="C1019">
        <v>4</v>
      </c>
      <c r="D1019">
        <v>1</v>
      </c>
      <c r="E1019">
        <v>91</v>
      </c>
      <c r="F1019">
        <v>30</v>
      </c>
      <c r="G1019">
        <v>1</v>
      </c>
    </row>
    <row r="1020" spans="1:7" x14ac:dyDescent="0.3">
      <c r="A1020">
        <v>80</v>
      </c>
      <c r="B1020">
        <v>1</v>
      </c>
      <c r="C1020">
        <v>0</v>
      </c>
      <c r="D1020">
        <v>1</v>
      </c>
      <c r="E1020">
        <v>229</v>
      </c>
      <c r="F1020">
        <v>1</v>
      </c>
      <c r="G1020">
        <v>2</v>
      </c>
    </row>
    <row r="1021" spans="1:7" x14ac:dyDescent="0.3">
      <c r="A1021">
        <v>128</v>
      </c>
      <c r="B1021">
        <v>1</v>
      </c>
      <c r="C1021">
        <v>2</v>
      </c>
      <c r="D1021">
        <v>0</v>
      </c>
      <c r="E1021">
        <v>120</v>
      </c>
      <c r="F1021">
        <v>30</v>
      </c>
      <c r="G1021">
        <v>2</v>
      </c>
    </row>
    <row r="1022" spans="1:7" x14ac:dyDescent="0.3">
      <c r="A1022">
        <v>85</v>
      </c>
      <c r="B1022">
        <v>1</v>
      </c>
      <c r="C1022">
        <v>2</v>
      </c>
      <c r="D1022">
        <v>0</v>
      </c>
      <c r="E1022">
        <v>302</v>
      </c>
      <c r="F1022">
        <v>30</v>
      </c>
      <c r="G1022">
        <v>2</v>
      </c>
    </row>
    <row r="1023" spans="1:7" x14ac:dyDescent="0.3">
      <c r="A1023">
        <v>184</v>
      </c>
      <c r="B1023">
        <v>1</v>
      </c>
      <c r="C1023">
        <v>2</v>
      </c>
      <c r="D1023">
        <v>0</v>
      </c>
      <c r="E1023">
        <v>122</v>
      </c>
      <c r="F1023">
        <v>30</v>
      </c>
      <c r="G1023">
        <v>2</v>
      </c>
    </row>
    <row r="1024" spans="1:7" x14ac:dyDescent="0.3">
      <c r="A1024">
        <v>150</v>
      </c>
      <c r="B1024">
        <v>1</v>
      </c>
      <c r="C1024">
        <v>2</v>
      </c>
      <c r="D1024">
        <v>0</v>
      </c>
      <c r="E1024">
        <v>123</v>
      </c>
      <c r="F1024">
        <v>30</v>
      </c>
      <c r="G1024">
        <v>2</v>
      </c>
    </row>
    <row r="1025" spans="1:7" x14ac:dyDescent="0.3">
      <c r="A1025">
        <v>89</v>
      </c>
      <c r="B1025">
        <v>1</v>
      </c>
      <c r="C1025">
        <v>0</v>
      </c>
      <c r="D1025">
        <v>1</v>
      </c>
      <c r="E1025">
        <v>350</v>
      </c>
      <c r="F1025">
        <v>1</v>
      </c>
      <c r="G1025">
        <v>2</v>
      </c>
    </row>
    <row r="1026" spans="1:7" x14ac:dyDescent="0.3">
      <c r="A1026">
        <v>100</v>
      </c>
      <c r="B1026">
        <v>1</v>
      </c>
      <c r="C1026">
        <v>2</v>
      </c>
      <c r="D1026">
        <v>0</v>
      </c>
      <c r="E1026">
        <v>169</v>
      </c>
      <c r="F1026">
        <v>30</v>
      </c>
      <c r="G1026">
        <v>2</v>
      </c>
    </row>
    <row r="1027" spans="1:7" x14ac:dyDescent="0.3">
      <c r="A1027">
        <v>90</v>
      </c>
      <c r="B1027">
        <v>1</v>
      </c>
      <c r="C1027">
        <v>0</v>
      </c>
      <c r="D1027">
        <v>0</v>
      </c>
      <c r="E1027">
        <v>322</v>
      </c>
      <c r="F1027">
        <v>5</v>
      </c>
      <c r="G1027">
        <v>2</v>
      </c>
    </row>
    <row r="1028" spans="1:7" x14ac:dyDescent="0.3">
      <c r="A1028">
        <v>141</v>
      </c>
      <c r="B1028">
        <v>1</v>
      </c>
      <c r="C1028">
        <v>0</v>
      </c>
      <c r="D1028">
        <v>0</v>
      </c>
      <c r="E1028">
        <v>265</v>
      </c>
      <c r="F1028">
        <v>30</v>
      </c>
      <c r="G1028">
        <v>4</v>
      </c>
    </row>
    <row r="1029" spans="1:7" x14ac:dyDescent="0.3">
      <c r="A1029">
        <v>103</v>
      </c>
      <c r="B1029">
        <v>1</v>
      </c>
      <c r="C1029">
        <v>4</v>
      </c>
      <c r="D1029">
        <v>0</v>
      </c>
      <c r="E1029">
        <v>349</v>
      </c>
      <c r="F1029">
        <v>30</v>
      </c>
      <c r="G1029">
        <v>2</v>
      </c>
    </row>
    <row r="1030" spans="1:7" x14ac:dyDescent="0.3">
      <c r="A1030">
        <v>53</v>
      </c>
      <c r="B1030">
        <v>1</v>
      </c>
      <c r="C1030">
        <v>4</v>
      </c>
      <c r="D1030">
        <v>0</v>
      </c>
      <c r="E1030">
        <v>268</v>
      </c>
      <c r="F1030">
        <v>30</v>
      </c>
      <c r="G1030">
        <v>1</v>
      </c>
    </row>
    <row r="1031" spans="1:7" x14ac:dyDescent="0.3">
      <c r="A1031">
        <v>292</v>
      </c>
      <c r="B1031">
        <v>3</v>
      </c>
      <c r="C1031">
        <v>2</v>
      </c>
      <c r="D1031">
        <v>1</v>
      </c>
      <c r="E1031">
        <v>326</v>
      </c>
      <c r="F1031">
        <v>30</v>
      </c>
      <c r="G1031">
        <v>6</v>
      </c>
    </row>
    <row r="1032" spans="1:7" x14ac:dyDescent="0.3">
      <c r="A1032">
        <v>92</v>
      </c>
      <c r="B1032">
        <v>1</v>
      </c>
      <c r="C1032">
        <v>4</v>
      </c>
      <c r="D1032">
        <v>0</v>
      </c>
      <c r="E1032">
        <v>126</v>
      </c>
      <c r="F1032">
        <v>30</v>
      </c>
      <c r="G1032">
        <v>4</v>
      </c>
    </row>
    <row r="1033" spans="1:7" x14ac:dyDescent="0.3">
      <c r="A1033">
        <v>68</v>
      </c>
      <c r="B1033">
        <v>2</v>
      </c>
      <c r="C1033">
        <v>4</v>
      </c>
      <c r="D1033">
        <v>1</v>
      </c>
      <c r="E1033">
        <v>338</v>
      </c>
      <c r="F1033">
        <v>30</v>
      </c>
      <c r="G1033">
        <v>1</v>
      </c>
    </row>
    <row r="1034" spans="1:7" x14ac:dyDescent="0.3">
      <c r="A1034">
        <v>115</v>
      </c>
      <c r="B1034">
        <v>1.5</v>
      </c>
      <c r="C1034">
        <v>2</v>
      </c>
      <c r="D1034">
        <v>0</v>
      </c>
      <c r="E1034">
        <v>308</v>
      </c>
      <c r="F1034">
        <v>30</v>
      </c>
      <c r="G1034">
        <v>2</v>
      </c>
    </row>
    <row r="1035" spans="1:7" x14ac:dyDescent="0.3">
      <c r="A1035">
        <v>53</v>
      </c>
      <c r="B1035">
        <v>1</v>
      </c>
      <c r="C1035">
        <v>4</v>
      </c>
      <c r="D1035">
        <v>0</v>
      </c>
      <c r="E1035">
        <v>153</v>
      </c>
      <c r="F1035">
        <v>30</v>
      </c>
      <c r="G1035">
        <v>1</v>
      </c>
    </row>
    <row r="1036" spans="1:7" x14ac:dyDescent="0.3">
      <c r="A1036">
        <v>108</v>
      </c>
      <c r="B1036">
        <v>1</v>
      </c>
      <c r="C1036">
        <v>2</v>
      </c>
      <c r="D1036">
        <v>0</v>
      </c>
      <c r="E1036">
        <v>288</v>
      </c>
      <c r="F1036">
        <v>30</v>
      </c>
      <c r="G1036">
        <v>6</v>
      </c>
    </row>
    <row r="1037" spans="1:7" x14ac:dyDescent="0.3">
      <c r="A1037">
        <v>70</v>
      </c>
      <c r="B1037">
        <v>1</v>
      </c>
      <c r="C1037">
        <v>2</v>
      </c>
      <c r="D1037">
        <v>0</v>
      </c>
      <c r="E1037">
        <v>292</v>
      </c>
      <c r="F1037">
        <v>30</v>
      </c>
      <c r="G1037">
        <v>2</v>
      </c>
    </row>
    <row r="1038" spans="1:7" x14ac:dyDescent="0.3">
      <c r="A1038">
        <v>250</v>
      </c>
      <c r="B1038">
        <v>1</v>
      </c>
      <c r="C1038">
        <v>0</v>
      </c>
      <c r="D1038">
        <v>0</v>
      </c>
      <c r="E1038">
        <v>150</v>
      </c>
      <c r="F1038">
        <v>30</v>
      </c>
      <c r="G1038">
        <v>2</v>
      </c>
    </row>
    <row r="1039" spans="1:7" x14ac:dyDescent="0.3">
      <c r="A1039">
        <v>50</v>
      </c>
      <c r="B1039">
        <v>2</v>
      </c>
      <c r="C1039">
        <v>0</v>
      </c>
      <c r="D1039">
        <v>1</v>
      </c>
      <c r="E1039">
        <v>336</v>
      </c>
      <c r="F1039">
        <v>30</v>
      </c>
      <c r="G1039">
        <v>2</v>
      </c>
    </row>
    <row r="1040" spans="1:7" x14ac:dyDescent="0.3">
      <c r="A1040">
        <v>354</v>
      </c>
      <c r="B1040">
        <v>1</v>
      </c>
      <c r="C1040">
        <v>4</v>
      </c>
      <c r="D1040">
        <v>0</v>
      </c>
      <c r="E1040">
        <v>222</v>
      </c>
      <c r="F1040">
        <v>5</v>
      </c>
      <c r="G1040">
        <v>6</v>
      </c>
    </row>
    <row r="1041" spans="1:7" x14ac:dyDescent="0.3">
      <c r="A1041">
        <v>104</v>
      </c>
      <c r="B1041">
        <v>1</v>
      </c>
      <c r="C1041">
        <v>4</v>
      </c>
      <c r="D1041">
        <v>0</v>
      </c>
      <c r="E1041">
        <v>52</v>
      </c>
      <c r="F1041">
        <v>1</v>
      </c>
      <c r="G1041">
        <v>2</v>
      </c>
    </row>
    <row r="1042" spans="1:7" x14ac:dyDescent="0.3">
      <c r="A1042">
        <v>274</v>
      </c>
      <c r="B1042">
        <v>1</v>
      </c>
      <c r="C1042">
        <v>4</v>
      </c>
      <c r="D1042">
        <v>1</v>
      </c>
      <c r="E1042">
        <v>91</v>
      </c>
      <c r="F1042">
        <v>1</v>
      </c>
      <c r="G1042">
        <v>2</v>
      </c>
    </row>
    <row r="1043" spans="1:7" x14ac:dyDescent="0.3">
      <c r="A1043">
        <v>359</v>
      </c>
      <c r="B1043">
        <v>1</v>
      </c>
      <c r="C1043">
        <v>4</v>
      </c>
      <c r="D1043">
        <v>1</v>
      </c>
      <c r="E1043">
        <v>66</v>
      </c>
      <c r="F1043">
        <v>1</v>
      </c>
      <c r="G1043">
        <v>4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F86F0-9AD4-49BC-9BBF-1AD06EFC016B}">
  <dimension ref="A1:T509"/>
  <sheetViews>
    <sheetView workbookViewId="0">
      <selection activeCell="L31" sqref="L31"/>
    </sheetView>
  </sheetViews>
  <sheetFormatPr defaultRowHeight="14.4" x14ac:dyDescent="0.3"/>
  <cols>
    <col min="1" max="1" width="7.5546875" bestFit="1" customWidth="1"/>
    <col min="2" max="2" width="7.33203125" bestFit="1" customWidth="1"/>
    <col min="3" max="3" width="12.21875" bestFit="1" customWidth="1"/>
    <col min="4" max="4" width="9.88671875" bestFit="1" customWidth="1"/>
    <col min="5" max="5" width="7.5546875" bestFit="1" customWidth="1"/>
    <col min="6" max="6" width="18.6640625" bestFit="1" customWidth="1"/>
    <col min="7" max="7" width="18.88671875" bestFit="1" customWidth="1"/>
    <col min="8" max="8" width="16.109375" bestFit="1" customWidth="1"/>
    <col min="9" max="9" width="16.88671875" bestFit="1" customWidth="1"/>
    <col min="10" max="10" width="16.44140625" bestFit="1" customWidth="1"/>
    <col min="12" max="12" width="16.44140625" bestFit="1" customWidth="1"/>
    <col min="13" max="13" width="12.6640625" bestFit="1" customWidth="1"/>
    <col min="14" max="14" width="13.21875" bestFit="1" customWidth="1"/>
    <col min="15" max="15" width="12.6640625" bestFit="1" customWidth="1"/>
    <col min="16" max="16" width="12" bestFit="1" customWidth="1"/>
    <col min="17" max="17" width="12.77734375" bestFit="1" customWidth="1"/>
    <col min="18" max="20" width="12.6640625" bestFit="1" customWidth="1"/>
  </cols>
  <sheetData>
    <row r="1" spans="1:17" x14ac:dyDescent="0.3">
      <c r="A1" t="s">
        <v>1407</v>
      </c>
      <c r="B1" t="s">
        <v>1421</v>
      </c>
      <c r="C1" t="s">
        <v>1422</v>
      </c>
      <c r="D1" t="s">
        <v>1423</v>
      </c>
      <c r="E1" t="s">
        <v>1424</v>
      </c>
      <c r="F1" t="s">
        <v>1425</v>
      </c>
      <c r="G1" t="s">
        <v>1426</v>
      </c>
      <c r="H1" t="s">
        <v>11</v>
      </c>
      <c r="I1" t="s">
        <v>10</v>
      </c>
      <c r="J1" t="s">
        <v>6</v>
      </c>
    </row>
    <row r="2" spans="1:17" x14ac:dyDescent="0.3">
      <c r="A2">
        <v>59</v>
      </c>
      <c r="B2">
        <v>2</v>
      </c>
      <c r="C2">
        <v>1</v>
      </c>
      <c r="D2">
        <v>4</v>
      </c>
      <c r="E2">
        <v>1</v>
      </c>
      <c r="F2">
        <v>252</v>
      </c>
      <c r="G2">
        <v>1.33</v>
      </c>
      <c r="H2">
        <v>209</v>
      </c>
      <c r="I2">
        <v>30</v>
      </c>
      <c r="J2">
        <v>1</v>
      </c>
      <c r="L2" t="s">
        <v>1427</v>
      </c>
    </row>
    <row r="3" spans="1:17" ht="15" thickBot="1" x14ac:dyDescent="0.35">
      <c r="A3">
        <v>116</v>
      </c>
      <c r="B3">
        <v>1</v>
      </c>
      <c r="C3">
        <v>1</v>
      </c>
      <c r="D3">
        <v>4</v>
      </c>
      <c r="E3">
        <v>0</v>
      </c>
      <c r="F3">
        <v>392</v>
      </c>
      <c r="G3">
        <v>2.2200000000000002</v>
      </c>
      <c r="H3">
        <v>244</v>
      </c>
      <c r="I3">
        <v>30</v>
      </c>
      <c r="J3">
        <v>2</v>
      </c>
    </row>
    <row r="4" spans="1:17" x14ac:dyDescent="0.3">
      <c r="A4">
        <v>60</v>
      </c>
      <c r="B4">
        <v>2</v>
      </c>
      <c r="C4">
        <v>1.5</v>
      </c>
      <c r="D4">
        <v>4</v>
      </c>
      <c r="E4">
        <v>1</v>
      </c>
      <c r="F4">
        <v>283</v>
      </c>
      <c r="G4">
        <v>1.62</v>
      </c>
      <c r="H4">
        <v>59</v>
      </c>
      <c r="I4">
        <v>30</v>
      </c>
      <c r="J4">
        <v>2</v>
      </c>
      <c r="L4" s="6" t="s">
        <v>1428</v>
      </c>
      <c r="M4" s="6"/>
    </row>
    <row r="5" spans="1:17" x14ac:dyDescent="0.3">
      <c r="A5">
        <v>246</v>
      </c>
      <c r="B5">
        <v>1</v>
      </c>
      <c r="C5">
        <v>1</v>
      </c>
      <c r="D5">
        <v>4</v>
      </c>
      <c r="E5">
        <v>0</v>
      </c>
      <c r="F5">
        <v>245</v>
      </c>
      <c r="G5">
        <v>1.51</v>
      </c>
      <c r="H5">
        <v>99</v>
      </c>
      <c r="I5">
        <v>30</v>
      </c>
      <c r="J5">
        <v>2</v>
      </c>
      <c r="L5" t="s">
        <v>1429</v>
      </c>
      <c r="M5">
        <v>0.69590712366396323</v>
      </c>
    </row>
    <row r="6" spans="1:17" x14ac:dyDescent="0.3">
      <c r="A6">
        <v>130</v>
      </c>
      <c r="B6">
        <v>1</v>
      </c>
      <c r="C6">
        <v>1</v>
      </c>
      <c r="D6">
        <v>4</v>
      </c>
      <c r="E6">
        <v>0</v>
      </c>
      <c r="F6">
        <v>127</v>
      </c>
      <c r="G6">
        <v>0.77</v>
      </c>
      <c r="H6">
        <v>281</v>
      </c>
      <c r="I6">
        <v>30</v>
      </c>
      <c r="J6">
        <v>3</v>
      </c>
      <c r="L6" t="s">
        <v>1430</v>
      </c>
      <c r="M6">
        <v>0.48428672476625062</v>
      </c>
    </row>
    <row r="7" spans="1:17" x14ac:dyDescent="0.3">
      <c r="A7">
        <v>150</v>
      </c>
      <c r="B7">
        <v>1</v>
      </c>
      <c r="C7">
        <v>1</v>
      </c>
      <c r="D7">
        <v>4</v>
      </c>
      <c r="E7">
        <v>0</v>
      </c>
      <c r="F7">
        <v>80</v>
      </c>
      <c r="G7">
        <v>0.52</v>
      </c>
      <c r="H7">
        <v>81</v>
      </c>
      <c r="I7">
        <v>30</v>
      </c>
      <c r="J7">
        <v>2</v>
      </c>
      <c r="L7" t="s">
        <v>1431</v>
      </c>
      <c r="M7" s="8">
        <v>0.47496660533431539</v>
      </c>
    </row>
    <row r="8" spans="1:17" x14ac:dyDescent="0.3">
      <c r="A8">
        <v>297</v>
      </c>
      <c r="B8">
        <v>1</v>
      </c>
      <c r="C8">
        <v>1</v>
      </c>
      <c r="D8">
        <v>4</v>
      </c>
      <c r="E8">
        <v>0</v>
      </c>
      <c r="F8">
        <v>242</v>
      </c>
      <c r="G8">
        <v>1.61</v>
      </c>
      <c r="H8">
        <v>70</v>
      </c>
      <c r="I8">
        <v>30</v>
      </c>
      <c r="J8">
        <v>2</v>
      </c>
      <c r="L8" t="s">
        <v>1409</v>
      </c>
      <c r="M8">
        <v>69.755427724879254</v>
      </c>
    </row>
    <row r="9" spans="1:17" ht="15" thickBot="1" x14ac:dyDescent="0.35">
      <c r="A9">
        <v>293</v>
      </c>
      <c r="B9">
        <v>2</v>
      </c>
      <c r="C9">
        <v>1</v>
      </c>
      <c r="D9">
        <v>4</v>
      </c>
      <c r="E9">
        <v>0</v>
      </c>
      <c r="F9">
        <v>102</v>
      </c>
      <c r="G9">
        <v>0.69</v>
      </c>
      <c r="H9">
        <v>317</v>
      </c>
      <c r="I9">
        <v>30</v>
      </c>
      <c r="J9">
        <v>3</v>
      </c>
      <c r="L9" s="4" t="s">
        <v>1432</v>
      </c>
      <c r="M9" s="4">
        <v>508</v>
      </c>
    </row>
    <row r="10" spans="1:17" x14ac:dyDescent="0.3">
      <c r="A10">
        <v>232</v>
      </c>
      <c r="B10">
        <v>2</v>
      </c>
      <c r="C10">
        <v>1</v>
      </c>
      <c r="D10">
        <v>4</v>
      </c>
      <c r="E10">
        <v>0</v>
      </c>
      <c r="F10">
        <v>26</v>
      </c>
      <c r="G10">
        <v>0.22</v>
      </c>
      <c r="H10">
        <v>365</v>
      </c>
      <c r="I10">
        <v>30</v>
      </c>
      <c r="J10">
        <v>3</v>
      </c>
    </row>
    <row r="11" spans="1:17" ht="15" thickBot="1" x14ac:dyDescent="0.35">
      <c r="A11">
        <v>98</v>
      </c>
      <c r="B11">
        <v>2</v>
      </c>
      <c r="C11">
        <v>1</v>
      </c>
      <c r="D11">
        <v>4</v>
      </c>
      <c r="E11">
        <v>0</v>
      </c>
      <c r="F11">
        <v>92</v>
      </c>
      <c r="G11">
        <v>0.62</v>
      </c>
      <c r="H11">
        <v>242</v>
      </c>
      <c r="I11">
        <v>30</v>
      </c>
      <c r="J11">
        <v>3</v>
      </c>
      <c r="L11" t="s">
        <v>1433</v>
      </c>
    </row>
    <row r="12" spans="1:17" x14ac:dyDescent="0.3">
      <c r="A12">
        <v>159</v>
      </c>
      <c r="B12">
        <v>1</v>
      </c>
      <c r="C12">
        <v>1.5</v>
      </c>
      <c r="D12">
        <v>4</v>
      </c>
      <c r="E12">
        <v>1</v>
      </c>
      <c r="F12">
        <v>121</v>
      </c>
      <c r="G12">
        <v>0.84</v>
      </c>
      <c r="H12">
        <v>284</v>
      </c>
      <c r="I12">
        <v>30</v>
      </c>
      <c r="J12">
        <v>1</v>
      </c>
      <c r="L12" s="5"/>
      <c r="M12" s="5" t="s">
        <v>1438</v>
      </c>
      <c r="N12" s="5" t="s">
        <v>1439</v>
      </c>
      <c r="O12" s="5" t="s">
        <v>1440</v>
      </c>
      <c r="P12" s="5" t="s">
        <v>1441</v>
      </c>
      <c r="Q12" s="5" t="s">
        <v>1442</v>
      </c>
    </row>
    <row r="13" spans="1:17" x14ac:dyDescent="0.3">
      <c r="A13">
        <v>93</v>
      </c>
      <c r="B13">
        <v>2</v>
      </c>
      <c r="C13">
        <v>1</v>
      </c>
      <c r="D13">
        <v>4</v>
      </c>
      <c r="E13">
        <v>1</v>
      </c>
      <c r="F13">
        <v>320</v>
      </c>
      <c r="G13">
        <v>2.2200000000000002</v>
      </c>
      <c r="H13">
        <v>107</v>
      </c>
      <c r="I13">
        <v>30</v>
      </c>
      <c r="J13">
        <v>1</v>
      </c>
      <c r="L13" t="s">
        <v>1434</v>
      </c>
      <c r="M13">
        <v>9</v>
      </c>
      <c r="N13">
        <v>2275514.5054206587</v>
      </c>
      <c r="O13">
        <v>252834.94504673986</v>
      </c>
      <c r="P13">
        <v>51.961429067834736</v>
      </c>
      <c r="Q13">
        <v>4.2534279750273488E-66</v>
      </c>
    </row>
    <row r="14" spans="1:17" x14ac:dyDescent="0.3">
      <c r="A14">
        <v>140</v>
      </c>
      <c r="B14">
        <v>1</v>
      </c>
      <c r="C14">
        <v>1</v>
      </c>
      <c r="D14">
        <v>4</v>
      </c>
      <c r="E14">
        <v>0</v>
      </c>
      <c r="F14">
        <v>69</v>
      </c>
      <c r="G14">
        <v>0.56000000000000005</v>
      </c>
      <c r="H14">
        <v>89</v>
      </c>
      <c r="I14">
        <v>30</v>
      </c>
      <c r="J14">
        <v>2</v>
      </c>
      <c r="L14" t="s">
        <v>1435</v>
      </c>
      <c r="M14">
        <v>498</v>
      </c>
      <c r="N14">
        <v>2423178.2091462649</v>
      </c>
      <c r="O14">
        <v>4865.8196970808531</v>
      </c>
    </row>
    <row r="15" spans="1:17" ht="15" thickBot="1" x14ac:dyDescent="0.35">
      <c r="A15">
        <v>140</v>
      </c>
      <c r="B15">
        <v>1</v>
      </c>
      <c r="C15">
        <v>1</v>
      </c>
      <c r="D15">
        <v>4</v>
      </c>
      <c r="E15">
        <v>0</v>
      </c>
      <c r="F15">
        <v>309</v>
      </c>
      <c r="G15">
        <v>2.23</v>
      </c>
      <c r="H15">
        <v>277</v>
      </c>
      <c r="I15">
        <v>30</v>
      </c>
      <c r="J15">
        <v>2</v>
      </c>
      <c r="L15" s="4" t="s">
        <v>1436</v>
      </c>
      <c r="M15" s="4">
        <v>507</v>
      </c>
      <c r="N15" s="4">
        <v>4698692.7145669237</v>
      </c>
      <c r="O15" s="4"/>
      <c r="P15" s="4"/>
      <c r="Q15" s="4"/>
    </row>
    <row r="16" spans="1:17" ht="15" thickBot="1" x14ac:dyDescent="0.35">
      <c r="A16">
        <v>153</v>
      </c>
      <c r="B16">
        <v>1</v>
      </c>
      <c r="C16">
        <v>1</v>
      </c>
      <c r="D16">
        <v>4</v>
      </c>
      <c r="E16">
        <v>0</v>
      </c>
      <c r="F16">
        <v>280</v>
      </c>
      <c r="G16">
        <v>2.6</v>
      </c>
      <c r="H16">
        <v>83</v>
      </c>
      <c r="I16">
        <v>30</v>
      </c>
      <c r="J16">
        <v>3</v>
      </c>
    </row>
    <row r="17" spans="1:20" x14ac:dyDescent="0.3">
      <c r="A17">
        <v>125</v>
      </c>
      <c r="B17">
        <v>1</v>
      </c>
      <c r="C17">
        <v>1</v>
      </c>
      <c r="D17">
        <v>4</v>
      </c>
      <c r="E17">
        <v>0</v>
      </c>
      <c r="F17">
        <v>14</v>
      </c>
      <c r="G17">
        <v>0.14000000000000001</v>
      </c>
      <c r="H17">
        <v>338</v>
      </c>
      <c r="I17">
        <v>30</v>
      </c>
      <c r="J17">
        <v>2</v>
      </c>
      <c r="L17" s="5"/>
      <c r="M17" s="5" t="s">
        <v>1443</v>
      </c>
      <c r="N17" s="5" t="s">
        <v>1409</v>
      </c>
      <c r="O17" s="5" t="s">
        <v>1444</v>
      </c>
      <c r="P17" s="5" t="s">
        <v>1445</v>
      </c>
      <c r="Q17" s="5" t="s">
        <v>1446</v>
      </c>
      <c r="R17" s="5" t="s">
        <v>1447</v>
      </c>
      <c r="S17" s="5" t="s">
        <v>1448</v>
      </c>
      <c r="T17" s="5" t="s">
        <v>1449</v>
      </c>
    </row>
    <row r="18" spans="1:20" x14ac:dyDescent="0.3">
      <c r="A18">
        <v>100</v>
      </c>
      <c r="B18">
        <v>1</v>
      </c>
      <c r="C18">
        <v>1</v>
      </c>
      <c r="D18">
        <v>4</v>
      </c>
      <c r="E18">
        <v>0</v>
      </c>
      <c r="F18">
        <v>25</v>
      </c>
      <c r="G18">
        <v>0.19</v>
      </c>
      <c r="H18">
        <v>193</v>
      </c>
      <c r="I18">
        <v>30</v>
      </c>
      <c r="J18">
        <v>2</v>
      </c>
      <c r="L18" t="s">
        <v>1437</v>
      </c>
      <c r="M18">
        <v>220.67022473025929</v>
      </c>
      <c r="N18">
        <v>14.728545021298837</v>
      </c>
      <c r="O18">
        <v>14.982486349544354</v>
      </c>
      <c r="P18">
        <v>3.7005591346404668E-42</v>
      </c>
      <c r="Q18">
        <v>191.73247816452468</v>
      </c>
      <c r="R18">
        <v>249.60797129599391</v>
      </c>
      <c r="S18">
        <v>191.73247816452468</v>
      </c>
      <c r="T18">
        <v>249.60797129599391</v>
      </c>
    </row>
    <row r="19" spans="1:20" x14ac:dyDescent="0.3">
      <c r="A19">
        <v>117</v>
      </c>
      <c r="B19">
        <v>2</v>
      </c>
      <c r="C19">
        <v>1</v>
      </c>
      <c r="D19">
        <v>4</v>
      </c>
      <c r="E19">
        <v>0</v>
      </c>
      <c r="F19">
        <v>11</v>
      </c>
      <c r="G19">
        <v>0.11</v>
      </c>
      <c r="H19">
        <v>257</v>
      </c>
      <c r="I19">
        <v>30</v>
      </c>
      <c r="J19">
        <v>2</v>
      </c>
      <c r="L19" t="s">
        <v>1421</v>
      </c>
      <c r="M19">
        <v>-15.923827981142507</v>
      </c>
      <c r="N19">
        <v>6.0382307312682357</v>
      </c>
      <c r="O19">
        <v>-2.6371678542661381</v>
      </c>
      <c r="P19">
        <v>8.621419428171833E-3</v>
      </c>
      <c r="Q19">
        <v>-27.787375287016296</v>
      </c>
      <c r="R19">
        <v>-4.0602806752687162</v>
      </c>
      <c r="S19">
        <v>-27.787375287016296</v>
      </c>
      <c r="T19">
        <v>-4.0602806752687162</v>
      </c>
    </row>
    <row r="20" spans="1:20" x14ac:dyDescent="0.3">
      <c r="A20">
        <v>110</v>
      </c>
      <c r="B20">
        <v>1</v>
      </c>
      <c r="C20">
        <v>1</v>
      </c>
      <c r="D20">
        <v>4</v>
      </c>
      <c r="E20">
        <v>1</v>
      </c>
      <c r="F20">
        <v>172</v>
      </c>
      <c r="G20">
        <v>1.3</v>
      </c>
      <c r="H20">
        <v>270</v>
      </c>
      <c r="I20">
        <v>7</v>
      </c>
      <c r="J20">
        <v>1</v>
      </c>
      <c r="L20" t="s">
        <v>1422</v>
      </c>
      <c r="M20">
        <v>11.223522112457871</v>
      </c>
      <c r="N20">
        <v>5.6551005296757637</v>
      </c>
      <c r="O20">
        <v>1.9846724304123686</v>
      </c>
      <c r="P20">
        <v>4.7729236813681561E-2</v>
      </c>
      <c r="Q20">
        <v>0.11272564920492734</v>
      </c>
      <c r="R20">
        <v>22.334318575710817</v>
      </c>
      <c r="S20">
        <v>0.11272564920492734</v>
      </c>
      <c r="T20">
        <v>22.334318575710817</v>
      </c>
    </row>
    <row r="21" spans="1:20" x14ac:dyDescent="0.3">
      <c r="A21">
        <v>241</v>
      </c>
      <c r="B21">
        <v>1</v>
      </c>
      <c r="C21">
        <v>1</v>
      </c>
      <c r="D21">
        <v>4</v>
      </c>
      <c r="E21">
        <v>0</v>
      </c>
      <c r="F21">
        <v>271</v>
      </c>
      <c r="G21">
        <v>2.09</v>
      </c>
      <c r="H21">
        <v>132</v>
      </c>
      <c r="I21">
        <v>30</v>
      </c>
      <c r="J21">
        <v>2</v>
      </c>
      <c r="L21" t="s">
        <v>1423</v>
      </c>
      <c r="M21">
        <v>0</v>
      </c>
      <c r="N21">
        <v>0</v>
      </c>
      <c r="O21">
        <v>65535</v>
      </c>
      <c r="P21" t="e">
        <v>#NUM!</v>
      </c>
      <c r="Q21">
        <v>0</v>
      </c>
      <c r="R21">
        <v>0</v>
      </c>
      <c r="S21">
        <v>0</v>
      </c>
      <c r="T21">
        <v>0</v>
      </c>
    </row>
    <row r="22" spans="1:20" x14ac:dyDescent="0.3">
      <c r="A22">
        <v>121</v>
      </c>
      <c r="B22">
        <v>1</v>
      </c>
      <c r="C22">
        <v>1</v>
      </c>
      <c r="D22">
        <v>4</v>
      </c>
      <c r="E22">
        <v>0</v>
      </c>
      <c r="F22">
        <v>9</v>
      </c>
      <c r="G22">
        <v>0.09</v>
      </c>
      <c r="H22">
        <v>228</v>
      </c>
      <c r="I22">
        <v>30</v>
      </c>
      <c r="J22">
        <v>2</v>
      </c>
      <c r="L22" t="s">
        <v>1424</v>
      </c>
      <c r="M22">
        <v>-48.595042260753587</v>
      </c>
      <c r="N22">
        <v>7.9714642268371145</v>
      </c>
      <c r="O22">
        <v>-6.0961249875714403</v>
      </c>
      <c r="P22" t="e">
        <v>#NUM!</v>
      </c>
      <c r="Q22">
        <v>-64.25688877854968</v>
      </c>
      <c r="R22">
        <v>-32.933195742957494</v>
      </c>
      <c r="S22">
        <v>-64.25688877854968</v>
      </c>
      <c r="T22">
        <v>-32.933195742957494</v>
      </c>
    </row>
    <row r="23" spans="1:20" x14ac:dyDescent="0.3">
      <c r="A23">
        <v>150</v>
      </c>
      <c r="B23">
        <v>1</v>
      </c>
      <c r="C23">
        <v>1</v>
      </c>
      <c r="D23">
        <v>4</v>
      </c>
      <c r="E23">
        <v>0</v>
      </c>
      <c r="F23">
        <v>77</v>
      </c>
      <c r="G23">
        <v>0.6</v>
      </c>
      <c r="H23">
        <v>268</v>
      </c>
      <c r="I23">
        <v>30</v>
      </c>
      <c r="J23">
        <v>2</v>
      </c>
      <c r="L23" t="s">
        <v>1425</v>
      </c>
      <c r="M23">
        <v>5.2387397668108841E-2</v>
      </c>
      <c r="N23">
        <v>6.499519111888416E-2</v>
      </c>
      <c r="O23">
        <v>0.80601959570033233</v>
      </c>
      <c r="P23">
        <v>0.42061626123198936</v>
      </c>
      <c r="Q23">
        <v>-7.5311188028572285E-2</v>
      </c>
      <c r="R23">
        <v>0.18008598336478998</v>
      </c>
      <c r="S23">
        <v>-7.5311188028572285E-2</v>
      </c>
      <c r="T23">
        <v>0.18008598336478998</v>
      </c>
    </row>
    <row r="24" spans="1:20" x14ac:dyDescent="0.3">
      <c r="A24">
        <v>100</v>
      </c>
      <c r="B24">
        <v>2</v>
      </c>
      <c r="C24">
        <v>1</v>
      </c>
      <c r="D24">
        <v>4</v>
      </c>
      <c r="E24">
        <v>0</v>
      </c>
      <c r="F24">
        <v>27</v>
      </c>
      <c r="G24">
        <v>0.22</v>
      </c>
      <c r="H24">
        <v>280</v>
      </c>
      <c r="I24">
        <v>30</v>
      </c>
      <c r="J24">
        <v>3</v>
      </c>
      <c r="L24" t="s">
        <v>1426</v>
      </c>
      <c r="M24">
        <v>1.8650180945060217</v>
      </c>
      <c r="N24">
        <v>3.6155688627126579</v>
      </c>
      <c r="O24">
        <v>0.51582978096197896</v>
      </c>
      <c r="P24">
        <v>0.6062022306179603</v>
      </c>
      <c r="Q24">
        <v>-5.238630995668248</v>
      </c>
      <c r="R24">
        <v>8.9686671846802923</v>
      </c>
      <c r="S24">
        <v>-5.238630995668248</v>
      </c>
      <c r="T24">
        <v>8.9686671846802923</v>
      </c>
    </row>
    <row r="25" spans="1:20" x14ac:dyDescent="0.3">
      <c r="A25">
        <v>166</v>
      </c>
      <c r="B25">
        <v>1</v>
      </c>
      <c r="C25">
        <v>1</v>
      </c>
      <c r="D25">
        <v>4</v>
      </c>
      <c r="E25">
        <v>0</v>
      </c>
      <c r="F25">
        <v>375</v>
      </c>
      <c r="G25">
        <v>2.92</v>
      </c>
      <c r="H25">
        <v>114</v>
      </c>
      <c r="I25">
        <v>30</v>
      </c>
      <c r="J25">
        <v>2</v>
      </c>
      <c r="L25" t="s">
        <v>11</v>
      </c>
      <c r="M25">
        <v>-1.7648958427045648E-2</v>
      </c>
      <c r="N25">
        <v>3.4342025674337362E-2</v>
      </c>
      <c r="O25">
        <v>-0.51391722184385058</v>
      </c>
      <c r="P25">
        <v>0.60753781714548483</v>
      </c>
      <c r="Q25">
        <v>-8.5122075023479821E-2</v>
      </c>
      <c r="R25">
        <v>4.9824158169388517E-2</v>
      </c>
      <c r="S25">
        <v>-8.5122075023479821E-2</v>
      </c>
      <c r="T25">
        <v>4.9824158169388517E-2</v>
      </c>
    </row>
    <row r="26" spans="1:20" x14ac:dyDescent="0.3">
      <c r="A26">
        <v>96</v>
      </c>
      <c r="B26">
        <v>1</v>
      </c>
      <c r="C26">
        <v>1</v>
      </c>
      <c r="D26">
        <v>4</v>
      </c>
      <c r="E26">
        <v>1</v>
      </c>
      <c r="F26">
        <v>17</v>
      </c>
      <c r="G26">
        <v>0.15</v>
      </c>
      <c r="H26">
        <v>106</v>
      </c>
      <c r="I26">
        <v>30</v>
      </c>
      <c r="J26">
        <v>2</v>
      </c>
      <c r="L26" t="s">
        <v>10</v>
      </c>
      <c r="M26">
        <v>-4.1499189152960358</v>
      </c>
      <c r="N26">
        <v>0.32044819441491329</v>
      </c>
      <c r="O26">
        <v>-12.950358240816799</v>
      </c>
      <c r="P26">
        <v>2.8957355974773695E-33</v>
      </c>
      <c r="Q26">
        <v>-4.7795159748844966</v>
      </c>
      <c r="R26">
        <v>-3.5203218557075746</v>
      </c>
      <c r="S26">
        <v>-4.7795159748844966</v>
      </c>
      <c r="T26">
        <v>-3.5203218557075746</v>
      </c>
    </row>
    <row r="27" spans="1:20" ht="15" thickBot="1" x14ac:dyDescent="0.35">
      <c r="A27">
        <v>90</v>
      </c>
      <c r="B27">
        <v>1</v>
      </c>
      <c r="C27">
        <v>1.5</v>
      </c>
      <c r="D27">
        <v>4</v>
      </c>
      <c r="E27">
        <v>1</v>
      </c>
      <c r="F27">
        <v>244</v>
      </c>
      <c r="G27">
        <v>1.91</v>
      </c>
      <c r="H27">
        <v>111</v>
      </c>
      <c r="I27">
        <v>30</v>
      </c>
      <c r="J27">
        <v>2</v>
      </c>
      <c r="L27" s="4" t="s">
        <v>6</v>
      </c>
      <c r="M27" s="4">
        <v>29.266320835690724</v>
      </c>
      <c r="N27" s="4">
        <v>3.8071456993733355</v>
      </c>
      <c r="O27" s="4">
        <v>7.6872079890475495</v>
      </c>
      <c r="P27" s="4">
        <v>8.0787346615170382E-14</v>
      </c>
      <c r="Q27" s="4">
        <v>21.786273266295662</v>
      </c>
      <c r="R27" s="4">
        <v>36.746368405085782</v>
      </c>
      <c r="S27" s="4">
        <v>21.786273266295662</v>
      </c>
      <c r="T27" s="4">
        <v>36.746368405085782</v>
      </c>
    </row>
    <row r="28" spans="1:20" x14ac:dyDescent="0.3">
      <c r="A28">
        <v>68</v>
      </c>
      <c r="B28">
        <v>1</v>
      </c>
      <c r="C28">
        <v>1.5</v>
      </c>
      <c r="D28">
        <v>4</v>
      </c>
      <c r="E28">
        <v>1</v>
      </c>
      <c r="F28">
        <v>68</v>
      </c>
      <c r="G28">
        <v>0.65</v>
      </c>
      <c r="H28">
        <v>146</v>
      </c>
      <c r="I28">
        <v>30</v>
      </c>
      <c r="J28">
        <v>1</v>
      </c>
    </row>
    <row r="29" spans="1:20" x14ac:dyDescent="0.3">
      <c r="A29">
        <v>52</v>
      </c>
      <c r="B29">
        <v>1</v>
      </c>
      <c r="C29">
        <v>1</v>
      </c>
      <c r="D29">
        <v>4</v>
      </c>
      <c r="E29">
        <v>1</v>
      </c>
      <c r="F29">
        <v>189</v>
      </c>
      <c r="G29">
        <v>1.48</v>
      </c>
      <c r="H29">
        <v>274</v>
      </c>
      <c r="I29">
        <v>30</v>
      </c>
      <c r="J29">
        <v>1</v>
      </c>
    </row>
    <row r="30" spans="1:20" x14ac:dyDescent="0.3">
      <c r="A30">
        <v>140</v>
      </c>
      <c r="B30">
        <v>3</v>
      </c>
      <c r="C30">
        <v>1</v>
      </c>
      <c r="D30">
        <v>4</v>
      </c>
      <c r="E30">
        <v>0</v>
      </c>
      <c r="F30">
        <v>28</v>
      </c>
      <c r="G30">
        <v>0.24</v>
      </c>
      <c r="H30">
        <v>291</v>
      </c>
      <c r="I30">
        <v>30</v>
      </c>
      <c r="J30">
        <v>4</v>
      </c>
    </row>
    <row r="31" spans="1:20" x14ac:dyDescent="0.3">
      <c r="A31">
        <v>126</v>
      </c>
      <c r="B31">
        <v>1</v>
      </c>
      <c r="C31">
        <v>1</v>
      </c>
      <c r="D31">
        <v>4</v>
      </c>
      <c r="E31">
        <v>1</v>
      </c>
      <c r="F31">
        <v>79</v>
      </c>
      <c r="G31">
        <v>0.63</v>
      </c>
      <c r="H31">
        <v>136</v>
      </c>
      <c r="I31">
        <v>30</v>
      </c>
      <c r="J31">
        <v>1</v>
      </c>
    </row>
    <row r="32" spans="1:20" x14ac:dyDescent="0.3">
      <c r="A32">
        <v>160</v>
      </c>
      <c r="B32">
        <v>1</v>
      </c>
      <c r="C32">
        <v>1</v>
      </c>
      <c r="D32">
        <v>4</v>
      </c>
      <c r="E32">
        <v>0</v>
      </c>
      <c r="F32">
        <v>99</v>
      </c>
      <c r="G32">
        <v>0.8</v>
      </c>
      <c r="H32">
        <v>158</v>
      </c>
      <c r="I32">
        <v>30</v>
      </c>
      <c r="J32">
        <v>2</v>
      </c>
    </row>
    <row r="33" spans="1:10" x14ac:dyDescent="0.3">
      <c r="A33">
        <v>114</v>
      </c>
      <c r="B33">
        <v>2</v>
      </c>
      <c r="C33">
        <v>1</v>
      </c>
      <c r="D33">
        <v>4</v>
      </c>
      <c r="E33">
        <v>0</v>
      </c>
      <c r="F33">
        <v>26</v>
      </c>
      <c r="G33">
        <v>0.23</v>
      </c>
      <c r="H33">
        <v>364</v>
      </c>
      <c r="I33">
        <v>30</v>
      </c>
      <c r="J33">
        <v>3</v>
      </c>
    </row>
    <row r="34" spans="1:10" x14ac:dyDescent="0.3">
      <c r="A34">
        <v>117</v>
      </c>
      <c r="B34">
        <v>1</v>
      </c>
      <c r="C34">
        <v>1</v>
      </c>
      <c r="D34">
        <v>4</v>
      </c>
      <c r="E34">
        <v>0</v>
      </c>
      <c r="F34">
        <v>26</v>
      </c>
      <c r="G34">
        <v>0.21</v>
      </c>
      <c r="H34">
        <v>337</v>
      </c>
      <c r="I34">
        <v>30</v>
      </c>
      <c r="J34">
        <v>2</v>
      </c>
    </row>
    <row r="35" spans="1:10" x14ac:dyDescent="0.3">
      <c r="A35">
        <v>219</v>
      </c>
      <c r="B35">
        <v>2</v>
      </c>
      <c r="C35">
        <v>1</v>
      </c>
      <c r="D35">
        <v>4</v>
      </c>
      <c r="E35">
        <v>0</v>
      </c>
      <c r="F35">
        <v>17</v>
      </c>
      <c r="G35">
        <v>0.15</v>
      </c>
      <c r="H35">
        <v>348</v>
      </c>
      <c r="I35">
        <v>30</v>
      </c>
      <c r="J35">
        <v>3</v>
      </c>
    </row>
    <row r="36" spans="1:10" x14ac:dyDescent="0.3">
      <c r="A36">
        <v>118</v>
      </c>
      <c r="B36">
        <v>1</v>
      </c>
      <c r="C36">
        <v>10.5</v>
      </c>
      <c r="D36">
        <v>4</v>
      </c>
      <c r="E36">
        <v>1</v>
      </c>
      <c r="F36">
        <v>22</v>
      </c>
      <c r="G36">
        <v>0.19</v>
      </c>
      <c r="H36">
        <v>243</v>
      </c>
      <c r="I36">
        <v>30</v>
      </c>
      <c r="J36">
        <v>1</v>
      </c>
    </row>
    <row r="37" spans="1:10" x14ac:dyDescent="0.3">
      <c r="A37">
        <v>163</v>
      </c>
      <c r="B37">
        <v>1</v>
      </c>
      <c r="C37">
        <v>1</v>
      </c>
      <c r="D37">
        <v>4</v>
      </c>
      <c r="E37">
        <v>0</v>
      </c>
      <c r="F37">
        <v>24</v>
      </c>
      <c r="G37">
        <v>0.2</v>
      </c>
      <c r="H37">
        <v>159</v>
      </c>
      <c r="I37">
        <v>30</v>
      </c>
      <c r="J37">
        <v>2</v>
      </c>
    </row>
    <row r="38" spans="1:10" x14ac:dyDescent="0.3">
      <c r="A38">
        <v>100</v>
      </c>
      <c r="B38">
        <v>1</v>
      </c>
      <c r="C38">
        <v>1</v>
      </c>
      <c r="D38">
        <v>4</v>
      </c>
      <c r="E38">
        <v>1</v>
      </c>
      <c r="F38">
        <v>36</v>
      </c>
      <c r="G38">
        <v>1.07</v>
      </c>
      <c r="H38">
        <v>209</v>
      </c>
      <c r="I38">
        <v>30</v>
      </c>
      <c r="J38">
        <v>1</v>
      </c>
    </row>
    <row r="39" spans="1:10" x14ac:dyDescent="0.3">
      <c r="A39">
        <v>62</v>
      </c>
      <c r="B39">
        <v>1</v>
      </c>
      <c r="C39">
        <v>1</v>
      </c>
      <c r="D39">
        <v>4</v>
      </c>
      <c r="E39">
        <v>1</v>
      </c>
      <c r="F39">
        <v>17</v>
      </c>
      <c r="G39">
        <v>0.14000000000000001</v>
      </c>
      <c r="H39">
        <v>74</v>
      </c>
      <c r="I39">
        <v>30</v>
      </c>
      <c r="J39">
        <v>2</v>
      </c>
    </row>
    <row r="40" spans="1:10" x14ac:dyDescent="0.3">
      <c r="A40">
        <v>101</v>
      </c>
      <c r="B40">
        <v>1</v>
      </c>
      <c r="C40">
        <v>1</v>
      </c>
      <c r="D40">
        <v>4</v>
      </c>
      <c r="E40">
        <v>1</v>
      </c>
      <c r="F40">
        <v>302</v>
      </c>
      <c r="G40">
        <v>2.57</v>
      </c>
      <c r="H40">
        <v>250</v>
      </c>
      <c r="I40">
        <v>30</v>
      </c>
      <c r="J40">
        <v>1</v>
      </c>
    </row>
    <row r="41" spans="1:10" x14ac:dyDescent="0.3">
      <c r="A41">
        <v>59</v>
      </c>
      <c r="B41">
        <v>1</v>
      </c>
      <c r="C41">
        <v>1</v>
      </c>
      <c r="D41">
        <v>4</v>
      </c>
      <c r="E41">
        <v>1</v>
      </c>
      <c r="F41">
        <v>248</v>
      </c>
      <c r="G41">
        <v>2.13</v>
      </c>
      <c r="H41">
        <v>54</v>
      </c>
      <c r="I41">
        <v>30</v>
      </c>
      <c r="J41">
        <v>1</v>
      </c>
    </row>
    <row r="42" spans="1:10" x14ac:dyDescent="0.3">
      <c r="A42">
        <v>127</v>
      </c>
      <c r="B42">
        <v>1</v>
      </c>
      <c r="C42">
        <v>1</v>
      </c>
      <c r="D42">
        <v>4</v>
      </c>
      <c r="E42">
        <v>1</v>
      </c>
      <c r="F42">
        <v>142</v>
      </c>
      <c r="G42">
        <v>1.24</v>
      </c>
      <c r="H42">
        <v>121</v>
      </c>
      <c r="I42">
        <v>5</v>
      </c>
      <c r="J42">
        <v>2</v>
      </c>
    </row>
    <row r="43" spans="1:10" x14ac:dyDescent="0.3">
      <c r="A43">
        <v>90</v>
      </c>
      <c r="B43">
        <v>1</v>
      </c>
      <c r="C43">
        <v>1</v>
      </c>
      <c r="D43">
        <v>4</v>
      </c>
      <c r="E43">
        <v>1</v>
      </c>
      <c r="F43">
        <v>117</v>
      </c>
      <c r="G43">
        <v>1.02</v>
      </c>
      <c r="H43">
        <v>104</v>
      </c>
      <c r="I43">
        <v>30</v>
      </c>
      <c r="J43">
        <v>2</v>
      </c>
    </row>
    <row r="44" spans="1:10" x14ac:dyDescent="0.3">
      <c r="A44">
        <v>115</v>
      </c>
      <c r="B44">
        <v>1</v>
      </c>
      <c r="C44">
        <v>1</v>
      </c>
      <c r="D44">
        <v>4</v>
      </c>
      <c r="E44">
        <v>0</v>
      </c>
      <c r="F44">
        <v>19</v>
      </c>
      <c r="G44">
        <v>0.17</v>
      </c>
      <c r="H44">
        <v>335</v>
      </c>
      <c r="I44">
        <v>30</v>
      </c>
      <c r="J44">
        <v>3</v>
      </c>
    </row>
    <row r="45" spans="1:10" x14ac:dyDescent="0.3">
      <c r="A45">
        <v>175</v>
      </c>
      <c r="B45">
        <v>2</v>
      </c>
      <c r="C45">
        <v>1</v>
      </c>
      <c r="D45">
        <v>4</v>
      </c>
      <c r="E45">
        <v>0</v>
      </c>
      <c r="F45">
        <v>16</v>
      </c>
      <c r="G45">
        <v>0.15</v>
      </c>
      <c r="H45">
        <v>232</v>
      </c>
      <c r="I45">
        <v>30</v>
      </c>
      <c r="J45">
        <v>4</v>
      </c>
    </row>
    <row r="46" spans="1:10" x14ac:dyDescent="0.3">
      <c r="A46">
        <v>129</v>
      </c>
      <c r="B46">
        <v>1</v>
      </c>
      <c r="C46">
        <v>1</v>
      </c>
      <c r="D46">
        <v>4</v>
      </c>
      <c r="E46">
        <v>0</v>
      </c>
      <c r="F46">
        <v>20</v>
      </c>
      <c r="G46">
        <v>0.21</v>
      </c>
      <c r="H46">
        <v>258</v>
      </c>
      <c r="I46">
        <v>30</v>
      </c>
      <c r="J46">
        <v>2</v>
      </c>
    </row>
    <row r="47" spans="1:10" x14ac:dyDescent="0.3">
      <c r="A47">
        <v>130</v>
      </c>
      <c r="B47">
        <v>1</v>
      </c>
      <c r="C47">
        <v>1</v>
      </c>
      <c r="D47">
        <v>4</v>
      </c>
      <c r="E47">
        <v>0</v>
      </c>
      <c r="F47">
        <v>14</v>
      </c>
      <c r="G47">
        <v>0.13</v>
      </c>
      <c r="H47">
        <v>286</v>
      </c>
      <c r="I47">
        <v>30</v>
      </c>
      <c r="J47">
        <v>2</v>
      </c>
    </row>
    <row r="48" spans="1:10" x14ac:dyDescent="0.3">
      <c r="A48">
        <v>119</v>
      </c>
      <c r="B48">
        <v>1</v>
      </c>
      <c r="C48">
        <v>1</v>
      </c>
      <c r="D48">
        <v>4</v>
      </c>
      <c r="E48">
        <v>1</v>
      </c>
      <c r="F48">
        <v>94</v>
      </c>
      <c r="G48">
        <v>1.03</v>
      </c>
      <c r="H48">
        <v>203</v>
      </c>
      <c r="I48">
        <v>30</v>
      </c>
      <c r="J48">
        <v>2</v>
      </c>
    </row>
    <row r="49" spans="1:10" x14ac:dyDescent="0.3">
      <c r="A49">
        <v>120</v>
      </c>
      <c r="B49">
        <v>1</v>
      </c>
      <c r="C49">
        <v>1</v>
      </c>
      <c r="D49">
        <v>4</v>
      </c>
      <c r="E49">
        <v>0</v>
      </c>
      <c r="F49">
        <v>16</v>
      </c>
      <c r="G49">
        <v>0.15</v>
      </c>
      <c r="H49">
        <v>305</v>
      </c>
      <c r="I49">
        <v>30</v>
      </c>
      <c r="J49">
        <v>2</v>
      </c>
    </row>
    <row r="50" spans="1:10" x14ac:dyDescent="0.3">
      <c r="A50">
        <v>148</v>
      </c>
      <c r="B50">
        <v>1</v>
      </c>
      <c r="C50">
        <v>1.5</v>
      </c>
      <c r="D50">
        <v>4</v>
      </c>
      <c r="E50">
        <v>1</v>
      </c>
      <c r="F50">
        <v>25</v>
      </c>
      <c r="G50">
        <v>0.46</v>
      </c>
      <c r="H50">
        <v>33</v>
      </c>
      <c r="I50">
        <v>3</v>
      </c>
      <c r="J50">
        <v>2</v>
      </c>
    </row>
    <row r="51" spans="1:10" x14ac:dyDescent="0.3">
      <c r="A51">
        <v>179</v>
      </c>
      <c r="B51">
        <v>1</v>
      </c>
      <c r="C51">
        <v>1</v>
      </c>
      <c r="D51">
        <v>4</v>
      </c>
      <c r="E51">
        <v>0</v>
      </c>
      <c r="F51">
        <v>88</v>
      </c>
      <c r="G51">
        <v>0.81</v>
      </c>
      <c r="H51">
        <v>173</v>
      </c>
      <c r="I51">
        <v>30</v>
      </c>
      <c r="J51">
        <v>2</v>
      </c>
    </row>
    <row r="52" spans="1:10" x14ac:dyDescent="0.3">
      <c r="A52">
        <v>137</v>
      </c>
      <c r="B52">
        <v>2</v>
      </c>
      <c r="C52">
        <v>1</v>
      </c>
      <c r="D52">
        <v>4</v>
      </c>
      <c r="E52">
        <v>0</v>
      </c>
      <c r="F52">
        <v>33</v>
      </c>
      <c r="G52">
        <v>0.31</v>
      </c>
      <c r="H52">
        <v>345</v>
      </c>
      <c r="I52">
        <v>30</v>
      </c>
      <c r="J52">
        <v>2</v>
      </c>
    </row>
    <row r="53" spans="1:10" x14ac:dyDescent="0.3">
      <c r="A53">
        <v>120</v>
      </c>
      <c r="B53">
        <v>4</v>
      </c>
      <c r="C53">
        <v>1</v>
      </c>
      <c r="D53">
        <v>4</v>
      </c>
      <c r="E53">
        <v>0</v>
      </c>
      <c r="F53">
        <v>14</v>
      </c>
      <c r="G53">
        <v>0.15</v>
      </c>
      <c r="H53">
        <v>271</v>
      </c>
      <c r="I53">
        <v>30</v>
      </c>
      <c r="J53">
        <v>4</v>
      </c>
    </row>
    <row r="54" spans="1:10" x14ac:dyDescent="0.3">
      <c r="A54">
        <v>175</v>
      </c>
      <c r="B54">
        <v>1</v>
      </c>
      <c r="C54">
        <v>1</v>
      </c>
      <c r="D54">
        <v>4</v>
      </c>
      <c r="E54">
        <v>0</v>
      </c>
      <c r="F54">
        <v>7</v>
      </c>
      <c r="G54">
        <v>7.0000000000000007E-2</v>
      </c>
      <c r="H54">
        <v>362</v>
      </c>
      <c r="I54">
        <v>30</v>
      </c>
      <c r="J54">
        <v>3</v>
      </c>
    </row>
    <row r="55" spans="1:10" x14ac:dyDescent="0.3">
      <c r="A55">
        <v>122</v>
      </c>
      <c r="B55">
        <v>1</v>
      </c>
      <c r="C55">
        <v>1</v>
      </c>
      <c r="D55">
        <v>4</v>
      </c>
      <c r="E55">
        <v>0</v>
      </c>
      <c r="F55">
        <v>23</v>
      </c>
      <c r="G55">
        <v>0.22</v>
      </c>
      <c r="H55">
        <v>320</v>
      </c>
      <c r="I55">
        <v>30</v>
      </c>
      <c r="J55">
        <v>2</v>
      </c>
    </row>
    <row r="56" spans="1:10" x14ac:dyDescent="0.3">
      <c r="A56">
        <v>160</v>
      </c>
      <c r="B56">
        <v>1</v>
      </c>
      <c r="C56">
        <v>1</v>
      </c>
      <c r="D56">
        <v>4</v>
      </c>
      <c r="E56">
        <v>0</v>
      </c>
      <c r="F56">
        <v>32</v>
      </c>
      <c r="G56">
        <v>0.31</v>
      </c>
      <c r="H56">
        <v>173</v>
      </c>
      <c r="I56">
        <v>30</v>
      </c>
      <c r="J56">
        <v>3</v>
      </c>
    </row>
    <row r="57" spans="1:10" x14ac:dyDescent="0.3">
      <c r="A57">
        <v>136</v>
      </c>
      <c r="B57">
        <v>2</v>
      </c>
      <c r="C57">
        <v>1</v>
      </c>
      <c r="D57">
        <v>4</v>
      </c>
      <c r="E57">
        <v>0</v>
      </c>
      <c r="F57">
        <v>13</v>
      </c>
      <c r="G57">
        <v>0.13</v>
      </c>
      <c r="H57">
        <v>334</v>
      </c>
      <c r="I57">
        <v>30</v>
      </c>
      <c r="J57">
        <v>2</v>
      </c>
    </row>
    <row r="58" spans="1:10" x14ac:dyDescent="0.3">
      <c r="A58">
        <v>132</v>
      </c>
      <c r="B58">
        <v>1</v>
      </c>
      <c r="C58">
        <v>1</v>
      </c>
      <c r="D58">
        <v>4</v>
      </c>
      <c r="E58">
        <v>0</v>
      </c>
      <c r="F58">
        <v>33</v>
      </c>
      <c r="G58">
        <v>0.34</v>
      </c>
      <c r="H58">
        <v>335</v>
      </c>
      <c r="I58">
        <v>30</v>
      </c>
      <c r="J58">
        <v>2</v>
      </c>
    </row>
    <row r="59" spans="1:10" x14ac:dyDescent="0.3">
      <c r="A59">
        <v>59</v>
      </c>
      <c r="B59">
        <v>1</v>
      </c>
      <c r="C59">
        <v>1</v>
      </c>
      <c r="D59">
        <v>4</v>
      </c>
      <c r="E59">
        <v>1</v>
      </c>
      <c r="F59">
        <v>116</v>
      </c>
      <c r="G59">
        <v>1.23</v>
      </c>
      <c r="H59">
        <v>129</v>
      </c>
      <c r="I59">
        <v>30</v>
      </c>
      <c r="J59">
        <v>1</v>
      </c>
    </row>
    <row r="60" spans="1:10" x14ac:dyDescent="0.3">
      <c r="A60">
        <v>170</v>
      </c>
      <c r="B60">
        <v>1</v>
      </c>
      <c r="C60">
        <v>1</v>
      </c>
      <c r="D60">
        <v>4</v>
      </c>
      <c r="E60">
        <v>0</v>
      </c>
      <c r="F60">
        <v>27</v>
      </c>
      <c r="G60">
        <v>0.3</v>
      </c>
      <c r="H60">
        <v>208</v>
      </c>
      <c r="I60">
        <v>30</v>
      </c>
      <c r="J60">
        <v>2</v>
      </c>
    </row>
    <row r="61" spans="1:10" x14ac:dyDescent="0.3">
      <c r="A61">
        <v>122</v>
      </c>
      <c r="B61">
        <v>2</v>
      </c>
      <c r="C61">
        <v>1</v>
      </c>
      <c r="D61">
        <v>4</v>
      </c>
      <c r="E61">
        <v>0</v>
      </c>
      <c r="F61">
        <v>19</v>
      </c>
      <c r="G61">
        <v>0.2</v>
      </c>
      <c r="H61">
        <v>246</v>
      </c>
      <c r="I61">
        <v>30</v>
      </c>
      <c r="J61">
        <v>4</v>
      </c>
    </row>
    <row r="62" spans="1:10" x14ac:dyDescent="0.3">
      <c r="A62">
        <v>120</v>
      </c>
      <c r="B62">
        <v>4</v>
      </c>
      <c r="C62">
        <v>1</v>
      </c>
      <c r="D62">
        <v>4</v>
      </c>
      <c r="E62">
        <v>0</v>
      </c>
      <c r="F62">
        <v>13</v>
      </c>
      <c r="G62">
        <v>0.13</v>
      </c>
      <c r="H62">
        <v>265</v>
      </c>
      <c r="I62">
        <v>30</v>
      </c>
      <c r="J62">
        <v>6</v>
      </c>
    </row>
    <row r="63" spans="1:10" x14ac:dyDescent="0.3">
      <c r="A63">
        <v>108</v>
      </c>
      <c r="B63">
        <v>1</v>
      </c>
      <c r="C63">
        <v>1</v>
      </c>
      <c r="D63">
        <v>4</v>
      </c>
      <c r="E63">
        <v>0</v>
      </c>
      <c r="F63">
        <v>41</v>
      </c>
      <c r="G63">
        <v>0.42</v>
      </c>
      <c r="H63">
        <v>147</v>
      </c>
      <c r="I63">
        <v>30</v>
      </c>
      <c r="J63">
        <v>1</v>
      </c>
    </row>
    <row r="64" spans="1:10" x14ac:dyDescent="0.3">
      <c r="A64">
        <v>50</v>
      </c>
      <c r="B64">
        <v>1</v>
      </c>
      <c r="C64">
        <v>1</v>
      </c>
      <c r="D64">
        <v>4</v>
      </c>
      <c r="E64">
        <v>1</v>
      </c>
      <c r="F64">
        <v>18</v>
      </c>
      <c r="G64">
        <v>0.21</v>
      </c>
      <c r="H64">
        <v>182</v>
      </c>
      <c r="I64">
        <v>30</v>
      </c>
      <c r="J64">
        <v>1</v>
      </c>
    </row>
    <row r="65" spans="1:10" x14ac:dyDescent="0.3">
      <c r="A65">
        <v>110</v>
      </c>
      <c r="B65">
        <v>1</v>
      </c>
      <c r="C65">
        <v>1</v>
      </c>
      <c r="D65">
        <v>4</v>
      </c>
      <c r="E65">
        <v>0</v>
      </c>
      <c r="F65">
        <v>116</v>
      </c>
      <c r="G65">
        <v>1.21</v>
      </c>
      <c r="H65">
        <v>180</v>
      </c>
      <c r="I65">
        <v>30</v>
      </c>
      <c r="J65">
        <v>2</v>
      </c>
    </row>
    <row r="66" spans="1:10" x14ac:dyDescent="0.3">
      <c r="A66">
        <v>220</v>
      </c>
      <c r="B66">
        <v>1</v>
      </c>
      <c r="C66">
        <v>1</v>
      </c>
      <c r="D66">
        <v>4</v>
      </c>
      <c r="E66">
        <v>0</v>
      </c>
      <c r="F66">
        <v>6</v>
      </c>
      <c r="G66">
        <v>0.11</v>
      </c>
      <c r="H66">
        <v>221</v>
      </c>
      <c r="I66">
        <v>30</v>
      </c>
      <c r="J66">
        <v>3</v>
      </c>
    </row>
    <row r="67" spans="1:10" x14ac:dyDescent="0.3">
      <c r="A67">
        <v>139</v>
      </c>
      <c r="B67">
        <v>2</v>
      </c>
      <c r="C67">
        <v>1</v>
      </c>
      <c r="D67">
        <v>4</v>
      </c>
      <c r="E67">
        <v>0</v>
      </c>
      <c r="F67">
        <v>16</v>
      </c>
      <c r="G67">
        <v>0.3</v>
      </c>
      <c r="H67">
        <v>243</v>
      </c>
      <c r="I67">
        <v>30</v>
      </c>
      <c r="J67">
        <v>2</v>
      </c>
    </row>
    <row r="68" spans="1:10" x14ac:dyDescent="0.3">
      <c r="A68">
        <v>113</v>
      </c>
      <c r="B68">
        <v>1</v>
      </c>
      <c r="C68">
        <v>1</v>
      </c>
      <c r="D68">
        <v>4</v>
      </c>
      <c r="E68">
        <v>0</v>
      </c>
      <c r="F68">
        <v>12</v>
      </c>
      <c r="G68">
        <v>0.13</v>
      </c>
      <c r="H68">
        <v>222</v>
      </c>
      <c r="I68">
        <v>30</v>
      </c>
      <c r="J68">
        <v>2</v>
      </c>
    </row>
    <row r="69" spans="1:10" x14ac:dyDescent="0.3">
      <c r="A69">
        <v>120</v>
      </c>
      <c r="B69">
        <v>4</v>
      </c>
      <c r="C69">
        <v>1</v>
      </c>
      <c r="D69">
        <v>4</v>
      </c>
      <c r="E69">
        <v>0</v>
      </c>
      <c r="F69">
        <v>12</v>
      </c>
      <c r="G69">
        <v>0.13</v>
      </c>
      <c r="H69">
        <v>286</v>
      </c>
      <c r="I69">
        <v>30</v>
      </c>
      <c r="J69">
        <v>6</v>
      </c>
    </row>
    <row r="70" spans="1:10" x14ac:dyDescent="0.3">
      <c r="A70">
        <v>135</v>
      </c>
      <c r="B70">
        <v>2</v>
      </c>
      <c r="C70">
        <v>1</v>
      </c>
      <c r="D70">
        <v>4</v>
      </c>
      <c r="E70">
        <v>0</v>
      </c>
      <c r="F70">
        <v>28</v>
      </c>
      <c r="G70">
        <v>0.31</v>
      </c>
      <c r="H70">
        <v>308</v>
      </c>
      <c r="I70">
        <v>30</v>
      </c>
      <c r="J70">
        <v>3</v>
      </c>
    </row>
    <row r="71" spans="1:10" x14ac:dyDescent="0.3">
      <c r="A71">
        <v>180</v>
      </c>
      <c r="B71">
        <v>2</v>
      </c>
      <c r="C71">
        <v>1</v>
      </c>
      <c r="D71">
        <v>4</v>
      </c>
      <c r="E71">
        <v>0</v>
      </c>
      <c r="F71">
        <v>61</v>
      </c>
      <c r="G71">
        <v>0.67</v>
      </c>
      <c r="H71">
        <v>232</v>
      </c>
      <c r="I71">
        <v>30</v>
      </c>
      <c r="J71">
        <v>2</v>
      </c>
    </row>
    <row r="72" spans="1:10" x14ac:dyDescent="0.3">
      <c r="A72">
        <v>69</v>
      </c>
      <c r="B72">
        <v>1</v>
      </c>
      <c r="C72">
        <v>1.5</v>
      </c>
      <c r="D72">
        <v>4</v>
      </c>
      <c r="E72">
        <v>1</v>
      </c>
      <c r="F72">
        <v>62</v>
      </c>
      <c r="G72">
        <v>0.65</v>
      </c>
      <c r="H72">
        <v>278</v>
      </c>
      <c r="I72">
        <v>30</v>
      </c>
      <c r="J72">
        <v>2</v>
      </c>
    </row>
    <row r="73" spans="1:10" x14ac:dyDescent="0.3">
      <c r="A73">
        <v>131</v>
      </c>
      <c r="B73">
        <v>1</v>
      </c>
      <c r="C73">
        <v>1</v>
      </c>
      <c r="D73">
        <v>4</v>
      </c>
      <c r="E73">
        <v>0</v>
      </c>
      <c r="F73">
        <v>21</v>
      </c>
      <c r="G73">
        <v>0.24</v>
      </c>
      <c r="H73">
        <v>334</v>
      </c>
      <c r="I73">
        <v>30</v>
      </c>
      <c r="J73">
        <v>2</v>
      </c>
    </row>
    <row r="74" spans="1:10" x14ac:dyDescent="0.3">
      <c r="A74">
        <v>178</v>
      </c>
      <c r="B74">
        <v>1</v>
      </c>
      <c r="C74">
        <v>1</v>
      </c>
      <c r="D74">
        <v>4</v>
      </c>
      <c r="E74">
        <v>0</v>
      </c>
      <c r="F74">
        <v>36</v>
      </c>
      <c r="G74">
        <v>0.39</v>
      </c>
      <c r="H74">
        <v>243</v>
      </c>
      <c r="I74">
        <v>30</v>
      </c>
      <c r="J74">
        <v>2</v>
      </c>
    </row>
    <row r="75" spans="1:10" x14ac:dyDescent="0.3">
      <c r="A75">
        <v>85</v>
      </c>
      <c r="B75">
        <v>1</v>
      </c>
      <c r="C75">
        <v>1</v>
      </c>
      <c r="D75">
        <v>4</v>
      </c>
      <c r="E75">
        <v>1</v>
      </c>
      <c r="F75">
        <v>163</v>
      </c>
      <c r="G75">
        <v>1.77</v>
      </c>
      <c r="H75">
        <v>243</v>
      </c>
      <c r="I75">
        <v>30</v>
      </c>
      <c r="J75">
        <v>2</v>
      </c>
    </row>
    <row r="76" spans="1:10" x14ac:dyDescent="0.3">
      <c r="A76">
        <v>200</v>
      </c>
      <c r="B76">
        <v>2</v>
      </c>
      <c r="C76">
        <v>1</v>
      </c>
      <c r="D76">
        <v>4</v>
      </c>
      <c r="E76">
        <v>0</v>
      </c>
      <c r="F76">
        <v>68</v>
      </c>
      <c r="G76">
        <v>0.74</v>
      </c>
      <c r="H76">
        <v>364</v>
      </c>
      <c r="I76">
        <v>30</v>
      </c>
      <c r="J76">
        <v>2</v>
      </c>
    </row>
    <row r="77" spans="1:10" x14ac:dyDescent="0.3">
      <c r="A77">
        <v>105</v>
      </c>
      <c r="B77">
        <v>1</v>
      </c>
      <c r="C77">
        <v>1</v>
      </c>
      <c r="D77">
        <v>4</v>
      </c>
      <c r="E77">
        <v>0</v>
      </c>
      <c r="F77">
        <v>92</v>
      </c>
      <c r="G77">
        <v>1.01</v>
      </c>
      <c r="H77">
        <v>86</v>
      </c>
      <c r="I77">
        <v>30</v>
      </c>
      <c r="J77">
        <v>2</v>
      </c>
    </row>
    <row r="78" spans="1:10" x14ac:dyDescent="0.3">
      <c r="A78">
        <v>75</v>
      </c>
      <c r="B78">
        <v>1</v>
      </c>
      <c r="C78">
        <v>1</v>
      </c>
      <c r="D78">
        <v>4</v>
      </c>
      <c r="E78">
        <v>0</v>
      </c>
      <c r="F78">
        <v>32</v>
      </c>
      <c r="G78">
        <v>0.36</v>
      </c>
      <c r="H78">
        <v>182</v>
      </c>
      <c r="I78">
        <v>30</v>
      </c>
      <c r="J78">
        <v>2</v>
      </c>
    </row>
    <row r="79" spans="1:10" x14ac:dyDescent="0.3">
      <c r="A79">
        <v>129</v>
      </c>
      <c r="B79">
        <v>1</v>
      </c>
      <c r="C79">
        <v>1</v>
      </c>
      <c r="D79">
        <v>4</v>
      </c>
      <c r="E79">
        <v>0</v>
      </c>
      <c r="F79">
        <v>33</v>
      </c>
      <c r="G79">
        <v>0.37</v>
      </c>
      <c r="H79">
        <v>331</v>
      </c>
      <c r="I79">
        <v>30</v>
      </c>
      <c r="J79">
        <v>2</v>
      </c>
    </row>
    <row r="80" spans="1:10" x14ac:dyDescent="0.3">
      <c r="A80">
        <v>104</v>
      </c>
      <c r="B80">
        <v>1</v>
      </c>
      <c r="C80">
        <v>1</v>
      </c>
      <c r="D80">
        <v>4</v>
      </c>
      <c r="E80">
        <v>0</v>
      </c>
      <c r="F80">
        <v>418</v>
      </c>
      <c r="G80">
        <v>4.72</v>
      </c>
      <c r="H80">
        <v>272</v>
      </c>
      <c r="I80">
        <v>30</v>
      </c>
      <c r="J80">
        <v>2</v>
      </c>
    </row>
    <row r="81" spans="1:10" x14ac:dyDescent="0.3">
      <c r="A81">
        <v>74</v>
      </c>
      <c r="B81">
        <v>1</v>
      </c>
      <c r="C81">
        <v>4</v>
      </c>
      <c r="D81">
        <v>4</v>
      </c>
      <c r="E81">
        <v>1</v>
      </c>
      <c r="F81">
        <v>17</v>
      </c>
      <c r="G81">
        <v>0.2</v>
      </c>
      <c r="H81">
        <v>300</v>
      </c>
      <c r="I81">
        <v>30</v>
      </c>
      <c r="J81">
        <v>1</v>
      </c>
    </row>
    <row r="82" spans="1:10" x14ac:dyDescent="0.3">
      <c r="A82">
        <v>173</v>
      </c>
      <c r="B82">
        <v>2</v>
      </c>
      <c r="C82">
        <v>1</v>
      </c>
      <c r="D82">
        <v>4</v>
      </c>
      <c r="E82">
        <v>0</v>
      </c>
      <c r="F82">
        <v>11</v>
      </c>
      <c r="G82">
        <v>0.13</v>
      </c>
      <c r="H82">
        <v>120</v>
      </c>
      <c r="I82">
        <v>30</v>
      </c>
      <c r="J82">
        <v>2</v>
      </c>
    </row>
    <row r="83" spans="1:10" x14ac:dyDescent="0.3">
      <c r="A83">
        <v>76</v>
      </c>
      <c r="B83">
        <v>1</v>
      </c>
      <c r="C83">
        <v>4</v>
      </c>
      <c r="D83">
        <v>4</v>
      </c>
      <c r="E83">
        <v>1</v>
      </c>
      <c r="F83">
        <v>11</v>
      </c>
      <c r="G83">
        <v>0.16</v>
      </c>
      <c r="H83">
        <v>358</v>
      </c>
      <c r="I83">
        <v>30</v>
      </c>
      <c r="J83">
        <v>1</v>
      </c>
    </row>
    <row r="84" spans="1:10" x14ac:dyDescent="0.3">
      <c r="A84">
        <v>98</v>
      </c>
      <c r="B84">
        <v>4</v>
      </c>
      <c r="C84">
        <v>1</v>
      </c>
      <c r="D84">
        <v>4</v>
      </c>
      <c r="E84">
        <v>0</v>
      </c>
      <c r="F84">
        <v>3</v>
      </c>
      <c r="G84">
        <v>0.05</v>
      </c>
      <c r="H84">
        <v>331</v>
      </c>
      <c r="I84">
        <v>30</v>
      </c>
      <c r="J84">
        <v>4</v>
      </c>
    </row>
    <row r="85" spans="1:10" x14ac:dyDescent="0.3">
      <c r="A85">
        <v>120</v>
      </c>
      <c r="B85">
        <v>1</v>
      </c>
      <c r="C85">
        <v>1</v>
      </c>
      <c r="D85">
        <v>4</v>
      </c>
      <c r="E85">
        <v>0</v>
      </c>
      <c r="F85">
        <v>19</v>
      </c>
      <c r="G85">
        <v>0.25</v>
      </c>
      <c r="H85">
        <v>275</v>
      </c>
      <c r="I85">
        <v>30</v>
      </c>
      <c r="J85">
        <v>2</v>
      </c>
    </row>
    <row r="86" spans="1:10" x14ac:dyDescent="0.3">
      <c r="A86">
        <v>62</v>
      </c>
      <c r="B86">
        <v>1</v>
      </c>
      <c r="C86">
        <v>1</v>
      </c>
      <c r="D86">
        <v>4</v>
      </c>
      <c r="E86">
        <v>1</v>
      </c>
      <c r="F86">
        <v>20</v>
      </c>
      <c r="G86">
        <v>0.25</v>
      </c>
      <c r="H86">
        <v>356</v>
      </c>
      <c r="I86">
        <v>30</v>
      </c>
      <c r="J86">
        <v>1</v>
      </c>
    </row>
    <row r="87" spans="1:10" x14ac:dyDescent="0.3">
      <c r="A87">
        <v>450</v>
      </c>
      <c r="B87">
        <v>1</v>
      </c>
      <c r="C87">
        <v>1</v>
      </c>
      <c r="D87">
        <v>4</v>
      </c>
      <c r="E87">
        <v>0</v>
      </c>
      <c r="F87">
        <v>119</v>
      </c>
      <c r="G87">
        <v>1.5</v>
      </c>
      <c r="H87">
        <v>179</v>
      </c>
      <c r="I87">
        <v>30</v>
      </c>
      <c r="J87">
        <v>3</v>
      </c>
    </row>
    <row r="88" spans="1:10" x14ac:dyDescent="0.3">
      <c r="A88">
        <v>293</v>
      </c>
      <c r="B88">
        <v>3</v>
      </c>
      <c r="C88">
        <v>1</v>
      </c>
      <c r="D88">
        <v>4</v>
      </c>
      <c r="E88">
        <v>0</v>
      </c>
      <c r="F88">
        <v>152</v>
      </c>
      <c r="G88">
        <v>1.98</v>
      </c>
      <c r="H88">
        <v>188</v>
      </c>
      <c r="I88">
        <v>2</v>
      </c>
      <c r="J88">
        <v>6</v>
      </c>
    </row>
    <row r="89" spans="1:10" x14ac:dyDescent="0.3">
      <c r="A89">
        <v>200</v>
      </c>
      <c r="B89">
        <v>3</v>
      </c>
      <c r="C89">
        <v>2</v>
      </c>
      <c r="D89">
        <v>4</v>
      </c>
      <c r="E89">
        <v>0</v>
      </c>
      <c r="F89">
        <v>6</v>
      </c>
      <c r="G89">
        <v>0.13</v>
      </c>
      <c r="H89">
        <v>165</v>
      </c>
      <c r="I89">
        <v>30</v>
      </c>
      <c r="J89">
        <v>4</v>
      </c>
    </row>
    <row r="90" spans="1:10" x14ac:dyDescent="0.3">
      <c r="A90">
        <v>266</v>
      </c>
      <c r="B90">
        <v>3</v>
      </c>
      <c r="C90">
        <v>1</v>
      </c>
      <c r="D90">
        <v>4</v>
      </c>
      <c r="E90">
        <v>0</v>
      </c>
      <c r="F90">
        <v>167</v>
      </c>
      <c r="G90">
        <v>2.2400000000000002</v>
      </c>
      <c r="H90">
        <v>170</v>
      </c>
      <c r="I90">
        <v>2</v>
      </c>
      <c r="J90">
        <v>6</v>
      </c>
    </row>
    <row r="91" spans="1:10" x14ac:dyDescent="0.3">
      <c r="A91">
        <v>283</v>
      </c>
      <c r="B91">
        <v>2</v>
      </c>
      <c r="C91">
        <v>1</v>
      </c>
      <c r="D91">
        <v>4</v>
      </c>
      <c r="E91">
        <v>0</v>
      </c>
      <c r="F91">
        <v>35</v>
      </c>
      <c r="G91">
        <v>0.47</v>
      </c>
      <c r="H91">
        <v>98</v>
      </c>
      <c r="I91">
        <v>30</v>
      </c>
      <c r="J91">
        <v>2</v>
      </c>
    </row>
    <row r="92" spans="1:10" x14ac:dyDescent="0.3">
      <c r="A92">
        <v>416</v>
      </c>
      <c r="B92">
        <v>2</v>
      </c>
      <c r="C92">
        <v>1</v>
      </c>
      <c r="D92">
        <v>4</v>
      </c>
      <c r="E92">
        <v>0</v>
      </c>
      <c r="F92">
        <v>77</v>
      </c>
      <c r="G92">
        <v>1.03</v>
      </c>
      <c r="H92">
        <v>216</v>
      </c>
      <c r="I92">
        <v>1</v>
      </c>
      <c r="J92">
        <v>4</v>
      </c>
    </row>
    <row r="93" spans="1:10" x14ac:dyDescent="0.3">
      <c r="A93">
        <v>232</v>
      </c>
      <c r="B93">
        <v>6</v>
      </c>
      <c r="C93">
        <v>2</v>
      </c>
      <c r="D93">
        <v>4</v>
      </c>
      <c r="E93">
        <v>0</v>
      </c>
      <c r="F93">
        <v>20</v>
      </c>
      <c r="G93">
        <v>0.27</v>
      </c>
      <c r="H93">
        <v>365</v>
      </c>
      <c r="I93">
        <v>30</v>
      </c>
      <c r="J93">
        <v>8</v>
      </c>
    </row>
    <row r="94" spans="1:10" x14ac:dyDescent="0.3">
      <c r="A94">
        <v>70</v>
      </c>
      <c r="B94">
        <v>1</v>
      </c>
      <c r="C94">
        <v>1</v>
      </c>
      <c r="D94">
        <v>4</v>
      </c>
      <c r="E94">
        <v>1</v>
      </c>
      <c r="F94">
        <v>51</v>
      </c>
      <c r="G94">
        <v>1.75</v>
      </c>
      <c r="H94">
        <v>62</v>
      </c>
      <c r="I94">
        <v>30</v>
      </c>
      <c r="J94">
        <v>2</v>
      </c>
    </row>
    <row r="95" spans="1:10" x14ac:dyDescent="0.3">
      <c r="A95">
        <v>110</v>
      </c>
      <c r="B95">
        <v>1</v>
      </c>
      <c r="C95">
        <v>1</v>
      </c>
      <c r="D95">
        <v>4</v>
      </c>
      <c r="E95">
        <v>0</v>
      </c>
      <c r="F95">
        <v>71</v>
      </c>
      <c r="G95">
        <v>0.98</v>
      </c>
      <c r="H95">
        <v>296</v>
      </c>
      <c r="I95">
        <v>30</v>
      </c>
      <c r="J95">
        <v>2</v>
      </c>
    </row>
    <row r="96" spans="1:10" x14ac:dyDescent="0.3">
      <c r="A96">
        <v>133</v>
      </c>
      <c r="B96">
        <v>1</v>
      </c>
      <c r="C96">
        <v>1</v>
      </c>
      <c r="D96">
        <v>4</v>
      </c>
      <c r="E96">
        <v>0</v>
      </c>
      <c r="F96">
        <v>17</v>
      </c>
      <c r="G96">
        <v>0.25</v>
      </c>
      <c r="H96">
        <v>339</v>
      </c>
      <c r="I96">
        <v>30</v>
      </c>
      <c r="J96">
        <v>2</v>
      </c>
    </row>
    <row r="97" spans="1:10" x14ac:dyDescent="0.3">
      <c r="A97">
        <v>389</v>
      </c>
      <c r="B97">
        <v>2</v>
      </c>
      <c r="C97">
        <v>1</v>
      </c>
      <c r="D97">
        <v>4</v>
      </c>
      <c r="E97">
        <v>0</v>
      </c>
      <c r="F97">
        <v>15</v>
      </c>
      <c r="G97">
        <v>0.22</v>
      </c>
      <c r="H97">
        <v>153</v>
      </c>
      <c r="I97">
        <v>30</v>
      </c>
      <c r="J97">
        <v>4</v>
      </c>
    </row>
    <row r="98" spans="1:10" x14ac:dyDescent="0.3">
      <c r="A98">
        <v>301</v>
      </c>
      <c r="B98">
        <v>1</v>
      </c>
      <c r="C98">
        <v>1</v>
      </c>
      <c r="D98">
        <v>4</v>
      </c>
      <c r="E98">
        <v>1</v>
      </c>
      <c r="F98">
        <v>123</v>
      </c>
      <c r="G98">
        <v>1.75</v>
      </c>
      <c r="H98">
        <v>285</v>
      </c>
      <c r="I98">
        <v>1</v>
      </c>
      <c r="J98">
        <v>2</v>
      </c>
    </row>
    <row r="99" spans="1:10" x14ac:dyDescent="0.3">
      <c r="A99">
        <v>220</v>
      </c>
      <c r="B99">
        <v>3</v>
      </c>
      <c r="C99">
        <v>1</v>
      </c>
      <c r="D99">
        <v>4</v>
      </c>
      <c r="E99">
        <v>0</v>
      </c>
      <c r="F99">
        <v>17</v>
      </c>
      <c r="G99">
        <v>0.25</v>
      </c>
      <c r="H99">
        <v>235</v>
      </c>
      <c r="I99">
        <v>30</v>
      </c>
      <c r="J99">
        <v>4</v>
      </c>
    </row>
    <row r="100" spans="1:10" x14ac:dyDescent="0.3">
      <c r="A100">
        <v>234</v>
      </c>
      <c r="B100">
        <v>3</v>
      </c>
      <c r="C100">
        <v>1</v>
      </c>
      <c r="D100">
        <v>4</v>
      </c>
      <c r="E100">
        <v>0</v>
      </c>
      <c r="F100">
        <v>50</v>
      </c>
      <c r="G100">
        <v>0.7</v>
      </c>
      <c r="H100">
        <v>250</v>
      </c>
      <c r="I100">
        <v>3</v>
      </c>
      <c r="J100">
        <v>2</v>
      </c>
    </row>
    <row r="101" spans="1:10" x14ac:dyDescent="0.3">
      <c r="A101">
        <v>113</v>
      </c>
      <c r="B101">
        <v>1</v>
      </c>
      <c r="C101">
        <v>1</v>
      </c>
      <c r="D101">
        <v>4</v>
      </c>
      <c r="E101">
        <v>0</v>
      </c>
      <c r="F101">
        <v>19</v>
      </c>
      <c r="G101">
        <v>0.27</v>
      </c>
      <c r="H101">
        <v>332</v>
      </c>
      <c r="I101">
        <v>30</v>
      </c>
      <c r="J101">
        <v>2</v>
      </c>
    </row>
    <row r="102" spans="1:10" x14ac:dyDescent="0.3">
      <c r="A102">
        <v>264</v>
      </c>
      <c r="B102">
        <v>2</v>
      </c>
      <c r="C102">
        <v>1</v>
      </c>
      <c r="D102">
        <v>4</v>
      </c>
      <c r="E102">
        <v>1</v>
      </c>
      <c r="F102">
        <v>103</v>
      </c>
      <c r="G102">
        <v>1.95</v>
      </c>
      <c r="H102">
        <v>325</v>
      </c>
      <c r="I102">
        <v>1</v>
      </c>
      <c r="J102">
        <v>2</v>
      </c>
    </row>
    <row r="103" spans="1:10" x14ac:dyDescent="0.3">
      <c r="A103">
        <v>183</v>
      </c>
      <c r="B103">
        <v>1</v>
      </c>
      <c r="C103">
        <v>1</v>
      </c>
      <c r="D103">
        <v>4</v>
      </c>
      <c r="E103">
        <v>0</v>
      </c>
      <c r="F103">
        <v>12</v>
      </c>
      <c r="G103">
        <v>0.17</v>
      </c>
      <c r="H103">
        <v>365</v>
      </c>
      <c r="I103">
        <v>30</v>
      </c>
      <c r="J103">
        <v>3</v>
      </c>
    </row>
    <row r="104" spans="1:10" x14ac:dyDescent="0.3">
      <c r="A104">
        <v>324</v>
      </c>
      <c r="B104">
        <v>2</v>
      </c>
      <c r="C104">
        <v>1</v>
      </c>
      <c r="D104">
        <v>4</v>
      </c>
      <c r="E104">
        <v>1</v>
      </c>
      <c r="F104">
        <v>37</v>
      </c>
      <c r="G104">
        <v>0.68</v>
      </c>
      <c r="H104">
        <v>298</v>
      </c>
      <c r="I104">
        <v>1</v>
      </c>
      <c r="J104">
        <v>4</v>
      </c>
    </row>
    <row r="105" spans="1:10" x14ac:dyDescent="0.3">
      <c r="A105">
        <v>310</v>
      </c>
      <c r="B105">
        <v>2</v>
      </c>
      <c r="C105">
        <v>1</v>
      </c>
      <c r="D105">
        <v>4</v>
      </c>
      <c r="E105">
        <v>1</v>
      </c>
      <c r="F105">
        <v>288</v>
      </c>
      <c r="G105">
        <v>4.28</v>
      </c>
      <c r="H105">
        <v>261</v>
      </c>
      <c r="I105">
        <v>1</v>
      </c>
      <c r="J105">
        <v>4</v>
      </c>
    </row>
    <row r="106" spans="1:10" x14ac:dyDescent="0.3">
      <c r="A106">
        <v>230</v>
      </c>
      <c r="B106">
        <v>1</v>
      </c>
      <c r="C106">
        <v>1</v>
      </c>
      <c r="D106">
        <v>4</v>
      </c>
      <c r="E106">
        <v>0</v>
      </c>
      <c r="F106">
        <v>8</v>
      </c>
      <c r="G106">
        <v>0.14000000000000001</v>
      </c>
      <c r="H106">
        <v>274</v>
      </c>
      <c r="I106">
        <v>30</v>
      </c>
      <c r="J106">
        <v>3</v>
      </c>
    </row>
    <row r="107" spans="1:10" x14ac:dyDescent="0.3">
      <c r="A107">
        <v>79</v>
      </c>
      <c r="B107">
        <v>1</v>
      </c>
      <c r="C107">
        <v>1</v>
      </c>
      <c r="D107">
        <v>4</v>
      </c>
      <c r="E107">
        <v>1</v>
      </c>
      <c r="F107">
        <v>56</v>
      </c>
      <c r="G107">
        <v>1.5</v>
      </c>
      <c r="H107">
        <v>190</v>
      </c>
      <c r="I107">
        <v>30</v>
      </c>
      <c r="J107">
        <v>1</v>
      </c>
    </row>
    <row r="108" spans="1:10" x14ac:dyDescent="0.3">
      <c r="A108">
        <v>146</v>
      </c>
      <c r="B108">
        <v>3</v>
      </c>
      <c r="C108">
        <v>1</v>
      </c>
      <c r="D108">
        <v>4</v>
      </c>
      <c r="E108">
        <v>0</v>
      </c>
      <c r="F108">
        <v>8</v>
      </c>
      <c r="G108">
        <v>0.12</v>
      </c>
      <c r="H108">
        <v>362</v>
      </c>
      <c r="I108">
        <v>30</v>
      </c>
      <c r="J108">
        <v>4</v>
      </c>
    </row>
    <row r="109" spans="1:10" x14ac:dyDescent="0.3">
      <c r="A109">
        <v>182</v>
      </c>
      <c r="B109">
        <v>1</v>
      </c>
      <c r="C109">
        <v>1</v>
      </c>
      <c r="D109">
        <v>4</v>
      </c>
      <c r="E109">
        <v>0</v>
      </c>
      <c r="F109">
        <v>14</v>
      </c>
      <c r="G109">
        <v>0.2</v>
      </c>
      <c r="H109">
        <v>179</v>
      </c>
      <c r="I109">
        <v>30</v>
      </c>
      <c r="J109">
        <v>3</v>
      </c>
    </row>
    <row r="110" spans="1:10" x14ac:dyDescent="0.3">
      <c r="A110">
        <v>284</v>
      </c>
      <c r="B110">
        <v>1</v>
      </c>
      <c r="C110">
        <v>1</v>
      </c>
      <c r="D110">
        <v>4</v>
      </c>
      <c r="E110">
        <v>1</v>
      </c>
      <c r="F110">
        <v>278</v>
      </c>
      <c r="G110">
        <v>4.24</v>
      </c>
      <c r="H110">
        <v>349</v>
      </c>
      <c r="I110">
        <v>1</v>
      </c>
      <c r="J110">
        <v>2</v>
      </c>
    </row>
    <row r="111" spans="1:10" x14ac:dyDescent="0.3">
      <c r="A111">
        <v>193</v>
      </c>
      <c r="B111">
        <v>2</v>
      </c>
      <c r="C111">
        <v>1</v>
      </c>
      <c r="D111">
        <v>4</v>
      </c>
      <c r="E111">
        <v>0</v>
      </c>
      <c r="F111">
        <v>14</v>
      </c>
      <c r="G111">
        <v>0.21</v>
      </c>
      <c r="H111">
        <v>339</v>
      </c>
      <c r="I111">
        <v>30</v>
      </c>
      <c r="J111">
        <v>4</v>
      </c>
    </row>
    <row r="112" spans="1:10" x14ac:dyDescent="0.3">
      <c r="A112">
        <v>115</v>
      </c>
      <c r="B112">
        <v>1</v>
      </c>
      <c r="C112">
        <v>1</v>
      </c>
      <c r="D112">
        <v>4</v>
      </c>
      <c r="E112">
        <v>0</v>
      </c>
      <c r="F112">
        <v>13</v>
      </c>
      <c r="G112">
        <v>0.2</v>
      </c>
      <c r="H112">
        <v>265</v>
      </c>
      <c r="I112">
        <v>30</v>
      </c>
      <c r="J112">
        <v>2</v>
      </c>
    </row>
    <row r="113" spans="1:10" x14ac:dyDescent="0.3">
      <c r="A113">
        <v>120</v>
      </c>
      <c r="B113">
        <v>1</v>
      </c>
      <c r="C113">
        <v>1</v>
      </c>
      <c r="D113">
        <v>4</v>
      </c>
      <c r="E113">
        <v>0</v>
      </c>
      <c r="F113">
        <v>15</v>
      </c>
      <c r="G113">
        <v>0.23</v>
      </c>
      <c r="H113">
        <v>272</v>
      </c>
      <c r="I113">
        <v>30</v>
      </c>
      <c r="J113">
        <v>2</v>
      </c>
    </row>
    <row r="114" spans="1:10" x14ac:dyDescent="0.3">
      <c r="A114">
        <v>213</v>
      </c>
      <c r="B114">
        <v>2</v>
      </c>
      <c r="C114">
        <v>1</v>
      </c>
      <c r="D114">
        <v>4</v>
      </c>
      <c r="E114">
        <v>0</v>
      </c>
      <c r="F114">
        <v>130</v>
      </c>
      <c r="G114">
        <v>1.92</v>
      </c>
      <c r="H114">
        <v>180</v>
      </c>
      <c r="I114">
        <v>2</v>
      </c>
      <c r="J114">
        <v>4</v>
      </c>
    </row>
    <row r="115" spans="1:10" x14ac:dyDescent="0.3">
      <c r="A115">
        <v>319</v>
      </c>
      <c r="B115">
        <v>2</v>
      </c>
      <c r="C115">
        <v>1</v>
      </c>
      <c r="D115">
        <v>4</v>
      </c>
      <c r="E115">
        <v>0</v>
      </c>
      <c r="F115">
        <v>109</v>
      </c>
      <c r="G115">
        <v>1.62</v>
      </c>
      <c r="H115">
        <v>251</v>
      </c>
      <c r="I115">
        <v>1</v>
      </c>
      <c r="J115">
        <v>4</v>
      </c>
    </row>
    <row r="116" spans="1:10" x14ac:dyDescent="0.3">
      <c r="A116">
        <v>158</v>
      </c>
      <c r="B116">
        <v>1</v>
      </c>
      <c r="C116">
        <v>1</v>
      </c>
      <c r="D116">
        <v>4</v>
      </c>
      <c r="E116">
        <v>0</v>
      </c>
      <c r="F116">
        <v>14</v>
      </c>
      <c r="G116">
        <v>0.21</v>
      </c>
      <c r="H116">
        <v>364</v>
      </c>
      <c r="I116">
        <v>30</v>
      </c>
      <c r="J116">
        <v>2</v>
      </c>
    </row>
    <row r="117" spans="1:10" x14ac:dyDescent="0.3">
      <c r="A117">
        <v>255</v>
      </c>
      <c r="B117">
        <v>2</v>
      </c>
      <c r="C117">
        <v>1</v>
      </c>
      <c r="D117">
        <v>4</v>
      </c>
      <c r="E117">
        <v>0</v>
      </c>
      <c r="F117">
        <v>10</v>
      </c>
      <c r="G117">
        <v>0.15</v>
      </c>
      <c r="H117">
        <v>192</v>
      </c>
      <c r="I117">
        <v>30</v>
      </c>
      <c r="J117">
        <v>3</v>
      </c>
    </row>
    <row r="118" spans="1:10" x14ac:dyDescent="0.3">
      <c r="A118">
        <v>75</v>
      </c>
      <c r="B118">
        <v>1</v>
      </c>
      <c r="C118">
        <v>1</v>
      </c>
      <c r="D118">
        <v>4</v>
      </c>
      <c r="E118">
        <v>1</v>
      </c>
      <c r="F118">
        <v>78</v>
      </c>
      <c r="G118">
        <v>1.1499999999999999</v>
      </c>
      <c r="H118">
        <v>237</v>
      </c>
      <c r="I118">
        <v>30</v>
      </c>
      <c r="J118">
        <v>1</v>
      </c>
    </row>
    <row r="119" spans="1:10" x14ac:dyDescent="0.3">
      <c r="A119">
        <v>294</v>
      </c>
      <c r="B119">
        <v>1</v>
      </c>
      <c r="C119">
        <v>1</v>
      </c>
      <c r="D119">
        <v>4</v>
      </c>
      <c r="E119">
        <v>1</v>
      </c>
      <c r="F119">
        <v>48</v>
      </c>
      <c r="G119">
        <v>0.89</v>
      </c>
      <c r="H119">
        <v>262</v>
      </c>
      <c r="I119">
        <v>1</v>
      </c>
      <c r="J119">
        <v>2</v>
      </c>
    </row>
    <row r="120" spans="1:10" x14ac:dyDescent="0.3">
      <c r="A120">
        <v>305</v>
      </c>
      <c r="B120">
        <v>1</v>
      </c>
      <c r="C120">
        <v>1</v>
      </c>
      <c r="D120">
        <v>4</v>
      </c>
      <c r="E120">
        <v>1</v>
      </c>
      <c r="F120">
        <v>94</v>
      </c>
      <c r="G120">
        <v>1.61</v>
      </c>
      <c r="H120">
        <v>270</v>
      </c>
      <c r="I120">
        <v>1</v>
      </c>
      <c r="J120">
        <v>2</v>
      </c>
    </row>
    <row r="121" spans="1:10" x14ac:dyDescent="0.3">
      <c r="A121">
        <v>97</v>
      </c>
      <c r="B121">
        <v>1</v>
      </c>
      <c r="C121">
        <v>1</v>
      </c>
      <c r="D121">
        <v>4</v>
      </c>
      <c r="E121">
        <v>1</v>
      </c>
      <c r="F121">
        <v>45</v>
      </c>
      <c r="G121">
        <v>0.67</v>
      </c>
      <c r="H121">
        <v>317</v>
      </c>
      <c r="I121">
        <v>30</v>
      </c>
      <c r="J121">
        <v>1</v>
      </c>
    </row>
    <row r="122" spans="1:10" x14ac:dyDescent="0.3">
      <c r="A122">
        <v>58</v>
      </c>
      <c r="B122">
        <v>1</v>
      </c>
      <c r="C122">
        <v>1</v>
      </c>
      <c r="D122">
        <v>4</v>
      </c>
      <c r="E122">
        <v>1</v>
      </c>
      <c r="F122">
        <v>187</v>
      </c>
      <c r="G122">
        <v>2.81</v>
      </c>
      <c r="H122">
        <v>66</v>
      </c>
      <c r="I122">
        <v>30</v>
      </c>
      <c r="J122">
        <v>2</v>
      </c>
    </row>
    <row r="123" spans="1:10" x14ac:dyDescent="0.3">
      <c r="A123">
        <v>162</v>
      </c>
      <c r="B123">
        <v>1</v>
      </c>
      <c r="C123">
        <v>1</v>
      </c>
      <c r="D123">
        <v>4</v>
      </c>
      <c r="E123">
        <v>0</v>
      </c>
      <c r="F123">
        <v>14</v>
      </c>
      <c r="G123">
        <v>0.3</v>
      </c>
      <c r="H123">
        <v>291</v>
      </c>
      <c r="I123">
        <v>30</v>
      </c>
      <c r="J123">
        <v>1</v>
      </c>
    </row>
    <row r="124" spans="1:10" x14ac:dyDescent="0.3">
      <c r="A124">
        <v>165</v>
      </c>
      <c r="B124">
        <v>1</v>
      </c>
      <c r="C124">
        <v>1</v>
      </c>
      <c r="D124">
        <v>4</v>
      </c>
      <c r="E124">
        <v>1</v>
      </c>
      <c r="F124">
        <v>111</v>
      </c>
      <c r="G124">
        <v>1.7</v>
      </c>
      <c r="H124">
        <v>90</v>
      </c>
      <c r="I124">
        <v>30</v>
      </c>
      <c r="J124">
        <v>2</v>
      </c>
    </row>
    <row r="125" spans="1:10" x14ac:dyDescent="0.3">
      <c r="A125">
        <v>402</v>
      </c>
      <c r="B125">
        <v>4</v>
      </c>
      <c r="C125">
        <v>1</v>
      </c>
      <c r="D125">
        <v>4</v>
      </c>
      <c r="E125">
        <v>0</v>
      </c>
      <c r="F125">
        <v>89</v>
      </c>
      <c r="G125">
        <v>1.52</v>
      </c>
      <c r="H125">
        <v>92</v>
      </c>
      <c r="I125">
        <v>1</v>
      </c>
      <c r="J125">
        <v>6</v>
      </c>
    </row>
    <row r="126" spans="1:10" x14ac:dyDescent="0.3">
      <c r="A126">
        <v>114</v>
      </c>
      <c r="B126">
        <v>2</v>
      </c>
      <c r="C126">
        <v>1</v>
      </c>
      <c r="D126">
        <v>4</v>
      </c>
      <c r="E126">
        <v>0</v>
      </c>
      <c r="F126">
        <v>54</v>
      </c>
      <c r="G126">
        <v>0.83</v>
      </c>
      <c r="H126">
        <v>106</v>
      </c>
      <c r="I126">
        <v>30</v>
      </c>
      <c r="J126">
        <v>2</v>
      </c>
    </row>
    <row r="127" spans="1:10" x14ac:dyDescent="0.3">
      <c r="A127">
        <v>117</v>
      </c>
      <c r="B127">
        <v>2</v>
      </c>
      <c r="C127">
        <v>1</v>
      </c>
      <c r="D127">
        <v>4</v>
      </c>
      <c r="E127">
        <v>0</v>
      </c>
      <c r="F127">
        <v>11</v>
      </c>
      <c r="G127">
        <v>0.25</v>
      </c>
      <c r="H127">
        <v>365</v>
      </c>
      <c r="I127">
        <v>30</v>
      </c>
      <c r="J127">
        <v>2</v>
      </c>
    </row>
    <row r="128" spans="1:10" x14ac:dyDescent="0.3">
      <c r="A128">
        <v>90</v>
      </c>
      <c r="B128">
        <v>1</v>
      </c>
      <c r="C128">
        <v>1</v>
      </c>
      <c r="D128">
        <v>4</v>
      </c>
      <c r="E128">
        <v>0</v>
      </c>
      <c r="F128">
        <v>39</v>
      </c>
      <c r="G128">
        <v>0.62</v>
      </c>
      <c r="H128">
        <v>266</v>
      </c>
      <c r="I128">
        <v>30</v>
      </c>
      <c r="J128">
        <v>2</v>
      </c>
    </row>
    <row r="129" spans="1:10" x14ac:dyDescent="0.3">
      <c r="A129">
        <v>169</v>
      </c>
      <c r="B129">
        <v>1</v>
      </c>
      <c r="C129">
        <v>1</v>
      </c>
      <c r="D129">
        <v>4</v>
      </c>
      <c r="E129">
        <v>0</v>
      </c>
      <c r="F129">
        <v>65</v>
      </c>
      <c r="G129">
        <v>1.03</v>
      </c>
      <c r="H129">
        <v>38</v>
      </c>
      <c r="I129">
        <v>4</v>
      </c>
      <c r="J129">
        <v>2</v>
      </c>
    </row>
    <row r="130" spans="1:10" x14ac:dyDescent="0.3">
      <c r="A130">
        <v>82</v>
      </c>
      <c r="B130">
        <v>1</v>
      </c>
      <c r="C130">
        <v>4</v>
      </c>
      <c r="D130">
        <v>4</v>
      </c>
      <c r="E130">
        <v>1</v>
      </c>
      <c r="F130">
        <v>10</v>
      </c>
      <c r="G130">
        <v>0.23</v>
      </c>
      <c r="H130">
        <v>291</v>
      </c>
      <c r="I130">
        <v>30</v>
      </c>
      <c r="J130">
        <v>1</v>
      </c>
    </row>
    <row r="131" spans="1:10" x14ac:dyDescent="0.3">
      <c r="A131">
        <v>125</v>
      </c>
      <c r="B131">
        <v>2</v>
      </c>
      <c r="C131">
        <v>1</v>
      </c>
      <c r="D131">
        <v>4</v>
      </c>
      <c r="E131">
        <v>0</v>
      </c>
      <c r="F131">
        <v>4</v>
      </c>
      <c r="G131">
        <v>0.16</v>
      </c>
      <c r="H131">
        <v>260</v>
      </c>
      <c r="I131">
        <v>30</v>
      </c>
      <c r="J131">
        <v>3</v>
      </c>
    </row>
    <row r="132" spans="1:10" x14ac:dyDescent="0.3">
      <c r="A132">
        <v>90</v>
      </c>
      <c r="B132">
        <v>1</v>
      </c>
      <c r="C132">
        <v>4</v>
      </c>
      <c r="D132">
        <v>4</v>
      </c>
      <c r="E132">
        <v>1</v>
      </c>
      <c r="F132">
        <v>18</v>
      </c>
      <c r="G132">
        <v>0.42</v>
      </c>
      <c r="H132">
        <v>235</v>
      </c>
      <c r="I132">
        <v>30</v>
      </c>
      <c r="J132">
        <v>1</v>
      </c>
    </row>
    <row r="133" spans="1:10" x14ac:dyDescent="0.3">
      <c r="A133">
        <v>143</v>
      </c>
      <c r="B133">
        <v>3</v>
      </c>
      <c r="C133">
        <v>1</v>
      </c>
      <c r="D133">
        <v>4</v>
      </c>
      <c r="E133">
        <v>0</v>
      </c>
      <c r="F133">
        <v>4</v>
      </c>
      <c r="G133">
        <v>0.11</v>
      </c>
      <c r="H133">
        <v>365</v>
      </c>
      <c r="I133">
        <v>30</v>
      </c>
      <c r="J133">
        <v>4</v>
      </c>
    </row>
    <row r="134" spans="1:10" x14ac:dyDescent="0.3">
      <c r="A134">
        <v>330</v>
      </c>
      <c r="B134">
        <v>2</v>
      </c>
      <c r="C134">
        <v>2</v>
      </c>
      <c r="D134">
        <v>4</v>
      </c>
      <c r="E134">
        <v>0</v>
      </c>
      <c r="F134">
        <v>14</v>
      </c>
      <c r="G134">
        <v>0.22</v>
      </c>
      <c r="H134">
        <v>274</v>
      </c>
      <c r="I134">
        <v>30</v>
      </c>
      <c r="J134">
        <v>5</v>
      </c>
    </row>
    <row r="135" spans="1:10" x14ac:dyDescent="0.3">
      <c r="A135">
        <v>200</v>
      </c>
      <c r="B135">
        <v>1</v>
      </c>
      <c r="C135">
        <v>1</v>
      </c>
      <c r="D135">
        <v>4</v>
      </c>
      <c r="E135">
        <v>0</v>
      </c>
      <c r="F135">
        <v>42</v>
      </c>
      <c r="G135">
        <v>0.78</v>
      </c>
      <c r="H135">
        <v>57</v>
      </c>
      <c r="I135">
        <v>15</v>
      </c>
      <c r="J135">
        <v>2</v>
      </c>
    </row>
    <row r="136" spans="1:10" x14ac:dyDescent="0.3">
      <c r="A136">
        <v>227</v>
      </c>
      <c r="B136">
        <v>1</v>
      </c>
      <c r="C136">
        <v>1</v>
      </c>
      <c r="D136">
        <v>4</v>
      </c>
      <c r="E136">
        <v>0</v>
      </c>
      <c r="F136">
        <v>35</v>
      </c>
      <c r="G136">
        <v>0.57999999999999996</v>
      </c>
      <c r="H136">
        <v>89</v>
      </c>
      <c r="I136">
        <v>15</v>
      </c>
      <c r="J136">
        <v>2</v>
      </c>
    </row>
    <row r="137" spans="1:10" x14ac:dyDescent="0.3">
      <c r="A137">
        <v>204</v>
      </c>
      <c r="B137">
        <v>1</v>
      </c>
      <c r="C137">
        <v>1</v>
      </c>
      <c r="D137">
        <v>4</v>
      </c>
      <c r="E137">
        <v>0</v>
      </c>
      <c r="F137">
        <v>47</v>
      </c>
      <c r="G137">
        <v>0.79</v>
      </c>
      <c r="H137">
        <v>69</v>
      </c>
      <c r="I137">
        <v>15</v>
      </c>
      <c r="J137">
        <v>2</v>
      </c>
    </row>
    <row r="138" spans="1:10" x14ac:dyDescent="0.3">
      <c r="A138">
        <v>200</v>
      </c>
      <c r="B138">
        <v>1</v>
      </c>
      <c r="C138">
        <v>1</v>
      </c>
      <c r="D138">
        <v>4</v>
      </c>
      <c r="E138">
        <v>0</v>
      </c>
      <c r="F138">
        <v>27</v>
      </c>
      <c r="G138">
        <v>0.45</v>
      </c>
      <c r="H138">
        <v>73</v>
      </c>
      <c r="I138">
        <v>19</v>
      </c>
      <c r="J138">
        <v>2</v>
      </c>
    </row>
    <row r="139" spans="1:10" x14ac:dyDescent="0.3">
      <c r="A139">
        <v>200</v>
      </c>
      <c r="B139">
        <v>1</v>
      </c>
      <c r="C139">
        <v>1</v>
      </c>
      <c r="D139">
        <v>4</v>
      </c>
      <c r="E139">
        <v>1</v>
      </c>
      <c r="F139">
        <v>45</v>
      </c>
      <c r="G139">
        <v>0.81</v>
      </c>
      <c r="H139">
        <v>81</v>
      </c>
      <c r="I139">
        <v>15</v>
      </c>
      <c r="J139">
        <v>2</v>
      </c>
    </row>
    <row r="140" spans="1:10" x14ac:dyDescent="0.3">
      <c r="A140">
        <v>200</v>
      </c>
      <c r="B140">
        <v>1</v>
      </c>
      <c r="C140">
        <v>1</v>
      </c>
      <c r="D140">
        <v>4</v>
      </c>
      <c r="E140">
        <v>0</v>
      </c>
      <c r="F140">
        <v>56</v>
      </c>
      <c r="G140">
        <v>0.94</v>
      </c>
      <c r="H140">
        <v>62</v>
      </c>
      <c r="I140">
        <v>15</v>
      </c>
      <c r="J140">
        <v>2</v>
      </c>
    </row>
    <row r="141" spans="1:10" x14ac:dyDescent="0.3">
      <c r="A141">
        <v>200</v>
      </c>
      <c r="B141">
        <v>1</v>
      </c>
      <c r="C141">
        <v>1</v>
      </c>
      <c r="D141">
        <v>4</v>
      </c>
      <c r="E141">
        <v>0</v>
      </c>
      <c r="F141">
        <v>45</v>
      </c>
      <c r="G141">
        <v>0.89</v>
      </c>
      <c r="H141">
        <v>59</v>
      </c>
      <c r="I141">
        <v>15</v>
      </c>
      <c r="J141">
        <v>2</v>
      </c>
    </row>
    <row r="142" spans="1:10" x14ac:dyDescent="0.3">
      <c r="A142">
        <v>200</v>
      </c>
      <c r="B142">
        <v>1</v>
      </c>
      <c r="C142">
        <v>1</v>
      </c>
      <c r="D142">
        <v>4</v>
      </c>
      <c r="E142">
        <v>0</v>
      </c>
      <c r="F142">
        <v>53</v>
      </c>
      <c r="G142">
        <v>0.96</v>
      </c>
      <c r="H142">
        <v>61</v>
      </c>
      <c r="I142">
        <v>15</v>
      </c>
      <c r="J142">
        <v>2</v>
      </c>
    </row>
    <row r="143" spans="1:10" x14ac:dyDescent="0.3">
      <c r="A143">
        <v>228</v>
      </c>
      <c r="B143">
        <v>1</v>
      </c>
      <c r="C143">
        <v>1</v>
      </c>
      <c r="D143">
        <v>4</v>
      </c>
      <c r="E143">
        <v>0</v>
      </c>
      <c r="F143">
        <v>53</v>
      </c>
      <c r="G143">
        <v>1.01</v>
      </c>
      <c r="H143">
        <v>58</v>
      </c>
      <c r="I143">
        <v>15</v>
      </c>
      <c r="J143">
        <v>2</v>
      </c>
    </row>
    <row r="144" spans="1:10" x14ac:dyDescent="0.3">
      <c r="A144">
        <v>248</v>
      </c>
      <c r="B144">
        <v>2</v>
      </c>
      <c r="C144">
        <v>1</v>
      </c>
      <c r="D144">
        <v>4</v>
      </c>
      <c r="E144">
        <v>0</v>
      </c>
      <c r="F144">
        <v>36</v>
      </c>
      <c r="G144">
        <v>0.6</v>
      </c>
      <c r="H144">
        <v>131</v>
      </c>
      <c r="I144">
        <v>30</v>
      </c>
      <c r="J144">
        <v>4</v>
      </c>
    </row>
    <row r="145" spans="1:10" x14ac:dyDescent="0.3">
      <c r="A145">
        <v>114</v>
      </c>
      <c r="B145">
        <v>2</v>
      </c>
      <c r="C145">
        <v>1</v>
      </c>
      <c r="D145">
        <v>4</v>
      </c>
      <c r="E145">
        <v>0</v>
      </c>
      <c r="F145">
        <v>6</v>
      </c>
      <c r="G145">
        <v>0.13</v>
      </c>
      <c r="H145">
        <v>364</v>
      </c>
      <c r="I145">
        <v>30</v>
      </c>
      <c r="J145">
        <v>3</v>
      </c>
    </row>
    <row r="146" spans="1:10" x14ac:dyDescent="0.3">
      <c r="A146">
        <v>199</v>
      </c>
      <c r="B146">
        <v>2</v>
      </c>
      <c r="C146">
        <v>1</v>
      </c>
      <c r="D146">
        <v>4</v>
      </c>
      <c r="E146">
        <v>0</v>
      </c>
      <c r="F146">
        <v>47</v>
      </c>
      <c r="G146">
        <v>0.83</v>
      </c>
      <c r="H146">
        <v>76</v>
      </c>
      <c r="I146">
        <v>30</v>
      </c>
      <c r="J146">
        <v>3</v>
      </c>
    </row>
    <row r="147" spans="1:10" x14ac:dyDescent="0.3">
      <c r="A147">
        <v>205</v>
      </c>
      <c r="B147">
        <v>1</v>
      </c>
      <c r="C147">
        <v>1</v>
      </c>
      <c r="D147">
        <v>4</v>
      </c>
      <c r="E147">
        <v>0</v>
      </c>
      <c r="F147">
        <v>48</v>
      </c>
      <c r="G147">
        <v>1.02</v>
      </c>
      <c r="H147">
        <v>75</v>
      </c>
      <c r="I147">
        <v>15</v>
      </c>
      <c r="J147">
        <v>2</v>
      </c>
    </row>
    <row r="148" spans="1:10" x14ac:dyDescent="0.3">
      <c r="A148">
        <v>110</v>
      </c>
      <c r="B148">
        <v>2</v>
      </c>
      <c r="C148">
        <v>1</v>
      </c>
      <c r="D148">
        <v>4</v>
      </c>
      <c r="E148">
        <v>0</v>
      </c>
      <c r="F148">
        <v>7</v>
      </c>
      <c r="G148">
        <v>0.22</v>
      </c>
      <c r="H148">
        <v>270</v>
      </c>
      <c r="I148">
        <v>30</v>
      </c>
      <c r="J148">
        <v>4</v>
      </c>
    </row>
    <row r="149" spans="1:10" x14ac:dyDescent="0.3">
      <c r="A149">
        <v>250</v>
      </c>
      <c r="B149">
        <v>1</v>
      </c>
      <c r="C149">
        <v>1</v>
      </c>
      <c r="D149">
        <v>4</v>
      </c>
      <c r="E149">
        <v>0</v>
      </c>
      <c r="F149">
        <v>64</v>
      </c>
      <c r="G149">
        <v>1.1000000000000001</v>
      </c>
      <c r="H149">
        <v>62</v>
      </c>
      <c r="I149">
        <v>15</v>
      </c>
      <c r="J149">
        <v>2</v>
      </c>
    </row>
    <row r="150" spans="1:10" x14ac:dyDescent="0.3">
      <c r="A150">
        <v>131</v>
      </c>
      <c r="B150">
        <v>1</v>
      </c>
      <c r="C150">
        <v>1</v>
      </c>
      <c r="D150">
        <v>4</v>
      </c>
      <c r="E150">
        <v>0</v>
      </c>
      <c r="F150">
        <v>6</v>
      </c>
      <c r="G150">
        <v>0.11</v>
      </c>
      <c r="H150">
        <v>217</v>
      </c>
      <c r="I150">
        <v>30</v>
      </c>
      <c r="J150">
        <v>2</v>
      </c>
    </row>
    <row r="151" spans="1:10" x14ac:dyDescent="0.3">
      <c r="A151">
        <v>213</v>
      </c>
      <c r="B151">
        <v>2</v>
      </c>
      <c r="C151">
        <v>2.5</v>
      </c>
      <c r="D151">
        <v>4</v>
      </c>
      <c r="E151">
        <v>0</v>
      </c>
      <c r="F151">
        <v>4</v>
      </c>
      <c r="G151">
        <v>7.0000000000000007E-2</v>
      </c>
      <c r="H151">
        <v>304</v>
      </c>
      <c r="I151">
        <v>30</v>
      </c>
      <c r="J151">
        <v>4</v>
      </c>
    </row>
    <row r="152" spans="1:10" x14ac:dyDescent="0.3">
      <c r="A152">
        <v>200</v>
      </c>
      <c r="B152">
        <v>1</v>
      </c>
      <c r="C152">
        <v>1</v>
      </c>
      <c r="D152">
        <v>4</v>
      </c>
      <c r="E152">
        <v>0</v>
      </c>
      <c r="F152">
        <v>35</v>
      </c>
      <c r="G152">
        <v>0.8</v>
      </c>
      <c r="H152">
        <v>66</v>
      </c>
      <c r="I152">
        <v>15</v>
      </c>
      <c r="J152">
        <v>2</v>
      </c>
    </row>
    <row r="153" spans="1:10" x14ac:dyDescent="0.3">
      <c r="A153">
        <v>159</v>
      </c>
      <c r="B153">
        <v>1</v>
      </c>
      <c r="C153">
        <v>1</v>
      </c>
      <c r="D153">
        <v>4</v>
      </c>
      <c r="E153">
        <v>0</v>
      </c>
      <c r="F153">
        <v>14</v>
      </c>
      <c r="G153">
        <v>0.3</v>
      </c>
      <c r="H153">
        <v>290</v>
      </c>
      <c r="I153">
        <v>30</v>
      </c>
      <c r="J153">
        <v>2</v>
      </c>
    </row>
    <row r="154" spans="1:10" x14ac:dyDescent="0.3">
      <c r="A154">
        <v>218</v>
      </c>
      <c r="B154">
        <v>1</v>
      </c>
      <c r="C154">
        <v>1</v>
      </c>
      <c r="D154">
        <v>4</v>
      </c>
      <c r="E154">
        <v>0</v>
      </c>
      <c r="F154">
        <v>5</v>
      </c>
      <c r="G154">
        <v>0.52</v>
      </c>
      <c r="H154">
        <v>331</v>
      </c>
      <c r="I154">
        <v>30</v>
      </c>
      <c r="J154">
        <v>2</v>
      </c>
    </row>
    <row r="155" spans="1:10" x14ac:dyDescent="0.3">
      <c r="A155">
        <v>120</v>
      </c>
      <c r="B155">
        <v>1</v>
      </c>
      <c r="C155">
        <v>1</v>
      </c>
      <c r="D155">
        <v>4</v>
      </c>
      <c r="E155">
        <v>1</v>
      </c>
      <c r="F155">
        <v>36</v>
      </c>
      <c r="G155">
        <v>0.66</v>
      </c>
      <c r="H155">
        <v>33</v>
      </c>
      <c r="I155">
        <v>4</v>
      </c>
      <c r="J155">
        <v>2</v>
      </c>
    </row>
    <row r="156" spans="1:10" x14ac:dyDescent="0.3">
      <c r="A156">
        <v>125</v>
      </c>
      <c r="B156">
        <v>1</v>
      </c>
      <c r="C156">
        <v>1</v>
      </c>
      <c r="D156">
        <v>4</v>
      </c>
      <c r="E156">
        <v>0</v>
      </c>
      <c r="F156">
        <v>11</v>
      </c>
      <c r="G156">
        <v>0.21</v>
      </c>
      <c r="H156">
        <v>273</v>
      </c>
      <c r="I156">
        <v>30</v>
      </c>
      <c r="J156">
        <v>2</v>
      </c>
    </row>
    <row r="157" spans="1:10" x14ac:dyDescent="0.3">
      <c r="A157">
        <v>332</v>
      </c>
      <c r="B157">
        <v>2</v>
      </c>
      <c r="C157">
        <v>1</v>
      </c>
      <c r="D157">
        <v>4</v>
      </c>
      <c r="E157">
        <v>1</v>
      </c>
      <c r="F157">
        <v>10</v>
      </c>
      <c r="G157">
        <v>0.49</v>
      </c>
      <c r="H157">
        <v>313</v>
      </c>
      <c r="I157">
        <v>1</v>
      </c>
      <c r="J157">
        <v>4</v>
      </c>
    </row>
    <row r="158" spans="1:10" x14ac:dyDescent="0.3">
      <c r="A158">
        <v>205</v>
      </c>
      <c r="B158">
        <v>1</v>
      </c>
      <c r="C158">
        <v>1</v>
      </c>
      <c r="D158">
        <v>4</v>
      </c>
      <c r="E158">
        <v>0</v>
      </c>
      <c r="F158">
        <v>49</v>
      </c>
      <c r="G158">
        <v>1.02</v>
      </c>
      <c r="H158">
        <v>49</v>
      </c>
      <c r="I158">
        <v>15</v>
      </c>
      <c r="J158">
        <v>2</v>
      </c>
    </row>
    <row r="159" spans="1:10" x14ac:dyDescent="0.3">
      <c r="A159">
        <v>220</v>
      </c>
      <c r="B159">
        <v>1</v>
      </c>
      <c r="C159">
        <v>1</v>
      </c>
      <c r="D159">
        <v>4</v>
      </c>
      <c r="E159">
        <v>0</v>
      </c>
      <c r="F159">
        <v>44</v>
      </c>
      <c r="G159">
        <v>0.81</v>
      </c>
      <c r="H159">
        <v>71</v>
      </c>
      <c r="I159">
        <v>15</v>
      </c>
      <c r="J159">
        <v>2</v>
      </c>
    </row>
    <row r="160" spans="1:10" x14ac:dyDescent="0.3">
      <c r="A160">
        <v>200</v>
      </c>
      <c r="B160">
        <v>1</v>
      </c>
      <c r="C160">
        <v>1</v>
      </c>
      <c r="D160">
        <v>4</v>
      </c>
      <c r="E160">
        <v>0</v>
      </c>
      <c r="F160">
        <v>60</v>
      </c>
      <c r="G160">
        <v>1.08</v>
      </c>
      <c r="H160">
        <v>47</v>
      </c>
      <c r="I160">
        <v>15</v>
      </c>
      <c r="J160">
        <v>2</v>
      </c>
    </row>
    <row r="161" spans="1:10" x14ac:dyDescent="0.3">
      <c r="A161">
        <v>120</v>
      </c>
      <c r="B161">
        <v>1</v>
      </c>
      <c r="C161">
        <v>1</v>
      </c>
      <c r="D161">
        <v>4</v>
      </c>
      <c r="E161">
        <v>0</v>
      </c>
      <c r="F161">
        <v>18</v>
      </c>
      <c r="G161">
        <v>0.35</v>
      </c>
      <c r="H161">
        <v>335</v>
      </c>
      <c r="I161">
        <v>30</v>
      </c>
      <c r="J161">
        <v>2</v>
      </c>
    </row>
    <row r="162" spans="1:10" x14ac:dyDescent="0.3">
      <c r="A162">
        <v>200</v>
      </c>
      <c r="B162">
        <v>1</v>
      </c>
      <c r="C162">
        <v>1</v>
      </c>
      <c r="D162">
        <v>4</v>
      </c>
      <c r="E162">
        <v>0</v>
      </c>
      <c r="F162">
        <v>55</v>
      </c>
      <c r="G162">
        <v>1.04</v>
      </c>
      <c r="H162">
        <v>77</v>
      </c>
      <c r="I162">
        <v>15</v>
      </c>
      <c r="J162">
        <v>2</v>
      </c>
    </row>
    <row r="163" spans="1:10" x14ac:dyDescent="0.3">
      <c r="A163">
        <v>120</v>
      </c>
      <c r="B163">
        <v>2</v>
      </c>
      <c r="C163">
        <v>1</v>
      </c>
      <c r="D163">
        <v>4</v>
      </c>
      <c r="E163">
        <v>0</v>
      </c>
      <c r="F163">
        <v>9</v>
      </c>
      <c r="G163">
        <v>0.2</v>
      </c>
      <c r="H163">
        <v>221</v>
      </c>
      <c r="I163">
        <v>30</v>
      </c>
      <c r="J163">
        <v>2</v>
      </c>
    </row>
    <row r="164" spans="1:10" x14ac:dyDescent="0.3">
      <c r="A164">
        <v>212</v>
      </c>
      <c r="B164">
        <v>1</v>
      </c>
      <c r="C164">
        <v>1</v>
      </c>
      <c r="D164">
        <v>4</v>
      </c>
      <c r="E164">
        <v>0</v>
      </c>
      <c r="F164">
        <v>9</v>
      </c>
      <c r="G164">
        <v>0.2</v>
      </c>
      <c r="H164">
        <v>323</v>
      </c>
      <c r="I164">
        <v>30</v>
      </c>
      <c r="J164">
        <v>2</v>
      </c>
    </row>
    <row r="165" spans="1:10" x14ac:dyDescent="0.3">
      <c r="A165">
        <v>122</v>
      </c>
      <c r="B165">
        <v>1</v>
      </c>
      <c r="C165">
        <v>1</v>
      </c>
      <c r="D165">
        <v>4</v>
      </c>
      <c r="E165">
        <v>1</v>
      </c>
      <c r="F165">
        <v>65</v>
      </c>
      <c r="G165">
        <v>1.19</v>
      </c>
      <c r="H165">
        <v>33</v>
      </c>
      <c r="I165">
        <v>3</v>
      </c>
      <c r="J165">
        <v>2</v>
      </c>
    </row>
    <row r="166" spans="1:10" x14ac:dyDescent="0.3">
      <c r="A166">
        <v>137</v>
      </c>
      <c r="B166">
        <v>1</v>
      </c>
      <c r="C166">
        <v>1</v>
      </c>
      <c r="D166">
        <v>4</v>
      </c>
      <c r="E166">
        <v>0</v>
      </c>
      <c r="F166">
        <v>7</v>
      </c>
      <c r="G166">
        <v>0.15</v>
      </c>
      <c r="H166">
        <v>271</v>
      </c>
      <c r="I166">
        <v>30</v>
      </c>
      <c r="J166">
        <v>3</v>
      </c>
    </row>
    <row r="167" spans="1:10" x14ac:dyDescent="0.3">
      <c r="A167">
        <v>107</v>
      </c>
      <c r="B167">
        <v>3</v>
      </c>
      <c r="C167">
        <v>1</v>
      </c>
      <c r="D167">
        <v>4</v>
      </c>
      <c r="E167">
        <v>0</v>
      </c>
      <c r="F167">
        <v>15</v>
      </c>
      <c r="G167">
        <v>0.31</v>
      </c>
      <c r="H167">
        <v>270</v>
      </c>
      <c r="I167">
        <v>30</v>
      </c>
      <c r="J167">
        <v>4</v>
      </c>
    </row>
    <row r="168" spans="1:10" x14ac:dyDescent="0.3">
      <c r="A168">
        <v>209</v>
      </c>
      <c r="B168">
        <v>1</v>
      </c>
      <c r="C168">
        <v>1</v>
      </c>
      <c r="D168">
        <v>4</v>
      </c>
      <c r="E168">
        <v>0</v>
      </c>
      <c r="F168">
        <v>15</v>
      </c>
      <c r="G168">
        <v>0.71</v>
      </c>
      <c r="H168">
        <v>84</v>
      </c>
      <c r="I168">
        <v>15</v>
      </c>
      <c r="J168">
        <v>2</v>
      </c>
    </row>
    <row r="169" spans="1:10" x14ac:dyDescent="0.3">
      <c r="A169">
        <v>140</v>
      </c>
      <c r="B169">
        <v>2</v>
      </c>
      <c r="C169">
        <v>1</v>
      </c>
      <c r="D169">
        <v>4</v>
      </c>
      <c r="E169">
        <v>0</v>
      </c>
      <c r="F169">
        <v>7</v>
      </c>
      <c r="G169">
        <v>0.15</v>
      </c>
      <c r="H169">
        <v>314</v>
      </c>
      <c r="I169">
        <v>30</v>
      </c>
      <c r="J169">
        <v>4</v>
      </c>
    </row>
    <row r="170" spans="1:10" x14ac:dyDescent="0.3">
      <c r="A170">
        <v>209</v>
      </c>
      <c r="B170">
        <v>2</v>
      </c>
      <c r="C170">
        <v>1</v>
      </c>
      <c r="D170">
        <v>4</v>
      </c>
      <c r="E170">
        <v>0</v>
      </c>
      <c r="F170">
        <v>38</v>
      </c>
      <c r="G170">
        <v>0.73</v>
      </c>
      <c r="H170">
        <v>239</v>
      </c>
      <c r="I170">
        <v>1</v>
      </c>
      <c r="J170">
        <v>4</v>
      </c>
    </row>
    <row r="171" spans="1:10" x14ac:dyDescent="0.3">
      <c r="A171">
        <v>170</v>
      </c>
      <c r="B171">
        <v>2</v>
      </c>
      <c r="C171">
        <v>1</v>
      </c>
      <c r="D171">
        <v>4</v>
      </c>
      <c r="E171">
        <v>0</v>
      </c>
      <c r="F171">
        <v>14</v>
      </c>
      <c r="G171">
        <v>0.28000000000000003</v>
      </c>
      <c r="H171">
        <v>280</v>
      </c>
      <c r="I171">
        <v>30</v>
      </c>
      <c r="J171">
        <v>4</v>
      </c>
    </row>
    <row r="172" spans="1:10" x14ac:dyDescent="0.3">
      <c r="A172">
        <v>267</v>
      </c>
      <c r="B172">
        <v>3</v>
      </c>
      <c r="C172">
        <v>1</v>
      </c>
      <c r="D172">
        <v>4</v>
      </c>
      <c r="E172">
        <v>0</v>
      </c>
      <c r="F172">
        <v>79</v>
      </c>
      <c r="G172">
        <v>1.5</v>
      </c>
      <c r="H172">
        <v>333</v>
      </c>
      <c r="I172">
        <v>1</v>
      </c>
      <c r="J172">
        <v>6</v>
      </c>
    </row>
    <row r="173" spans="1:10" x14ac:dyDescent="0.3">
      <c r="A173">
        <v>209</v>
      </c>
      <c r="B173">
        <v>2</v>
      </c>
      <c r="C173">
        <v>1</v>
      </c>
      <c r="D173">
        <v>4</v>
      </c>
      <c r="E173">
        <v>0</v>
      </c>
      <c r="F173">
        <v>11</v>
      </c>
      <c r="G173">
        <v>0.24</v>
      </c>
      <c r="H173">
        <v>365</v>
      </c>
      <c r="I173">
        <v>30</v>
      </c>
      <c r="J173">
        <v>4</v>
      </c>
    </row>
    <row r="174" spans="1:10" x14ac:dyDescent="0.3">
      <c r="A174">
        <v>248</v>
      </c>
      <c r="B174">
        <v>1</v>
      </c>
      <c r="C174">
        <v>1</v>
      </c>
      <c r="D174">
        <v>4</v>
      </c>
      <c r="E174">
        <v>0</v>
      </c>
      <c r="F174">
        <v>14</v>
      </c>
      <c r="G174">
        <v>0.28000000000000003</v>
      </c>
      <c r="H174">
        <v>152</v>
      </c>
      <c r="I174">
        <v>30</v>
      </c>
      <c r="J174">
        <v>4</v>
      </c>
    </row>
    <row r="175" spans="1:10" x14ac:dyDescent="0.3">
      <c r="A175">
        <v>120</v>
      </c>
      <c r="B175">
        <v>1</v>
      </c>
      <c r="C175">
        <v>1</v>
      </c>
      <c r="D175">
        <v>4</v>
      </c>
      <c r="E175">
        <v>0</v>
      </c>
      <c r="F175">
        <v>12</v>
      </c>
      <c r="G175">
        <v>0.24</v>
      </c>
      <c r="H175">
        <v>288</v>
      </c>
      <c r="I175">
        <v>30</v>
      </c>
      <c r="J175">
        <v>2</v>
      </c>
    </row>
    <row r="176" spans="1:10" x14ac:dyDescent="0.3">
      <c r="A176">
        <v>120</v>
      </c>
      <c r="B176">
        <v>1</v>
      </c>
      <c r="C176">
        <v>1</v>
      </c>
      <c r="D176">
        <v>4</v>
      </c>
      <c r="E176">
        <v>0</v>
      </c>
      <c r="F176">
        <v>15</v>
      </c>
      <c r="G176">
        <v>0.3</v>
      </c>
      <c r="H176">
        <v>337</v>
      </c>
      <c r="I176">
        <v>30</v>
      </c>
      <c r="J176">
        <v>2</v>
      </c>
    </row>
    <row r="177" spans="1:10" x14ac:dyDescent="0.3">
      <c r="A177">
        <v>356</v>
      </c>
      <c r="B177">
        <v>1</v>
      </c>
      <c r="C177">
        <v>1</v>
      </c>
      <c r="D177">
        <v>4</v>
      </c>
      <c r="E177">
        <v>1</v>
      </c>
      <c r="F177">
        <v>18</v>
      </c>
      <c r="G177">
        <v>0.38</v>
      </c>
      <c r="H177">
        <v>299</v>
      </c>
      <c r="I177">
        <v>1</v>
      </c>
      <c r="J177">
        <v>2</v>
      </c>
    </row>
    <row r="178" spans="1:10" x14ac:dyDescent="0.3">
      <c r="A178">
        <v>381</v>
      </c>
      <c r="B178">
        <v>1</v>
      </c>
      <c r="C178">
        <v>1</v>
      </c>
      <c r="D178">
        <v>4</v>
      </c>
      <c r="E178">
        <v>1</v>
      </c>
      <c r="F178">
        <v>101</v>
      </c>
      <c r="G178">
        <v>2.0299999999999998</v>
      </c>
      <c r="H178">
        <v>324</v>
      </c>
      <c r="I178">
        <v>1</v>
      </c>
      <c r="J178">
        <v>2</v>
      </c>
    </row>
    <row r="179" spans="1:10" x14ac:dyDescent="0.3">
      <c r="A179">
        <v>56</v>
      </c>
      <c r="B179">
        <v>1</v>
      </c>
      <c r="C179">
        <v>1</v>
      </c>
      <c r="D179">
        <v>4</v>
      </c>
      <c r="E179">
        <v>1</v>
      </c>
      <c r="F179">
        <v>13</v>
      </c>
      <c r="G179">
        <v>0.27</v>
      </c>
      <c r="H179">
        <v>214</v>
      </c>
      <c r="I179">
        <v>30</v>
      </c>
      <c r="J179">
        <v>1</v>
      </c>
    </row>
    <row r="180" spans="1:10" x14ac:dyDescent="0.3">
      <c r="A180">
        <v>421</v>
      </c>
      <c r="B180">
        <v>1</v>
      </c>
      <c r="C180">
        <v>1</v>
      </c>
      <c r="D180">
        <v>4</v>
      </c>
      <c r="E180">
        <v>1</v>
      </c>
      <c r="F180">
        <v>53</v>
      </c>
      <c r="G180">
        <v>1.25</v>
      </c>
      <c r="H180">
        <v>283</v>
      </c>
      <c r="I180">
        <v>1</v>
      </c>
      <c r="J180">
        <v>2</v>
      </c>
    </row>
    <row r="181" spans="1:10" x14ac:dyDescent="0.3">
      <c r="A181">
        <v>119</v>
      </c>
      <c r="B181">
        <v>1</v>
      </c>
      <c r="C181">
        <v>1</v>
      </c>
      <c r="D181">
        <v>4</v>
      </c>
      <c r="E181">
        <v>0</v>
      </c>
      <c r="F181">
        <v>23</v>
      </c>
      <c r="G181">
        <v>0.51</v>
      </c>
      <c r="H181">
        <v>362</v>
      </c>
      <c r="I181">
        <v>30</v>
      </c>
      <c r="J181">
        <v>3</v>
      </c>
    </row>
    <row r="182" spans="1:10" x14ac:dyDescent="0.3">
      <c r="A182">
        <v>289</v>
      </c>
      <c r="B182">
        <v>1</v>
      </c>
      <c r="C182">
        <v>1</v>
      </c>
      <c r="D182">
        <v>4</v>
      </c>
      <c r="E182">
        <v>1</v>
      </c>
      <c r="F182">
        <v>21</v>
      </c>
      <c r="G182">
        <v>0.48</v>
      </c>
      <c r="H182">
        <v>39</v>
      </c>
      <c r="I182">
        <v>1</v>
      </c>
      <c r="J182">
        <v>2</v>
      </c>
    </row>
    <row r="183" spans="1:10" x14ac:dyDescent="0.3">
      <c r="A183">
        <v>207</v>
      </c>
      <c r="B183">
        <v>1</v>
      </c>
      <c r="C183">
        <v>0</v>
      </c>
      <c r="D183">
        <v>4</v>
      </c>
      <c r="E183">
        <v>1</v>
      </c>
      <c r="F183">
        <v>2</v>
      </c>
      <c r="G183">
        <v>0.71</v>
      </c>
      <c r="H183">
        <v>304</v>
      </c>
      <c r="I183">
        <v>1</v>
      </c>
      <c r="J183">
        <v>1</v>
      </c>
    </row>
    <row r="184" spans="1:10" x14ac:dyDescent="0.3">
      <c r="A184">
        <v>365</v>
      </c>
      <c r="B184">
        <v>1</v>
      </c>
      <c r="C184">
        <v>1.5</v>
      </c>
      <c r="D184">
        <v>4</v>
      </c>
      <c r="E184">
        <v>0</v>
      </c>
      <c r="F184">
        <v>86</v>
      </c>
      <c r="G184">
        <v>1.76</v>
      </c>
      <c r="H184">
        <v>115</v>
      </c>
      <c r="I184">
        <v>30</v>
      </c>
      <c r="J184">
        <v>2</v>
      </c>
    </row>
    <row r="185" spans="1:10" x14ac:dyDescent="0.3">
      <c r="A185">
        <v>194</v>
      </c>
      <c r="B185">
        <v>1</v>
      </c>
      <c r="C185">
        <v>1</v>
      </c>
      <c r="D185">
        <v>4</v>
      </c>
      <c r="E185">
        <v>0</v>
      </c>
      <c r="F185">
        <v>3</v>
      </c>
      <c r="G185">
        <v>0.08</v>
      </c>
      <c r="H185">
        <v>359</v>
      </c>
      <c r="I185">
        <v>30</v>
      </c>
      <c r="J185">
        <v>3</v>
      </c>
    </row>
    <row r="186" spans="1:10" x14ac:dyDescent="0.3">
      <c r="A186">
        <v>57</v>
      </c>
      <c r="B186">
        <v>1</v>
      </c>
      <c r="C186">
        <v>1.5</v>
      </c>
      <c r="D186">
        <v>4</v>
      </c>
      <c r="E186">
        <v>1</v>
      </c>
      <c r="F186">
        <v>14</v>
      </c>
      <c r="G186">
        <v>0.3</v>
      </c>
      <c r="H186">
        <v>305</v>
      </c>
      <c r="I186">
        <v>30</v>
      </c>
      <c r="J186">
        <v>1</v>
      </c>
    </row>
    <row r="187" spans="1:10" x14ac:dyDescent="0.3">
      <c r="A187">
        <v>51</v>
      </c>
      <c r="B187">
        <v>1</v>
      </c>
      <c r="C187">
        <v>1</v>
      </c>
      <c r="D187">
        <v>4</v>
      </c>
      <c r="E187">
        <v>1</v>
      </c>
      <c r="F187">
        <v>24</v>
      </c>
      <c r="G187">
        <v>0.84</v>
      </c>
      <c r="H187">
        <v>159</v>
      </c>
      <c r="I187">
        <v>30</v>
      </c>
      <c r="J187">
        <v>2</v>
      </c>
    </row>
    <row r="188" spans="1:10" x14ac:dyDescent="0.3">
      <c r="A188">
        <v>245</v>
      </c>
      <c r="B188">
        <v>4</v>
      </c>
      <c r="C188">
        <v>2</v>
      </c>
      <c r="D188">
        <v>4</v>
      </c>
      <c r="E188">
        <v>0</v>
      </c>
      <c r="F188">
        <v>4</v>
      </c>
      <c r="G188">
        <v>0.09</v>
      </c>
      <c r="H188">
        <v>365</v>
      </c>
      <c r="I188">
        <v>30</v>
      </c>
      <c r="J188">
        <v>8</v>
      </c>
    </row>
    <row r="189" spans="1:10" x14ac:dyDescent="0.3">
      <c r="A189">
        <v>132</v>
      </c>
      <c r="B189">
        <v>1</v>
      </c>
      <c r="C189">
        <v>1</v>
      </c>
      <c r="D189">
        <v>4</v>
      </c>
      <c r="E189">
        <v>0</v>
      </c>
      <c r="F189">
        <v>7</v>
      </c>
      <c r="G189">
        <v>0.15</v>
      </c>
      <c r="H189">
        <v>274</v>
      </c>
      <c r="I189">
        <v>30</v>
      </c>
      <c r="J189">
        <v>2</v>
      </c>
    </row>
    <row r="190" spans="1:10" x14ac:dyDescent="0.3">
      <c r="A190">
        <v>132</v>
      </c>
      <c r="B190">
        <v>1</v>
      </c>
      <c r="C190">
        <v>1</v>
      </c>
      <c r="D190">
        <v>4</v>
      </c>
      <c r="E190">
        <v>0</v>
      </c>
      <c r="F190">
        <v>7</v>
      </c>
      <c r="G190">
        <v>0.25</v>
      </c>
      <c r="H190">
        <v>327</v>
      </c>
      <c r="I190">
        <v>30</v>
      </c>
      <c r="J190">
        <v>2</v>
      </c>
    </row>
    <row r="191" spans="1:10" x14ac:dyDescent="0.3">
      <c r="A191">
        <v>332</v>
      </c>
      <c r="B191">
        <v>2</v>
      </c>
      <c r="C191">
        <v>1</v>
      </c>
      <c r="D191">
        <v>4</v>
      </c>
      <c r="E191">
        <v>1</v>
      </c>
      <c r="F191">
        <v>43</v>
      </c>
      <c r="G191">
        <v>0.91</v>
      </c>
      <c r="H191">
        <v>39</v>
      </c>
      <c r="I191">
        <v>1</v>
      </c>
      <c r="J191">
        <v>4</v>
      </c>
    </row>
    <row r="192" spans="1:10" x14ac:dyDescent="0.3">
      <c r="A192">
        <v>106</v>
      </c>
      <c r="B192">
        <v>1</v>
      </c>
      <c r="C192">
        <v>1</v>
      </c>
      <c r="D192">
        <v>4</v>
      </c>
      <c r="E192">
        <v>0</v>
      </c>
      <c r="F192">
        <v>11</v>
      </c>
      <c r="G192">
        <v>0.27</v>
      </c>
      <c r="H192">
        <v>320</v>
      </c>
      <c r="I192">
        <v>30</v>
      </c>
      <c r="J192">
        <v>2</v>
      </c>
    </row>
    <row r="193" spans="1:10" x14ac:dyDescent="0.3">
      <c r="A193">
        <v>417</v>
      </c>
      <c r="B193">
        <v>1</v>
      </c>
      <c r="C193">
        <v>1</v>
      </c>
      <c r="D193">
        <v>4</v>
      </c>
      <c r="E193">
        <v>0</v>
      </c>
      <c r="F193">
        <v>135</v>
      </c>
      <c r="G193">
        <v>2.94</v>
      </c>
      <c r="H193">
        <v>262</v>
      </c>
      <c r="I193">
        <v>1</v>
      </c>
      <c r="J193">
        <v>2</v>
      </c>
    </row>
    <row r="194" spans="1:10" x14ac:dyDescent="0.3">
      <c r="A194">
        <v>97</v>
      </c>
      <c r="B194">
        <v>1</v>
      </c>
      <c r="C194">
        <v>1</v>
      </c>
      <c r="D194">
        <v>4</v>
      </c>
      <c r="E194">
        <v>1</v>
      </c>
      <c r="F194">
        <v>46</v>
      </c>
      <c r="G194">
        <v>1.01</v>
      </c>
      <c r="H194">
        <v>107</v>
      </c>
      <c r="I194">
        <v>30</v>
      </c>
      <c r="J194">
        <v>2</v>
      </c>
    </row>
    <row r="195" spans="1:10" x14ac:dyDescent="0.3">
      <c r="A195">
        <v>133</v>
      </c>
      <c r="B195">
        <v>1</v>
      </c>
      <c r="C195">
        <v>1</v>
      </c>
      <c r="D195">
        <v>4</v>
      </c>
      <c r="E195">
        <v>0</v>
      </c>
      <c r="F195">
        <v>15</v>
      </c>
      <c r="G195">
        <v>0.33</v>
      </c>
      <c r="H195">
        <v>250</v>
      </c>
      <c r="I195">
        <v>30</v>
      </c>
      <c r="J195">
        <v>2</v>
      </c>
    </row>
    <row r="196" spans="1:10" x14ac:dyDescent="0.3">
      <c r="A196">
        <v>125</v>
      </c>
      <c r="B196">
        <v>2</v>
      </c>
      <c r="C196">
        <v>1</v>
      </c>
      <c r="D196">
        <v>4</v>
      </c>
      <c r="E196">
        <v>0</v>
      </c>
      <c r="F196">
        <v>158</v>
      </c>
      <c r="G196">
        <v>3.44</v>
      </c>
      <c r="H196">
        <v>64</v>
      </c>
      <c r="I196">
        <v>1</v>
      </c>
      <c r="J196">
        <v>2</v>
      </c>
    </row>
    <row r="197" spans="1:10" x14ac:dyDescent="0.3">
      <c r="A197">
        <v>179</v>
      </c>
      <c r="B197">
        <v>1</v>
      </c>
      <c r="C197">
        <v>1</v>
      </c>
      <c r="D197">
        <v>4</v>
      </c>
      <c r="E197">
        <v>0</v>
      </c>
      <c r="F197">
        <v>24</v>
      </c>
      <c r="G197">
        <v>0.69</v>
      </c>
      <c r="H197">
        <v>33</v>
      </c>
      <c r="I197">
        <v>4</v>
      </c>
      <c r="J197">
        <v>2</v>
      </c>
    </row>
    <row r="198" spans="1:10" x14ac:dyDescent="0.3">
      <c r="A198">
        <v>118</v>
      </c>
      <c r="B198">
        <v>1</v>
      </c>
      <c r="C198">
        <v>1</v>
      </c>
      <c r="D198">
        <v>4</v>
      </c>
      <c r="E198">
        <v>1</v>
      </c>
      <c r="F198">
        <v>23</v>
      </c>
      <c r="G198">
        <v>0.5</v>
      </c>
      <c r="H198">
        <v>33</v>
      </c>
      <c r="I198">
        <v>3</v>
      </c>
      <c r="J198">
        <v>2</v>
      </c>
    </row>
    <row r="199" spans="1:10" x14ac:dyDescent="0.3">
      <c r="A199">
        <v>161</v>
      </c>
      <c r="B199">
        <v>1</v>
      </c>
      <c r="C199">
        <v>1</v>
      </c>
      <c r="D199">
        <v>4</v>
      </c>
      <c r="E199">
        <v>0</v>
      </c>
      <c r="F199">
        <v>157</v>
      </c>
      <c r="G199">
        <v>3.45</v>
      </c>
      <c r="H199">
        <v>218</v>
      </c>
      <c r="I199">
        <v>30</v>
      </c>
      <c r="J199">
        <v>4</v>
      </c>
    </row>
    <row r="200" spans="1:10" x14ac:dyDescent="0.3">
      <c r="A200">
        <v>118</v>
      </c>
      <c r="B200">
        <v>1</v>
      </c>
      <c r="C200">
        <v>1</v>
      </c>
      <c r="D200">
        <v>4</v>
      </c>
      <c r="E200">
        <v>0</v>
      </c>
      <c r="F200">
        <v>10</v>
      </c>
      <c r="G200">
        <v>0.22</v>
      </c>
      <c r="H200">
        <v>336</v>
      </c>
      <c r="I200">
        <v>30</v>
      </c>
      <c r="J200">
        <v>2</v>
      </c>
    </row>
    <row r="201" spans="1:10" x14ac:dyDescent="0.3">
      <c r="A201">
        <v>183</v>
      </c>
      <c r="B201">
        <v>1</v>
      </c>
      <c r="C201">
        <v>1</v>
      </c>
      <c r="D201">
        <v>4</v>
      </c>
      <c r="E201">
        <v>0</v>
      </c>
      <c r="F201">
        <v>7</v>
      </c>
      <c r="G201">
        <v>0.17</v>
      </c>
      <c r="H201">
        <v>303</v>
      </c>
      <c r="I201">
        <v>30</v>
      </c>
      <c r="J201">
        <v>2</v>
      </c>
    </row>
    <row r="202" spans="1:10" x14ac:dyDescent="0.3">
      <c r="A202">
        <v>200</v>
      </c>
      <c r="B202">
        <v>2</v>
      </c>
      <c r="C202">
        <v>1</v>
      </c>
      <c r="D202">
        <v>4</v>
      </c>
      <c r="E202">
        <v>0</v>
      </c>
      <c r="F202">
        <v>6</v>
      </c>
      <c r="G202">
        <v>0.22</v>
      </c>
      <c r="H202">
        <v>265</v>
      </c>
      <c r="I202">
        <v>30</v>
      </c>
      <c r="J202">
        <v>4</v>
      </c>
    </row>
    <row r="203" spans="1:10" x14ac:dyDescent="0.3">
      <c r="A203">
        <v>149</v>
      </c>
      <c r="B203">
        <v>2</v>
      </c>
      <c r="C203">
        <v>1</v>
      </c>
      <c r="D203">
        <v>4</v>
      </c>
      <c r="E203">
        <v>0</v>
      </c>
      <c r="F203">
        <v>48</v>
      </c>
      <c r="G203">
        <v>1.38</v>
      </c>
      <c r="H203">
        <v>283</v>
      </c>
      <c r="I203">
        <v>4</v>
      </c>
      <c r="J203">
        <v>3</v>
      </c>
    </row>
    <row r="204" spans="1:10" x14ac:dyDescent="0.3">
      <c r="A204">
        <v>108</v>
      </c>
      <c r="B204">
        <v>1</v>
      </c>
      <c r="C204">
        <v>1</v>
      </c>
      <c r="D204">
        <v>4</v>
      </c>
      <c r="E204">
        <v>0</v>
      </c>
      <c r="F204">
        <v>10</v>
      </c>
      <c r="G204">
        <v>0.23</v>
      </c>
      <c r="H204">
        <v>279</v>
      </c>
      <c r="I204">
        <v>30</v>
      </c>
      <c r="J204">
        <v>3</v>
      </c>
    </row>
    <row r="205" spans="1:10" x14ac:dyDescent="0.3">
      <c r="A205">
        <v>310</v>
      </c>
      <c r="B205">
        <v>1</v>
      </c>
      <c r="C205">
        <v>1</v>
      </c>
      <c r="D205">
        <v>4</v>
      </c>
      <c r="E205">
        <v>0</v>
      </c>
      <c r="F205">
        <v>121</v>
      </c>
      <c r="G205">
        <v>2.79</v>
      </c>
      <c r="H205">
        <v>336</v>
      </c>
      <c r="I205">
        <v>1</v>
      </c>
      <c r="J205">
        <v>2</v>
      </c>
    </row>
    <row r="206" spans="1:10" x14ac:dyDescent="0.3">
      <c r="A206">
        <v>231</v>
      </c>
      <c r="B206">
        <v>3</v>
      </c>
      <c r="C206">
        <v>1</v>
      </c>
      <c r="D206">
        <v>4</v>
      </c>
      <c r="E206">
        <v>1</v>
      </c>
      <c r="F206">
        <v>70</v>
      </c>
      <c r="G206">
        <v>1.61</v>
      </c>
      <c r="H206">
        <v>284</v>
      </c>
      <c r="I206">
        <v>1</v>
      </c>
      <c r="J206">
        <v>5</v>
      </c>
    </row>
    <row r="207" spans="1:10" x14ac:dyDescent="0.3">
      <c r="A207">
        <v>405</v>
      </c>
      <c r="B207">
        <v>2</v>
      </c>
      <c r="C207">
        <v>1</v>
      </c>
      <c r="D207">
        <v>4</v>
      </c>
      <c r="E207">
        <v>1</v>
      </c>
      <c r="F207">
        <v>60</v>
      </c>
      <c r="G207">
        <v>1.43</v>
      </c>
      <c r="H207">
        <v>306</v>
      </c>
      <c r="I207">
        <v>1</v>
      </c>
      <c r="J207">
        <v>4</v>
      </c>
    </row>
    <row r="208" spans="1:10" x14ac:dyDescent="0.3">
      <c r="A208">
        <v>334</v>
      </c>
      <c r="B208">
        <v>2</v>
      </c>
      <c r="C208">
        <v>1</v>
      </c>
      <c r="D208">
        <v>4</v>
      </c>
      <c r="E208">
        <v>1</v>
      </c>
      <c r="F208">
        <v>28</v>
      </c>
      <c r="G208">
        <v>0.7</v>
      </c>
      <c r="H208">
        <v>139</v>
      </c>
      <c r="I208">
        <v>1</v>
      </c>
      <c r="J208">
        <v>4</v>
      </c>
    </row>
    <row r="209" spans="1:10" x14ac:dyDescent="0.3">
      <c r="A209">
        <v>170</v>
      </c>
      <c r="B209">
        <v>1</v>
      </c>
      <c r="C209">
        <v>1</v>
      </c>
      <c r="D209">
        <v>4</v>
      </c>
      <c r="E209">
        <v>0</v>
      </c>
      <c r="F209">
        <v>12</v>
      </c>
      <c r="G209">
        <v>0.3</v>
      </c>
      <c r="H209">
        <v>364</v>
      </c>
      <c r="I209">
        <v>30</v>
      </c>
      <c r="J209">
        <v>2</v>
      </c>
    </row>
    <row r="210" spans="1:10" x14ac:dyDescent="0.3">
      <c r="A210">
        <v>261</v>
      </c>
      <c r="B210">
        <v>1</v>
      </c>
      <c r="C210">
        <v>1</v>
      </c>
      <c r="D210">
        <v>4</v>
      </c>
      <c r="E210">
        <v>0</v>
      </c>
      <c r="F210">
        <v>169</v>
      </c>
      <c r="G210">
        <v>3.87</v>
      </c>
      <c r="H210">
        <v>355</v>
      </c>
      <c r="I210">
        <v>1</v>
      </c>
      <c r="J210">
        <v>2</v>
      </c>
    </row>
    <row r="211" spans="1:10" x14ac:dyDescent="0.3">
      <c r="A211">
        <v>224</v>
      </c>
      <c r="B211">
        <v>1</v>
      </c>
      <c r="C211">
        <v>1</v>
      </c>
      <c r="D211">
        <v>4</v>
      </c>
      <c r="E211">
        <v>0</v>
      </c>
      <c r="F211">
        <v>13</v>
      </c>
      <c r="G211">
        <v>0.31</v>
      </c>
      <c r="H211">
        <v>286</v>
      </c>
      <c r="I211">
        <v>30</v>
      </c>
      <c r="J211">
        <v>3</v>
      </c>
    </row>
    <row r="212" spans="1:10" x14ac:dyDescent="0.3">
      <c r="A212">
        <v>137</v>
      </c>
      <c r="B212">
        <v>2</v>
      </c>
      <c r="C212">
        <v>1</v>
      </c>
      <c r="D212">
        <v>4</v>
      </c>
      <c r="E212">
        <v>0</v>
      </c>
      <c r="F212">
        <v>14</v>
      </c>
      <c r="G212">
        <v>0.44</v>
      </c>
      <c r="H212">
        <v>258</v>
      </c>
      <c r="I212">
        <v>30</v>
      </c>
      <c r="J212">
        <v>4</v>
      </c>
    </row>
    <row r="213" spans="1:10" x14ac:dyDescent="0.3">
      <c r="A213">
        <v>151</v>
      </c>
      <c r="B213">
        <v>1</v>
      </c>
      <c r="C213">
        <v>1</v>
      </c>
      <c r="D213">
        <v>4</v>
      </c>
      <c r="E213">
        <v>0</v>
      </c>
      <c r="F213">
        <v>5</v>
      </c>
      <c r="G213">
        <v>0.16</v>
      </c>
      <c r="H213">
        <v>268</v>
      </c>
      <c r="I213">
        <v>30</v>
      </c>
      <c r="J213">
        <v>2</v>
      </c>
    </row>
    <row r="214" spans="1:10" x14ac:dyDescent="0.3">
      <c r="A214">
        <v>120</v>
      </c>
      <c r="B214">
        <v>1</v>
      </c>
      <c r="C214">
        <v>1</v>
      </c>
      <c r="D214">
        <v>4</v>
      </c>
      <c r="E214">
        <v>0</v>
      </c>
      <c r="F214">
        <v>5</v>
      </c>
      <c r="G214">
        <v>0.26</v>
      </c>
      <c r="H214">
        <v>238</v>
      </c>
      <c r="I214">
        <v>30</v>
      </c>
      <c r="J214">
        <v>4</v>
      </c>
    </row>
    <row r="215" spans="1:10" x14ac:dyDescent="0.3">
      <c r="A215">
        <v>208</v>
      </c>
      <c r="B215">
        <v>2</v>
      </c>
      <c r="C215">
        <v>1</v>
      </c>
      <c r="D215">
        <v>4</v>
      </c>
      <c r="E215">
        <v>0</v>
      </c>
      <c r="F215">
        <v>5</v>
      </c>
      <c r="G215">
        <v>0.17</v>
      </c>
      <c r="H215">
        <v>273</v>
      </c>
      <c r="I215">
        <v>30</v>
      </c>
      <c r="J215">
        <v>4</v>
      </c>
    </row>
    <row r="216" spans="1:10" x14ac:dyDescent="0.3">
      <c r="A216">
        <v>331</v>
      </c>
      <c r="B216">
        <v>1</v>
      </c>
      <c r="C216">
        <v>1</v>
      </c>
      <c r="D216">
        <v>4</v>
      </c>
      <c r="E216">
        <v>0</v>
      </c>
      <c r="F216">
        <v>86</v>
      </c>
      <c r="G216">
        <v>2.0299999999999998</v>
      </c>
      <c r="H216">
        <v>362</v>
      </c>
      <c r="I216">
        <v>1</v>
      </c>
      <c r="J216">
        <v>2</v>
      </c>
    </row>
    <row r="217" spans="1:10" x14ac:dyDescent="0.3">
      <c r="A217">
        <v>82</v>
      </c>
      <c r="B217">
        <v>1</v>
      </c>
      <c r="C217">
        <v>2</v>
      </c>
      <c r="D217">
        <v>4</v>
      </c>
      <c r="E217">
        <v>1</v>
      </c>
      <c r="F217">
        <v>105</v>
      </c>
      <c r="G217">
        <v>2.4700000000000002</v>
      </c>
      <c r="H217">
        <v>351</v>
      </c>
      <c r="I217">
        <v>30</v>
      </c>
      <c r="J217">
        <v>2</v>
      </c>
    </row>
    <row r="218" spans="1:10" x14ac:dyDescent="0.3">
      <c r="A218">
        <v>330</v>
      </c>
      <c r="B218">
        <v>2</v>
      </c>
      <c r="C218">
        <v>1</v>
      </c>
      <c r="D218">
        <v>4</v>
      </c>
      <c r="E218">
        <v>0</v>
      </c>
      <c r="F218">
        <v>72</v>
      </c>
      <c r="G218">
        <v>1.74</v>
      </c>
      <c r="H218">
        <v>111</v>
      </c>
      <c r="I218">
        <v>30</v>
      </c>
      <c r="J218">
        <v>4</v>
      </c>
    </row>
    <row r="219" spans="1:10" x14ac:dyDescent="0.3">
      <c r="A219">
        <v>214</v>
      </c>
      <c r="B219">
        <v>1</v>
      </c>
      <c r="C219">
        <v>1</v>
      </c>
      <c r="D219">
        <v>4</v>
      </c>
      <c r="E219">
        <v>0</v>
      </c>
      <c r="F219">
        <v>54</v>
      </c>
      <c r="G219">
        <v>1.46</v>
      </c>
      <c r="H219">
        <v>277</v>
      </c>
      <c r="I219">
        <v>30</v>
      </c>
      <c r="J219">
        <v>2</v>
      </c>
    </row>
    <row r="220" spans="1:10" x14ac:dyDescent="0.3">
      <c r="A220">
        <v>134</v>
      </c>
      <c r="B220">
        <v>2</v>
      </c>
      <c r="C220">
        <v>0</v>
      </c>
      <c r="D220">
        <v>4</v>
      </c>
      <c r="E220">
        <v>1</v>
      </c>
      <c r="F220">
        <v>42</v>
      </c>
      <c r="G220">
        <v>1.08</v>
      </c>
      <c r="H220">
        <v>286</v>
      </c>
      <c r="I220">
        <v>1</v>
      </c>
      <c r="J220">
        <v>4</v>
      </c>
    </row>
    <row r="221" spans="1:10" x14ac:dyDescent="0.3">
      <c r="A221">
        <v>134</v>
      </c>
      <c r="B221">
        <v>2</v>
      </c>
      <c r="C221">
        <v>0</v>
      </c>
      <c r="D221">
        <v>4</v>
      </c>
      <c r="E221">
        <v>1</v>
      </c>
      <c r="F221">
        <v>52</v>
      </c>
      <c r="G221">
        <v>1.32</v>
      </c>
      <c r="H221">
        <v>295</v>
      </c>
      <c r="I221">
        <v>1</v>
      </c>
      <c r="J221">
        <v>4</v>
      </c>
    </row>
    <row r="222" spans="1:10" x14ac:dyDescent="0.3">
      <c r="A222">
        <v>205</v>
      </c>
      <c r="B222">
        <v>1</v>
      </c>
      <c r="C222">
        <v>1</v>
      </c>
      <c r="D222">
        <v>4</v>
      </c>
      <c r="E222">
        <v>0</v>
      </c>
      <c r="F222">
        <v>12</v>
      </c>
      <c r="G222">
        <v>0.28999999999999998</v>
      </c>
      <c r="H222">
        <v>263</v>
      </c>
      <c r="I222">
        <v>30</v>
      </c>
      <c r="J222">
        <v>3</v>
      </c>
    </row>
    <row r="223" spans="1:10" x14ac:dyDescent="0.3">
      <c r="A223">
        <v>203</v>
      </c>
      <c r="B223">
        <v>1</v>
      </c>
      <c r="C223">
        <v>1</v>
      </c>
      <c r="D223">
        <v>4</v>
      </c>
      <c r="E223">
        <v>0</v>
      </c>
      <c r="F223">
        <v>28</v>
      </c>
      <c r="G223">
        <v>0.68</v>
      </c>
      <c r="H223">
        <v>50</v>
      </c>
      <c r="I223">
        <v>30</v>
      </c>
      <c r="J223">
        <v>1</v>
      </c>
    </row>
    <row r="224" spans="1:10" x14ac:dyDescent="0.3">
      <c r="A224">
        <v>170</v>
      </c>
      <c r="B224">
        <v>1</v>
      </c>
      <c r="C224">
        <v>1</v>
      </c>
      <c r="D224">
        <v>4</v>
      </c>
      <c r="E224">
        <v>0</v>
      </c>
      <c r="F224">
        <v>8</v>
      </c>
      <c r="G224">
        <v>0.34</v>
      </c>
      <c r="H224">
        <v>243</v>
      </c>
      <c r="I224">
        <v>30</v>
      </c>
      <c r="J224">
        <v>2</v>
      </c>
    </row>
    <row r="225" spans="1:10" x14ac:dyDescent="0.3">
      <c r="A225">
        <v>185</v>
      </c>
      <c r="B225">
        <v>1</v>
      </c>
      <c r="C225">
        <v>1</v>
      </c>
      <c r="D225">
        <v>4</v>
      </c>
      <c r="E225">
        <v>1</v>
      </c>
      <c r="F225">
        <v>66</v>
      </c>
      <c r="G225">
        <v>1.61</v>
      </c>
      <c r="H225">
        <v>228</v>
      </c>
      <c r="I225">
        <v>1</v>
      </c>
      <c r="J225">
        <v>1</v>
      </c>
    </row>
    <row r="226" spans="1:10" x14ac:dyDescent="0.3">
      <c r="A226">
        <v>126</v>
      </c>
      <c r="B226">
        <v>1</v>
      </c>
      <c r="C226">
        <v>1</v>
      </c>
      <c r="D226">
        <v>4</v>
      </c>
      <c r="E226">
        <v>0</v>
      </c>
      <c r="F226">
        <v>12</v>
      </c>
      <c r="G226">
        <v>0.45</v>
      </c>
      <c r="H226">
        <v>185</v>
      </c>
      <c r="I226">
        <v>30</v>
      </c>
      <c r="J226">
        <v>2</v>
      </c>
    </row>
    <row r="227" spans="1:10" x14ac:dyDescent="0.3">
      <c r="A227">
        <v>242</v>
      </c>
      <c r="B227">
        <v>1</v>
      </c>
      <c r="C227">
        <v>1</v>
      </c>
      <c r="D227">
        <v>4</v>
      </c>
      <c r="E227">
        <v>0</v>
      </c>
      <c r="F227">
        <v>6</v>
      </c>
      <c r="G227">
        <v>0.16</v>
      </c>
      <c r="H227">
        <v>278</v>
      </c>
      <c r="I227">
        <v>30</v>
      </c>
      <c r="J227">
        <v>3</v>
      </c>
    </row>
    <row r="228" spans="1:10" x14ac:dyDescent="0.3">
      <c r="A228">
        <v>115</v>
      </c>
      <c r="B228">
        <v>1</v>
      </c>
      <c r="C228">
        <v>1</v>
      </c>
      <c r="D228">
        <v>4</v>
      </c>
      <c r="E228">
        <v>0</v>
      </c>
      <c r="F228">
        <v>10</v>
      </c>
      <c r="G228">
        <v>0.28000000000000003</v>
      </c>
      <c r="H228">
        <v>230</v>
      </c>
      <c r="I228">
        <v>30</v>
      </c>
      <c r="J228">
        <v>2</v>
      </c>
    </row>
    <row r="229" spans="1:10" x14ac:dyDescent="0.3">
      <c r="A229">
        <v>150</v>
      </c>
      <c r="B229">
        <v>2</v>
      </c>
      <c r="C229">
        <v>2</v>
      </c>
      <c r="D229">
        <v>4</v>
      </c>
      <c r="E229">
        <v>0</v>
      </c>
      <c r="F229">
        <v>8</v>
      </c>
      <c r="G229">
        <v>0.22</v>
      </c>
      <c r="H229">
        <v>176</v>
      </c>
      <c r="I229">
        <v>30</v>
      </c>
      <c r="J229">
        <v>4</v>
      </c>
    </row>
    <row r="230" spans="1:10" x14ac:dyDescent="0.3">
      <c r="A230">
        <v>155</v>
      </c>
      <c r="B230">
        <v>1</v>
      </c>
      <c r="C230">
        <v>1</v>
      </c>
      <c r="D230">
        <v>4</v>
      </c>
      <c r="E230">
        <v>0</v>
      </c>
      <c r="F230">
        <v>19</v>
      </c>
      <c r="G230">
        <v>0.5</v>
      </c>
      <c r="H230">
        <v>305</v>
      </c>
      <c r="I230">
        <v>30</v>
      </c>
      <c r="J230">
        <v>2</v>
      </c>
    </row>
    <row r="231" spans="1:10" x14ac:dyDescent="0.3">
      <c r="A231">
        <v>135</v>
      </c>
      <c r="B231">
        <v>1</v>
      </c>
      <c r="C231">
        <v>1</v>
      </c>
      <c r="D231">
        <v>4</v>
      </c>
      <c r="E231">
        <v>0</v>
      </c>
      <c r="F231">
        <v>12</v>
      </c>
      <c r="G231">
        <v>0.33</v>
      </c>
      <c r="H231">
        <v>112</v>
      </c>
      <c r="I231">
        <v>30</v>
      </c>
      <c r="J231">
        <v>2</v>
      </c>
    </row>
    <row r="232" spans="1:10" x14ac:dyDescent="0.3">
      <c r="A232">
        <v>67</v>
      </c>
      <c r="B232">
        <v>1</v>
      </c>
      <c r="C232">
        <v>1</v>
      </c>
      <c r="D232">
        <v>4</v>
      </c>
      <c r="E232">
        <v>1</v>
      </c>
      <c r="F232">
        <v>2</v>
      </c>
      <c r="G232">
        <v>0.09</v>
      </c>
      <c r="H232">
        <v>292</v>
      </c>
      <c r="I232">
        <v>30</v>
      </c>
      <c r="J232">
        <v>1</v>
      </c>
    </row>
    <row r="233" spans="1:10" x14ac:dyDescent="0.3">
      <c r="A233">
        <v>68</v>
      </c>
      <c r="B233">
        <v>1</v>
      </c>
      <c r="C233">
        <v>1</v>
      </c>
      <c r="D233">
        <v>4</v>
      </c>
      <c r="E233">
        <v>1</v>
      </c>
      <c r="F233">
        <v>2</v>
      </c>
      <c r="G233">
        <v>0.06</v>
      </c>
      <c r="H233">
        <v>330</v>
      </c>
      <c r="I233">
        <v>30</v>
      </c>
      <c r="J233">
        <v>1</v>
      </c>
    </row>
    <row r="234" spans="1:10" x14ac:dyDescent="0.3">
      <c r="A234">
        <v>155</v>
      </c>
      <c r="B234">
        <v>3</v>
      </c>
      <c r="C234">
        <v>1</v>
      </c>
      <c r="D234">
        <v>4</v>
      </c>
      <c r="E234">
        <v>0</v>
      </c>
      <c r="F234">
        <v>10</v>
      </c>
      <c r="G234">
        <v>0.27</v>
      </c>
      <c r="H234">
        <v>282</v>
      </c>
      <c r="I234">
        <v>30</v>
      </c>
      <c r="J234">
        <v>4</v>
      </c>
    </row>
    <row r="235" spans="1:10" x14ac:dyDescent="0.3">
      <c r="A235">
        <v>76</v>
      </c>
      <c r="B235">
        <v>1</v>
      </c>
      <c r="C235">
        <v>1</v>
      </c>
      <c r="D235">
        <v>4</v>
      </c>
      <c r="E235">
        <v>0</v>
      </c>
      <c r="F235">
        <v>13</v>
      </c>
      <c r="G235">
        <v>0.34</v>
      </c>
      <c r="H235">
        <v>137</v>
      </c>
      <c r="I235">
        <v>30</v>
      </c>
      <c r="J235">
        <v>1</v>
      </c>
    </row>
    <row r="236" spans="1:10" x14ac:dyDescent="0.3">
      <c r="A236">
        <v>160</v>
      </c>
      <c r="B236">
        <v>2</v>
      </c>
      <c r="C236">
        <v>1</v>
      </c>
      <c r="D236">
        <v>4</v>
      </c>
      <c r="E236">
        <v>0</v>
      </c>
      <c r="F236">
        <v>118</v>
      </c>
      <c r="G236">
        <v>3.13</v>
      </c>
      <c r="H236">
        <v>230</v>
      </c>
      <c r="I236">
        <v>30</v>
      </c>
      <c r="J236">
        <v>4</v>
      </c>
    </row>
    <row r="237" spans="1:10" x14ac:dyDescent="0.3">
      <c r="A237">
        <v>64</v>
      </c>
      <c r="B237">
        <v>1</v>
      </c>
      <c r="C237">
        <v>2</v>
      </c>
      <c r="D237">
        <v>4</v>
      </c>
      <c r="E237">
        <v>1</v>
      </c>
      <c r="F237">
        <v>14</v>
      </c>
      <c r="G237">
        <v>0.42</v>
      </c>
      <c r="H237">
        <v>252</v>
      </c>
      <c r="I237">
        <v>30</v>
      </c>
      <c r="J237">
        <v>1</v>
      </c>
    </row>
    <row r="238" spans="1:10" x14ac:dyDescent="0.3">
      <c r="A238">
        <v>300</v>
      </c>
      <c r="B238">
        <v>2</v>
      </c>
      <c r="C238">
        <v>1</v>
      </c>
      <c r="D238">
        <v>4</v>
      </c>
      <c r="E238">
        <v>0</v>
      </c>
      <c r="F238">
        <v>54</v>
      </c>
      <c r="G238">
        <v>1.67</v>
      </c>
      <c r="H238">
        <v>93</v>
      </c>
      <c r="I238">
        <v>1</v>
      </c>
      <c r="J238">
        <v>4</v>
      </c>
    </row>
    <row r="239" spans="1:10" x14ac:dyDescent="0.3">
      <c r="A239">
        <v>274</v>
      </c>
      <c r="B239">
        <v>3</v>
      </c>
      <c r="C239">
        <v>1</v>
      </c>
      <c r="D239">
        <v>4</v>
      </c>
      <c r="E239">
        <v>0</v>
      </c>
      <c r="F239">
        <v>30</v>
      </c>
      <c r="G239">
        <v>0.99</v>
      </c>
      <c r="H239">
        <v>145</v>
      </c>
      <c r="I239">
        <v>1</v>
      </c>
      <c r="J239">
        <v>3</v>
      </c>
    </row>
    <row r="240" spans="1:10" x14ac:dyDescent="0.3">
      <c r="A240">
        <v>378</v>
      </c>
      <c r="B240">
        <v>3</v>
      </c>
      <c r="C240">
        <v>1</v>
      </c>
      <c r="D240">
        <v>4</v>
      </c>
      <c r="E240">
        <v>0</v>
      </c>
      <c r="F240">
        <v>103</v>
      </c>
      <c r="G240">
        <v>3.43</v>
      </c>
      <c r="H240">
        <v>137</v>
      </c>
      <c r="I240">
        <v>1</v>
      </c>
      <c r="J240">
        <v>6</v>
      </c>
    </row>
    <row r="241" spans="1:10" x14ac:dyDescent="0.3">
      <c r="A241">
        <v>199</v>
      </c>
      <c r="B241">
        <v>2</v>
      </c>
      <c r="C241">
        <v>1</v>
      </c>
      <c r="D241">
        <v>4</v>
      </c>
      <c r="E241">
        <v>0</v>
      </c>
      <c r="F241">
        <v>19</v>
      </c>
      <c r="G241">
        <v>0.59</v>
      </c>
      <c r="H241">
        <v>156</v>
      </c>
      <c r="I241">
        <v>30</v>
      </c>
      <c r="J241">
        <v>4</v>
      </c>
    </row>
    <row r="242" spans="1:10" x14ac:dyDescent="0.3">
      <c r="A242">
        <v>372</v>
      </c>
      <c r="B242">
        <v>1</v>
      </c>
      <c r="C242">
        <v>1</v>
      </c>
      <c r="D242">
        <v>4</v>
      </c>
      <c r="E242">
        <v>1</v>
      </c>
      <c r="F242">
        <v>8</v>
      </c>
      <c r="G242">
        <v>0.23</v>
      </c>
      <c r="H242">
        <v>279</v>
      </c>
      <c r="I242">
        <v>1</v>
      </c>
      <c r="J242">
        <v>2</v>
      </c>
    </row>
    <row r="243" spans="1:10" x14ac:dyDescent="0.3">
      <c r="A243">
        <v>100</v>
      </c>
      <c r="B243">
        <v>1</v>
      </c>
      <c r="C243">
        <v>1</v>
      </c>
      <c r="D243">
        <v>4</v>
      </c>
      <c r="E243">
        <v>0</v>
      </c>
      <c r="F243">
        <v>14</v>
      </c>
      <c r="G243">
        <v>0.4</v>
      </c>
      <c r="H243">
        <v>266</v>
      </c>
      <c r="I243">
        <v>30</v>
      </c>
      <c r="J243">
        <v>2</v>
      </c>
    </row>
    <row r="244" spans="1:10" x14ac:dyDescent="0.3">
      <c r="A244">
        <v>188</v>
      </c>
      <c r="B244">
        <v>2</v>
      </c>
      <c r="C244">
        <v>1</v>
      </c>
      <c r="D244">
        <v>4</v>
      </c>
      <c r="E244">
        <v>0</v>
      </c>
      <c r="F244">
        <v>14</v>
      </c>
      <c r="G244">
        <v>0.43</v>
      </c>
      <c r="H244">
        <v>161</v>
      </c>
      <c r="I244">
        <v>30</v>
      </c>
      <c r="J244">
        <v>4</v>
      </c>
    </row>
    <row r="245" spans="1:10" x14ac:dyDescent="0.3">
      <c r="A245">
        <v>340</v>
      </c>
      <c r="B245">
        <v>2</v>
      </c>
      <c r="C245">
        <v>2</v>
      </c>
      <c r="D245">
        <v>4</v>
      </c>
      <c r="E245">
        <v>0</v>
      </c>
      <c r="F245">
        <v>11</v>
      </c>
      <c r="G245">
        <v>0.33</v>
      </c>
      <c r="H245">
        <v>214</v>
      </c>
      <c r="I245">
        <v>30</v>
      </c>
      <c r="J245">
        <v>4</v>
      </c>
    </row>
    <row r="246" spans="1:10" x14ac:dyDescent="0.3">
      <c r="A246">
        <v>50</v>
      </c>
      <c r="B246">
        <v>1</v>
      </c>
      <c r="C246">
        <v>1</v>
      </c>
      <c r="D246">
        <v>4</v>
      </c>
      <c r="E246">
        <v>1</v>
      </c>
      <c r="F246">
        <v>6</v>
      </c>
      <c r="G246">
        <v>0.18</v>
      </c>
      <c r="H246">
        <v>329</v>
      </c>
      <c r="I246">
        <v>30</v>
      </c>
      <c r="J246">
        <v>2</v>
      </c>
    </row>
    <row r="247" spans="1:10" x14ac:dyDescent="0.3">
      <c r="A247">
        <v>311</v>
      </c>
      <c r="B247">
        <v>1</v>
      </c>
      <c r="C247">
        <v>1</v>
      </c>
      <c r="D247">
        <v>4</v>
      </c>
      <c r="E247">
        <v>1</v>
      </c>
      <c r="F247">
        <v>46</v>
      </c>
      <c r="G247">
        <v>1.26</v>
      </c>
      <c r="H247">
        <v>286</v>
      </c>
      <c r="I247">
        <v>1</v>
      </c>
      <c r="J247">
        <v>2</v>
      </c>
    </row>
    <row r="248" spans="1:10" x14ac:dyDescent="0.3">
      <c r="A248">
        <v>366</v>
      </c>
      <c r="B248">
        <v>8</v>
      </c>
      <c r="C248">
        <v>2</v>
      </c>
      <c r="D248">
        <v>4</v>
      </c>
      <c r="E248">
        <v>0</v>
      </c>
      <c r="F248">
        <v>23</v>
      </c>
      <c r="G248">
        <v>0.74</v>
      </c>
      <c r="H248">
        <v>331</v>
      </c>
      <c r="I248">
        <v>30</v>
      </c>
      <c r="J248">
        <v>6</v>
      </c>
    </row>
    <row r="249" spans="1:10" x14ac:dyDescent="0.3">
      <c r="A249">
        <v>149</v>
      </c>
      <c r="B249">
        <v>1</v>
      </c>
      <c r="C249">
        <v>1</v>
      </c>
      <c r="D249">
        <v>4</v>
      </c>
      <c r="E249">
        <v>0</v>
      </c>
      <c r="F249">
        <v>16</v>
      </c>
      <c r="G249">
        <v>0.49</v>
      </c>
      <c r="H249">
        <v>214</v>
      </c>
      <c r="I249">
        <v>30</v>
      </c>
      <c r="J249">
        <v>3</v>
      </c>
    </row>
    <row r="250" spans="1:10" x14ac:dyDescent="0.3">
      <c r="A250">
        <v>170</v>
      </c>
      <c r="B250">
        <v>1</v>
      </c>
      <c r="C250">
        <v>1</v>
      </c>
      <c r="D250">
        <v>4</v>
      </c>
      <c r="E250">
        <v>0</v>
      </c>
      <c r="F250">
        <v>4</v>
      </c>
      <c r="G250">
        <v>0.14000000000000001</v>
      </c>
      <c r="H250">
        <v>221</v>
      </c>
      <c r="I250">
        <v>30</v>
      </c>
      <c r="J250">
        <v>2</v>
      </c>
    </row>
    <row r="251" spans="1:10" x14ac:dyDescent="0.3">
      <c r="A251">
        <v>134</v>
      </c>
      <c r="B251">
        <v>1</v>
      </c>
      <c r="C251">
        <v>1</v>
      </c>
      <c r="D251">
        <v>4</v>
      </c>
      <c r="E251">
        <v>1</v>
      </c>
      <c r="F251">
        <v>120</v>
      </c>
      <c r="G251">
        <v>3.51</v>
      </c>
      <c r="H251">
        <v>257</v>
      </c>
      <c r="I251">
        <v>1</v>
      </c>
      <c r="J251">
        <v>2</v>
      </c>
    </row>
    <row r="252" spans="1:10" x14ac:dyDescent="0.3">
      <c r="A252">
        <v>207</v>
      </c>
      <c r="B252">
        <v>2</v>
      </c>
      <c r="C252">
        <v>1</v>
      </c>
      <c r="D252">
        <v>4</v>
      </c>
      <c r="E252">
        <v>1</v>
      </c>
      <c r="F252">
        <v>87</v>
      </c>
      <c r="G252">
        <v>2.56</v>
      </c>
      <c r="H252">
        <v>224</v>
      </c>
      <c r="I252">
        <v>1</v>
      </c>
      <c r="J252">
        <v>4</v>
      </c>
    </row>
    <row r="253" spans="1:10" x14ac:dyDescent="0.3">
      <c r="A253">
        <v>207</v>
      </c>
      <c r="B253">
        <v>2</v>
      </c>
      <c r="C253">
        <v>1</v>
      </c>
      <c r="D253">
        <v>4</v>
      </c>
      <c r="E253">
        <v>1</v>
      </c>
      <c r="F253">
        <v>13</v>
      </c>
      <c r="G253">
        <v>0.54</v>
      </c>
      <c r="H253">
        <v>257</v>
      </c>
      <c r="I253">
        <v>1</v>
      </c>
      <c r="J253">
        <v>2</v>
      </c>
    </row>
    <row r="254" spans="1:10" x14ac:dyDescent="0.3">
      <c r="A254">
        <v>155</v>
      </c>
      <c r="B254">
        <v>3</v>
      </c>
      <c r="C254">
        <v>1</v>
      </c>
      <c r="D254">
        <v>4</v>
      </c>
      <c r="E254">
        <v>0</v>
      </c>
      <c r="F254">
        <v>3</v>
      </c>
      <c r="G254">
        <v>0.1</v>
      </c>
      <c r="H254">
        <v>273</v>
      </c>
      <c r="I254">
        <v>30</v>
      </c>
      <c r="J254">
        <v>4</v>
      </c>
    </row>
    <row r="255" spans="1:10" x14ac:dyDescent="0.3">
      <c r="A255">
        <v>55</v>
      </c>
      <c r="B255">
        <v>1</v>
      </c>
      <c r="C255">
        <v>2</v>
      </c>
      <c r="D255">
        <v>4</v>
      </c>
      <c r="E255">
        <v>1</v>
      </c>
      <c r="F255">
        <v>53</v>
      </c>
      <c r="G255">
        <v>1.62</v>
      </c>
      <c r="H255">
        <v>356</v>
      </c>
      <c r="I255">
        <v>30</v>
      </c>
      <c r="J255">
        <v>2</v>
      </c>
    </row>
    <row r="256" spans="1:10" x14ac:dyDescent="0.3">
      <c r="A256">
        <v>60</v>
      </c>
      <c r="B256">
        <v>1</v>
      </c>
      <c r="C256">
        <v>2</v>
      </c>
      <c r="D256">
        <v>4</v>
      </c>
      <c r="E256">
        <v>1</v>
      </c>
      <c r="F256">
        <v>50</v>
      </c>
      <c r="G256">
        <v>1.53</v>
      </c>
      <c r="H256">
        <v>355</v>
      </c>
      <c r="I256">
        <v>30</v>
      </c>
      <c r="J256">
        <v>2</v>
      </c>
    </row>
    <row r="257" spans="1:10" x14ac:dyDescent="0.3">
      <c r="A257">
        <v>57</v>
      </c>
      <c r="B257">
        <v>1</v>
      </c>
      <c r="C257">
        <v>2</v>
      </c>
      <c r="D257">
        <v>4</v>
      </c>
      <c r="E257">
        <v>1</v>
      </c>
      <c r="F257">
        <v>54</v>
      </c>
      <c r="G257">
        <v>1.69</v>
      </c>
      <c r="H257">
        <v>350</v>
      </c>
      <c r="I257">
        <v>30</v>
      </c>
      <c r="J257">
        <v>2</v>
      </c>
    </row>
    <row r="258" spans="1:10" x14ac:dyDescent="0.3">
      <c r="A258">
        <v>288</v>
      </c>
      <c r="B258">
        <v>2</v>
      </c>
      <c r="C258">
        <v>1</v>
      </c>
      <c r="D258">
        <v>4</v>
      </c>
      <c r="E258">
        <v>1</v>
      </c>
      <c r="F258">
        <v>23</v>
      </c>
      <c r="G258">
        <v>1.5</v>
      </c>
      <c r="H258">
        <v>161</v>
      </c>
      <c r="I258">
        <v>1</v>
      </c>
      <c r="J258">
        <v>4</v>
      </c>
    </row>
    <row r="259" spans="1:10" x14ac:dyDescent="0.3">
      <c r="A259">
        <v>269</v>
      </c>
      <c r="B259">
        <v>2</v>
      </c>
      <c r="C259">
        <v>1</v>
      </c>
      <c r="D259">
        <v>4</v>
      </c>
      <c r="E259">
        <v>0</v>
      </c>
      <c r="F259">
        <v>7</v>
      </c>
      <c r="G259">
        <v>0.22</v>
      </c>
      <c r="H259">
        <v>260</v>
      </c>
      <c r="I259">
        <v>30</v>
      </c>
      <c r="J259">
        <v>4</v>
      </c>
    </row>
    <row r="260" spans="1:10" x14ac:dyDescent="0.3">
      <c r="A260">
        <v>243</v>
      </c>
      <c r="B260">
        <v>1</v>
      </c>
      <c r="C260">
        <v>1</v>
      </c>
      <c r="D260">
        <v>4</v>
      </c>
      <c r="E260">
        <v>1</v>
      </c>
      <c r="F260">
        <v>28</v>
      </c>
      <c r="G260">
        <v>0.86</v>
      </c>
      <c r="H260">
        <v>325</v>
      </c>
      <c r="I260">
        <v>1</v>
      </c>
      <c r="J260">
        <v>1</v>
      </c>
    </row>
    <row r="261" spans="1:10" x14ac:dyDescent="0.3">
      <c r="A261">
        <v>99</v>
      </c>
      <c r="B261">
        <v>1</v>
      </c>
      <c r="C261">
        <v>1</v>
      </c>
      <c r="D261">
        <v>4</v>
      </c>
      <c r="E261">
        <v>0</v>
      </c>
      <c r="F261">
        <v>9</v>
      </c>
      <c r="G261">
        <v>0.28999999999999998</v>
      </c>
      <c r="H261">
        <v>42</v>
      </c>
      <c r="I261">
        <v>30</v>
      </c>
      <c r="J261">
        <v>2</v>
      </c>
    </row>
    <row r="262" spans="1:10" x14ac:dyDescent="0.3">
      <c r="A262">
        <v>55</v>
      </c>
      <c r="B262">
        <v>1</v>
      </c>
      <c r="C262">
        <v>1</v>
      </c>
      <c r="D262">
        <v>4</v>
      </c>
      <c r="E262">
        <v>1</v>
      </c>
      <c r="F262">
        <v>7</v>
      </c>
      <c r="G262">
        <v>0.22</v>
      </c>
      <c r="H262">
        <v>251</v>
      </c>
      <c r="I262">
        <v>30</v>
      </c>
      <c r="J262">
        <v>2</v>
      </c>
    </row>
    <row r="263" spans="1:10" x14ac:dyDescent="0.3">
      <c r="A263">
        <v>194</v>
      </c>
      <c r="B263">
        <v>1</v>
      </c>
      <c r="C263">
        <v>1</v>
      </c>
      <c r="D263">
        <v>4</v>
      </c>
      <c r="E263">
        <v>0</v>
      </c>
      <c r="F263">
        <v>67</v>
      </c>
      <c r="G263">
        <v>2.27</v>
      </c>
      <c r="H263">
        <v>185</v>
      </c>
      <c r="I263">
        <v>30</v>
      </c>
      <c r="J263">
        <v>2</v>
      </c>
    </row>
    <row r="264" spans="1:10" x14ac:dyDescent="0.3">
      <c r="A264">
        <v>140</v>
      </c>
      <c r="B264">
        <v>1</v>
      </c>
      <c r="C264">
        <v>1</v>
      </c>
      <c r="D264">
        <v>4</v>
      </c>
      <c r="E264">
        <v>0</v>
      </c>
      <c r="F264">
        <v>5</v>
      </c>
      <c r="G264">
        <v>0.2</v>
      </c>
      <c r="H264">
        <v>336</v>
      </c>
      <c r="I264">
        <v>30</v>
      </c>
      <c r="J264">
        <v>2</v>
      </c>
    </row>
    <row r="265" spans="1:10" x14ac:dyDescent="0.3">
      <c r="A265">
        <v>143</v>
      </c>
      <c r="B265">
        <v>1</v>
      </c>
      <c r="C265">
        <v>1</v>
      </c>
      <c r="D265">
        <v>4</v>
      </c>
      <c r="E265">
        <v>1</v>
      </c>
      <c r="F265">
        <v>30</v>
      </c>
      <c r="G265">
        <v>0.98</v>
      </c>
      <c r="H265">
        <v>257</v>
      </c>
      <c r="I265">
        <v>1</v>
      </c>
      <c r="J265">
        <v>2</v>
      </c>
    </row>
    <row r="266" spans="1:10" x14ac:dyDescent="0.3">
      <c r="A266">
        <v>141</v>
      </c>
      <c r="B266">
        <v>2</v>
      </c>
      <c r="C266">
        <v>1</v>
      </c>
      <c r="D266">
        <v>4</v>
      </c>
      <c r="E266">
        <v>0</v>
      </c>
      <c r="F266">
        <v>6</v>
      </c>
      <c r="G266">
        <v>0.24</v>
      </c>
      <c r="H266">
        <v>269</v>
      </c>
      <c r="I266">
        <v>30</v>
      </c>
      <c r="J266">
        <v>4</v>
      </c>
    </row>
    <row r="267" spans="1:10" x14ac:dyDescent="0.3">
      <c r="A267">
        <v>106</v>
      </c>
      <c r="B267">
        <v>1</v>
      </c>
      <c r="C267">
        <v>1</v>
      </c>
      <c r="D267">
        <v>4</v>
      </c>
      <c r="E267">
        <v>0</v>
      </c>
      <c r="F267">
        <v>8</v>
      </c>
      <c r="G267">
        <v>0.3</v>
      </c>
      <c r="H267">
        <v>327</v>
      </c>
      <c r="I267">
        <v>30</v>
      </c>
      <c r="J267">
        <v>2</v>
      </c>
    </row>
    <row r="268" spans="1:10" x14ac:dyDescent="0.3">
      <c r="A268">
        <v>323</v>
      </c>
      <c r="B268">
        <v>4</v>
      </c>
      <c r="C268">
        <v>1</v>
      </c>
      <c r="D268">
        <v>4</v>
      </c>
      <c r="E268">
        <v>0</v>
      </c>
      <c r="F268">
        <v>97</v>
      </c>
      <c r="G268">
        <v>3.23</v>
      </c>
      <c r="H268">
        <v>239</v>
      </c>
      <c r="I268">
        <v>1</v>
      </c>
      <c r="J268">
        <v>8</v>
      </c>
    </row>
    <row r="269" spans="1:10" x14ac:dyDescent="0.3">
      <c r="A269">
        <v>100</v>
      </c>
      <c r="B269">
        <v>2</v>
      </c>
      <c r="C269">
        <v>1</v>
      </c>
      <c r="D269">
        <v>4</v>
      </c>
      <c r="E269">
        <v>0</v>
      </c>
      <c r="F269">
        <v>7</v>
      </c>
      <c r="G269">
        <v>0.24</v>
      </c>
      <c r="H269">
        <v>328</v>
      </c>
      <c r="I269">
        <v>30</v>
      </c>
      <c r="J269">
        <v>2</v>
      </c>
    </row>
    <row r="270" spans="1:10" x14ac:dyDescent="0.3">
      <c r="A270">
        <v>342</v>
      </c>
      <c r="B270">
        <v>1</v>
      </c>
      <c r="C270">
        <v>1</v>
      </c>
      <c r="D270">
        <v>4</v>
      </c>
      <c r="E270">
        <v>0</v>
      </c>
      <c r="F270">
        <v>7</v>
      </c>
      <c r="G270">
        <v>0.24</v>
      </c>
      <c r="H270">
        <v>98</v>
      </c>
      <c r="I270">
        <v>30</v>
      </c>
      <c r="J270">
        <v>3</v>
      </c>
    </row>
    <row r="271" spans="1:10" x14ac:dyDescent="0.3">
      <c r="A271">
        <v>262</v>
      </c>
      <c r="B271">
        <v>1</v>
      </c>
      <c r="C271">
        <v>2</v>
      </c>
      <c r="D271">
        <v>4</v>
      </c>
      <c r="E271">
        <v>0</v>
      </c>
      <c r="F271">
        <v>8</v>
      </c>
      <c r="G271">
        <v>0.3</v>
      </c>
      <c r="H271">
        <v>267</v>
      </c>
      <c r="I271">
        <v>30</v>
      </c>
      <c r="J271">
        <v>3</v>
      </c>
    </row>
    <row r="272" spans="1:10" x14ac:dyDescent="0.3">
      <c r="A272">
        <v>171</v>
      </c>
      <c r="B272">
        <v>1</v>
      </c>
      <c r="C272">
        <v>1</v>
      </c>
      <c r="D272">
        <v>4</v>
      </c>
      <c r="E272">
        <v>0</v>
      </c>
      <c r="F272">
        <v>41</v>
      </c>
      <c r="G272">
        <v>1.41</v>
      </c>
      <c r="H272">
        <v>197</v>
      </c>
      <c r="I272">
        <v>30</v>
      </c>
      <c r="J272">
        <v>2</v>
      </c>
    </row>
    <row r="273" spans="1:10" x14ac:dyDescent="0.3">
      <c r="A273">
        <v>159</v>
      </c>
      <c r="B273">
        <v>1</v>
      </c>
      <c r="C273">
        <v>1</v>
      </c>
      <c r="D273">
        <v>4</v>
      </c>
      <c r="E273">
        <v>0</v>
      </c>
      <c r="F273">
        <v>7</v>
      </c>
      <c r="G273">
        <v>0.26</v>
      </c>
      <c r="H273">
        <v>281</v>
      </c>
      <c r="I273">
        <v>30</v>
      </c>
      <c r="J273">
        <v>2</v>
      </c>
    </row>
    <row r="274" spans="1:10" x14ac:dyDescent="0.3">
      <c r="A274">
        <v>79</v>
      </c>
      <c r="B274">
        <v>2</v>
      </c>
      <c r="C274">
        <v>1</v>
      </c>
      <c r="D274">
        <v>4</v>
      </c>
      <c r="E274">
        <v>0</v>
      </c>
      <c r="F274">
        <v>32</v>
      </c>
      <c r="G274">
        <v>1.1000000000000001</v>
      </c>
      <c r="H274">
        <v>234</v>
      </c>
      <c r="I274">
        <v>30</v>
      </c>
      <c r="J274">
        <v>2</v>
      </c>
    </row>
    <row r="275" spans="1:10" x14ac:dyDescent="0.3">
      <c r="A275">
        <v>55</v>
      </c>
      <c r="B275">
        <v>1</v>
      </c>
      <c r="C275">
        <v>2</v>
      </c>
      <c r="D275">
        <v>4</v>
      </c>
      <c r="E275">
        <v>1</v>
      </c>
      <c r="F275">
        <v>39</v>
      </c>
      <c r="G275">
        <v>1.34</v>
      </c>
      <c r="H275">
        <v>334</v>
      </c>
      <c r="I275">
        <v>30</v>
      </c>
      <c r="J275">
        <v>3</v>
      </c>
    </row>
    <row r="276" spans="1:10" x14ac:dyDescent="0.3">
      <c r="A276">
        <v>65</v>
      </c>
      <c r="B276">
        <v>1</v>
      </c>
      <c r="C276">
        <v>2</v>
      </c>
      <c r="D276">
        <v>4</v>
      </c>
      <c r="E276">
        <v>1</v>
      </c>
      <c r="F276">
        <v>46</v>
      </c>
      <c r="G276">
        <v>1.59</v>
      </c>
      <c r="H276">
        <v>335</v>
      </c>
      <c r="I276">
        <v>30</v>
      </c>
      <c r="J276">
        <v>2</v>
      </c>
    </row>
    <row r="277" spans="1:10" x14ac:dyDescent="0.3">
      <c r="A277">
        <v>276</v>
      </c>
      <c r="B277">
        <v>1</v>
      </c>
      <c r="C277">
        <v>1</v>
      </c>
      <c r="D277">
        <v>4</v>
      </c>
      <c r="E277">
        <v>0</v>
      </c>
      <c r="F277">
        <v>4</v>
      </c>
      <c r="G277">
        <v>0.19</v>
      </c>
      <c r="H277">
        <v>305</v>
      </c>
      <c r="I277">
        <v>30</v>
      </c>
      <c r="J277">
        <v>3</v>
      </c>
    </row>
    <row r="278" spans="1:10" x14ac:dyDescent="0.3">
      <c r="A278">
        <v>132</v>
      </c>
      <c r="B278">
        <v>1</v>
      </c>
      <c r="C278">
        <v>1</v>
      </c>
      <c r="D278">
        <v>4</v>
      </c>
      <c r="E278">
        <v>0</v>
      </c>
      <c r="F278">
        <v>4</v>
      </c>
      <c r="G278">
        <v>0.2</v>
      </c>
      <c r="H278">
        <v>75</v>
      </c>
      <c r="I278">
        <v>30</v>
      </c>
      <c r="J278">
        <v>2</v>
      </c>
    </row>
    <row r="279" spans="1:10" x14ac:dyDescent="0.3">
      <c r="A279">
        <v>405</v>
      </c>
      <c r="B279">
        <v>1</v>
      </c>
      <c r="C279">
        <v>2</v>
      </c>
      <c r="D279">
        <v>4</v>
      </c>
      <c r="E279">
        <v>0</v>
      </c>
      <c r="F279">
        <v>32</v>
      </c>
      <c r="G279">
        <v>1.22</v>
      </c>
      <c r="H279">
        <v>118</v>
      </c>
      <c r="I279">
        <v>7</v>
      </c>
      <c r="J279">
        <v>2</v>
      </c>
    </row>
    <row r="280" spans="1:10" x14ac:dyDescent="0.3">
      <c r="A280">
        <v>50</v>
      </c>
      <c r="B280">
        <v>1</v>
      </c>
      <c r="C280">
        <v>1</v>
      </c>
      <c r="D280">
        <v>4</v>
      </c>
      <c r="E280">
        <v>1</v>
      </c>
      <c r="F280">
        <v>25</v>
      </c>
      <c r="G280">
        <v>0.96</v>
      </c>
      <c r="H280">
        <v>361</v>
      </c>
      <c r="I280">
        <v>30</v>
      </c>
      <c r="J280">
        <v>4</v>
      </c>
    </row>
    <row r="281" spans="1:10" x14ac:dyDescent="0.3">
      <c r="A281">
        <v>130</v>
      </c>
      <c r="B281">
        <v>2</v>
      </c>
      <c r="C281">
        <v>1</v>
      </c>
      <c r="D281">
        <v>4</v>
      </c>
      <c r="E281">
        <v>0</v>
      </c>
      <c r="F281">
        <v>8</v>
      </c>
      <c r="G281">
        <v>0.32</v>
      </c>
      <c r="H281">
        <v>189</v>
      </c>
      <c r="I281">
        <v>30</v>
      </c>
      <c r="J281">
        <v>3</v>
      </c>
    </row>
    <row r="282" spans="1:10" x14ac:dyDescent="0.3">
      <c r="A282">
        <v>204</v>
      </c>
      <c r="B282">
        <v>2</v>
      </c>
      <c r="C282">
        <v>1</v>
      </c>
      <c r="D282">
        <v>4</v>
      </c>
      <c r="E282">
        <v>0</v>
      </c>
      <c r="F282">
        <v>9</v>
      </c>
      <c r="G282">
        <v>0.39</v>
      </c>
      <c r="H282">
        <v>266</v>
      </c>
      <c r="I282">
        <v>30</v>
      </c>
      <c r="J282">
        <v>4</v>
      </c>
    </row>
    <row r="283" spans="1:10" x14ac:dyDescent="0.3">
      <c r="A283">
        <v>291</v>
      </c>
      <c r="B283">
        <v>2</v>
      </c>
      <c r="C283">
        <v>2</v>
      </c>
      <c r="D283">
        <v>4</v>
      </c>
      <c r="E283">
        <v>1</v>
      </c>
      <c r="F283">
        <v>16</v>
      </c>
      <c r="G283">
        <v>0.63</v>
      </c>
      <c r="H283">
        <v>348</v>
      </c>
      <c r="I283">
        <v>1</v>
      </c>
      <c r="J283">
        <v>4</v>
      </c>
    </row>
    <row r="284" spans="1:10" x14ac:dyDescent="0.3">
      <c r="A284">
        <v>110</v>
      </c>
      <c r="B284">
        <v>3</v>
      </c>
      <c r="C284">
        <v>1</v>
      </c>
      <c r="D284">
        <v>4</v>
      </c>
      <c r="E284">
        <v>0</v>
      </c>
      <c r="F284">
        <v>48</v>
      </c>
      <c r="G284">
        <v>1.79</v>
      </c>
      <c r="H284">
        <v>312</v>
      </c>
      <c r="I284">
        <v>30</v>
      </c>
      <c r="J284">
        <v>4</v>
      </c>
    </row>
    <row r="285" spans="1:10" x14ac:dyDescent="0.3">
      <c r="A285">
        <v>132</v>
      </c>
      <c r="B285">
        <v>1</v>
      </c>
      <c r="C285">
        <v>1</v>
      </c>
      <c r="D285">
        <v>4</v>
      </c>
      <c r="E285">
        <v>0</v>
      </c>
      <c r="F285">
        <v>1</v>
      </c>
      <c r="G285">
        <v>0.57999999999999996</v>
      </c>
      <c r="H285">
        <v>305</v>
      </c>
      <c r="I285">
        <v>30</v>
      </c>
      <c r="J285">
        <v>2</v>
      </c>
    </row>
    <row r="286" spans="1:10" x14ac:dyDescent="0.3">
      <c r="A286">
        <v>149</v>
      </c>
      <c r="B286">
        <v>1</v>
      </c>
      <c r="C286">
        <v>1</v>
      </c>
      <c r="D286">
        <v>4</v>
      </c>
      <c r="E286">
        <v>0</v>
      </c>
      <c r="F286">
        <v>6</v>
      </c>
      <c r="G286">
        <v>0.25</v>
      </c>
      <c r="H286">
        <v>259</v>
      </c>
      <c r="I286">
        <v>30</v>
      </c>
      <c r="J286">
        <v>2</v>
      </c>
    </row>
    <row r="287" spans="1:10" x14ac:dyDescent="0.3">
      <c r="A287">
        <v>120</v>
      </c>
      <c r="B287">
        <v>1</v>
      </c>
      <c r="C287">
        <v>1</v>
      </c>
      <c r="D287">
        <v>4</v>
      </c>
      <c r="E287">
        <v>0</v>
      </c>
      <c r="F287">
        <v>5</v>
      </c>
      <c r="G287">
        <v>0.2</v>
      </c>
      <c r="H287">
        <v>305</v>
      </c>
      <c r="I287">
        <v>30</v>
      </c>
      <c r="J287">
        <v>2</v>
      </c>
    </row>
    <row r="288" spans="1:10" x14ac:dyDescent="0.3">
      <c r="A288">
        <v>155</v>
      </c>
      <c r="B288">
        <v>1</v>
      </c>
      <c r="C288">
        <v>1</v>
      </c>
      <c r="D288">
        <v>4</v>
      </c>
      <c r="E288">
        <v>0</v>
      </c>
      <c r="F288">
        <v>8</v>
      </c>
      <c r="G288">
        <v>0.36</v>
      </c>
      <c r="H288">
        <v>335</v>
      </c>
      <c r="I288">
        <v>30</v>
      </c>
      <c r="J288">
        <v>2</v>
      </c>
    </row>
    <row r="289" spans="1:10" x14ac:dyDescent="0.3">
      <c r="A289">
        <v>60</v>
      </c>
      <c r="B289">
        <v>1</v>
      </c>
      <c r="C289">
        <v>1</v>
      </c>
      <c r="D289">
        <v>4</v>
      </c>
      <c r="E289">
        <v>1</v>
      </c>
      <c r="F289">
        <v>14</v>
      </c>
      <c r="G289">
        <v>0.54</v>
      </c>
      <c r="H289">
        <v>360</v>
      </c>
      <c r="I289">
        <v>30</v>
      </c>
      <c r="J289">
        <v>1</v>
      </c>
    </row>
    <row r="290" spans="1:10" x14ac:dyDescent="0.3">
      <c r="A290">
        <v>137</v>
      </c>
      <c r="B290">
        <v>1</v>
      </c>
      <c r="C290">
        <v>1</v>
      </c>
      <c r="D290">
        <v>4</v>
      </c>
      <c r="E290">
        <v>1</v>
      </c>
      <c r="F290">
        <v>5</v>
      </c>
      <c r="G290">
        <v>0.19</v>
      </c>
      <c r="H290">
        <v>239</v>
      </c>
      <c r="I290">
        <v>30</v>
      </c>
      <c r="J290">
        <v>2</v>
      </c>
    </row>
    <row r="291" spans="1:10" x14ac:dyDescent="0.3">
      <c r="A291">
        <v>229</v>
      </c>
      <c r="B291">
        <v>1</v>
      </c>
      <c r="C291">
        <v>1</v>
      </c>
      <c r="D291">
        <v>4</v>
      </c>
      <c r="E291">
        <v>1</v>
      </c>
      <c r="F291">
        <v>18</v>
      </c>
      <c r="G291">
        <v>0.32</v>
      </c>
      <c r="H291">
        <v>142</v>
      </c>
      <c r="I291">
        <v>1</v>
      </c>
      <c r="J291">
        <v>2</v>
      </c>
    </row>
    <row r="292" spans="1:10" x14ac:dyDescent="0.3">
      <c r="A292">
        <v>403</v>
      </c>
      <c r="B292">
        <v>4</v>
      </c>
      <c r="C292">
        <v>1</v>
      </c>
      <c r="D292">
        <v>4</v>
      </c>
      <c r="E292">
        <v>0</v>
      </c>
      <c r="F292">
        <v>75</v>
      </c>
      <c r="G292">
        <v>2.96</v>
      </c>
      <c r="H292">
        <v>332</v>
      </c>
      <c r="I292">
        <v>1</v>
      </c>
      <c r="J292">
        <v>7</v>
      </c>
    </row>
    <row r="293" spans="1:10" x14ac:dyDescent="0.3">
      <c r="A293">
        <v>130</v>
      </c>
      <c r="B293">
        <v>1</v>
      </c>
      <c r="C293">
        <v>1</v>
      </c>
      <c r="D293">
        <v>4</v>
      </c>
      <c r="E293">
        <v>0</v>
      </c>
      <c r="F293">
        <v>10</v>
      </c>
      <c r="G293">
        <v>0.41</v>
      </c>
      <c r="H293">
        <v>310</v>
      </c>
      <c r="I293">
        <v>30</v>
      </c>
      <c r="J293">
        <v>3</v>
      </c>
    </row>
    <row r="294" spans="1:10" x14ac:dyDescent="0.3">
      <c r="A294">
        <v>272</v>
      </c>
      <c r="B294">
        <v>2</v>
      </c>
      <c r="C294">
        <v>1</v>
      </c>
      <c r="D294">
        <v>4</v>
      </c>
      <c r="E294">
        <v>0</v>
      </c>
      <c r="F294">
        <v>9</v>
      </c>
      <c r="G294">
        <v>0.35</v>
      </c>
      <c r="H294">
        <v>112</v>
      </c>
      <c r="I294">
        <v>30</v>
      </c>
      <c r="J294">
        <v>3</v>
      </c>
    </row>
    <row r="295" spans="1:10" x14ac:dyDescent="0.3">
      <c r="A295">
        <v>286</v>
      </c>
      <c r="B295">
        <v>2</v>
      </c>
      <c r="C295">
        <v>1</v>
      </c>
      <c r="D295">
        <v>4</v>
      </c>
      <c r="E295">
        <v>1</v>
      </c>
      <c r="F295">
        <v>11</v>
      </c>
      <c r="G295">
        <v>0.46</v>
      </c>
      <c r="H295">
        <v>198</v>
      </c>
      <c r="I295">
        <v>1</v>
      </c>
      <c r="J295">
        <v>4</v>
      </c>
    </row>
    <row r="296" spans="1:10" x14ac:dyDescent="0.3">
      <c r="A296">
        <v>238</v>
      </c>
      <c r="B296">
        <v>1</v>
      </c>
      <c r="C296">
        <v>1</v>
      </c>
      <c r="D296">
        <v>4</v>
      </c>
      <c r="E296">
        <v>1</v>
      </c>
      <c r="F296">
        <v>30</v>
      </c>
      <c r="G296">
        <v>1.38</v>
      </c>
      <c r="H296">
        <v>204</v>
      </c>
      <c r="I296">
        <v>1</v>
      </c>
      <c r="J296">
        <v>2</v>
      </c>
    </row>
    <row r="297" spans="1:10" x14ac:dyDescent="0.3">
      <c r="A297">
        <v>380</v>
      </c>
      <c r="B297">
        <v>3</v>
      </c>
      <c r="C297">
        <v>1</v>
      </c>
      <c r="D297">
        <v>4</v>
      </c>
      <c r="E297">
        <v>0</v>
      </c>
      <c r="F297">
        <v>5</v>
      </c>
      <c r="G297">
        <v>0.21</v>
      </c>
      <c r="H297">
        <v>117</v>
      </c>
      <c r="I297">
        <v>30</v>
      </c>
      <c r="J297">
        <v>3</v>
      </c>
    </row>
    <row r="298" spans="1:10" x14ac:dyDescent="0.3">
      <c r="A298">
        <v>92</v>
      </c>
      <c r="B298">
        <v>1</v>
      </c>
      <c r="C298">
        <v>1</v>
      </c>
      <c r="D298">
        <v>4</v>
      </c>
      <c r="E298">
        <v>0</v>
      </c>
      <c r="F298">
        <v>3</v>
      </c>
      <c r="G298">
        <v>0.14000000000000001</v>
      </c>
      <c r="H298">
        <v>117</v>
      </c>
      <c r="I298">
        <v>30</v>
      </c>
      <c r="J298">
        <v>2</v>
      </c>
    </row>
    <row r="299" spans="1:10" x14ac:dyDescent="0.3">
      <c r="A299">
        <v>155</v>
      </c>
      <c r="B299">
        <v>3</v>
      </c>
      <c r="C299">
        <v>1</v>
      </c>
      <c r="D299">
        <v>4</v>
      </c>
      <c r="E299">
        <v>0</v>
      </c>
      <c r="F299">
        <v>4</v>
      </c>
      <c r="G299">
        <v>0.24</v>
      </c>
      <c r="H299">
        <v>262</v>
      </c>
      <c r="I299">
        <v>30</v>
      </c>
      <c r="J299">
        <v>4</v>
      </c>
    </row>
    <row r="300" spans="1:10" x14ac:dyDescent="0.3">
      <c r="A300">
        <v>150</v>
      </c>
      <c r="B300">
        <v>4</v>
      </c>
      <c r="C300">
        <v>1</v>
      </c>
      <c r="D300">
        <v>4</v>
      </c>
      <c r="E300">
        <v>0</v>
      </c>
      <c r="F300">
        <v>28</v>
      </c>
      <c r="G300">
        <v>1.1499999999999999</v>
      </c>
      <c r="H300">
        <v>70</v>
      </c>
      <c r="I300">
        <v>30</v>
      </c>
      <c r="J300">
        <v>6</v>
      </c>
    </row>
    <row r="301" spans="1:10" x14ac:dyDescent="0.3">
      <c r="A301">
        <v>60</v>
      </c>
      <c r="B301">
        <v>1</v>
      </c>
      <c r="C301">
        <v>1</v>
      </c>
      <c r="D301">
        <v>4</v>
      </c>
      <c r="E301">
        <v>1</v>
      </c>
      <c r="F301">
        <v>12</v>
      </c>
      <c r="G301">
        <v>0.52</v>
      </c>
      <c r="H301">
        <v>195</v>
      </c>
      <c r="I301">
        <v>30</v>
      </c>
      <c r="J301">
        <v>2</v>
      </c>
    </row>
    <row r="302" spans="1:10" x14ac:dyDescent="0.3">
      <c r="A302">
        <v>148</v>
      </c>
      <c r="B302">
        <v>2</v>
      </c>
      <c r="C302">
        <v>1</v>
      </c>
      <c r="D302">
        <v>4</v>
      </c>
      <c r="E302">
        <v>0</v>
      </c>
      <c r="F302">
        <v>68</v>
      </c>
      <c r="G302">
        <v>2.72</v>
      </c>
      <c r="H302">
        <v>92</v>
      </c>
      <c r="I302">
        <v>1</v>
      </c>
      <c r="J302">
        <v>3</v>
      </c>
    </row>
    <row r="303" spans="1:10" x14ac:dyDescent="0.3">
      <c r="A303">
        <v>363</v>
      </c>
      <c r="B303">
        <v>2</v>
      </c>
      <c r="C303">
        <v>1</v>
      </c>
      <c r="D303">
        <v>4</v>
      </c>
      <c r="E303">
        <v>1</v>
      </c>
      <c r="F303">
        <v>213</v>
      </c>
      <c r="G303">
        <v>9.09</v>
      </c>
      <c r="H303">
        <v>327</v>
      </c>
      <c r="I303">
        <v>1</v>
      </c>
      <c r="J303">
        <v>3</v>
      </c>
    </row>
    <row r="304" spans="1:10" x14ac:dyDescent="0.3">
      <c r="A304">
        <v>160</v>
      </c>
      <c r="B304">
        <v>1</v>
      </c>
      <c r="C304">
        <v>1</v>
      </c>
      <c r="D304">
        <v>4</v>
      </c>
      <c r="E304">
        <v>0</v>
      </c>
      <c r="F304">
        <v>7</v>
      </c>
      <c r="G304">
        <v>0.31</v>
      </c>
      <c r="H304">
        <v>293</v>
      </c>
      <c r="I304">
        <v>30</v>
      </c>
      <c r="J304">
        <v>3</v>
      </c>
    </row>
    <row r="305" spans="1:10" x14ac:dyDescent="0.3">
      <c r="A305">
        <v>80</v>
      </c>
      <c r="B305">
        <v>1</v>
      </c>
      <c r="C305">
        <v>1</v>
      </c>
      <c r="D305">
        <v>4</v>
      </c>
      <c r="E305">
        <v>1</v>
      </c>
      <c r="F305">
        <v>30</v>
      </c>
      <c r="G305">
        <v>1.31</v>
      </c>
      <c r="H305">
        <v>36</v>
      </c>
      <c r="I305">
        <v>5</v>
      </c>
      <c r="J305">
        <v>1</v>
      </c>
    </row>
    <row r="306" spans="1:10" x14ac:dyDescent="0.3">
      <c r="A306">
        <v>135</v>
      </c>
      <c r="B306">
        <v>2</v>
      </c>
      <c r="C306">
        <v>1</v>
      </c>
      <c r="D306">
        <v>4</v>
      </c>
      <c r="E306">
        <v>0</v>
      </c>
      <c r="F306">
        <v>7</v>
      </c>
      <c r="G306">
        <v>0.33</v>
      </c>
      <c r="H306">
        <v>153</v>
      </c>
      <c r="I306">
        <v>30</v>
      </c>
      <c r="J306">
        <v>4</v>
      </c>
    </row>
    <row r="307" spans="1:10" x14ac:dyDescent="0.3">
      <c r="A307">
        <v>378</v>
      </c>
      <c r="B307">
        <v>1</v>
      </c>
      <c r="C307">
        <v>1</v>
      </c>
      <c r="D307">
        <v>4</v>
      </c>
      <c r="E307">
        <v>0</v>
      </c>
      <c r="F307">
        <v>65</v>
      </c>
      <c r="G307">
        <v>2.77</v>
      </c>
      <c r="H307">
        <v>59</v>
      </c>
      <c r="I307">
        <v>8</v>
      </c>
      <c r="J307">
        <v>2</v>
      </c>
    </row>
    <row r="308" spans="1:10" x14ac:dyDescent="0.3">
      <c r="A308">
        <v>322</v>
      </c>
      <c r="B308">
        <v>3</v>
      </c>
      <c r="C308">
        <v>1</v>
      </c>
      <c r="D308">
        <v>4</v>
      </c>
      <c r="E308">
        <v>0</v>
      </c>
      <c r="F308">
        <v>35</v>
      </c>
      <c r="G308">
        <v>1.5</v>
      </c>
      <c r="H308">
        <v>314</v>
      </c>
      <c r="I308">
        <v>1</v>
      </c>
      <c r="J308">
        <v>5</v>
      </c>
    </row>
    <row r="309" spans="1:10" x14ac:dyDescent="0.3">
      <c r="A309">
        <v>115</v>
      </c>
      <c r="B309">
        <v>1</v>
      </c>
      <c r="C309">
        <v>1</v>
      </c>
      <c r="D309">
        <v>4</v>
      </c>
      <c r="E309">
        <v>0</v>
      </c>
      <c r="F309">
        <v>4</v>
      </c>
      <c r="G309">
        <v>0.19</v>
      </c>
      <c r="H309">
        <v>242</v>
      </c>
      <c r="I309">
        <v>30</v>
      </c>
      <c r="J309">
        <v>2</v>
      </c>
    </row>
    <row r="310" spans="1:10" x14ac:dyDescent="0.3">
      <c r="A310">
        <v>51</v>
      </c>
      <c r="B310">
        <v>1</v>
      </c>
      <c r="C310">
        <v>1</v>
      </c>
      <c r="D310">
        <v>4</v>
      </c>
      <c r="E310">
        <v>1</v>
      </c>
      <c r="F310">
        <v>4</v>
      </c>
      <c r="G310">
        <v>0.39</v>
      </c>
      <c r="H310">
        <v>269</v>
      </c>
      <c r="I310">
        <v>30</v>
      </c>
      <c r="J310">
        <v>2</v>
      </c>
    </row>
    <row r="311" spans="1:10" x14ac:dyDescent="0.3">
      <c r="A311">
        <v>227</v>
      </c>
      <c r="B311">
        <v>1</v>
      </c>
      <c r="C311">
        <v>1</v>
      </c>
      <c r="D311">
        <v>4</v>
      </c>
      <c r="E311">
        <v>0</v>
      </c>
      <c r="F311">
        <v>4</v>
      </c>
      <c r="G311">
        <v>0.45</v>
      </c>
      <c r="H311">
        <v>280</v>
      </c>
      <c r="I311">
        <v>30</v>
      </c>
      <c r="J311">
        <v>2</v>
      </c>
    </row>
    <row r="312" spans="1:10" x14ac:dyDescent="0.3">
      <c r="A312">
        <v>54</v>
      </c>
      <c r="B312">
        <v>1</v>
      </c>
      <c r="C312">
        <v>1</v>
      </c>
      <c r="D312">
        <v>4</v>
      </c>
      <c r="E312">
        <v>1</v>
      </c>
      <c r="F312">
        <v>3</v>
      </c>
      <c r="G312">
        <v>0.14000000000000001</v>
      </c>
      <c r="H312">
        <v>364</v>
      </c>
      <c r="I312">
        <v>30</v>
      </c>
      <c r="J312">
        <v>1</v>
      </c>
    </row>
    <row r="313" spans="1:10" x14ac:dyDescent="0.3">
      <c r="A313">
        <v>110</v>
      </c>
      <c r="B313">
        <v>2</v>
      </c>
      <c r="C313">
        <v>1</v>
      </c>
      <c r="D313">
        <v>4</v>
      </c>
      <c r="E313">
        <v>0</v>
      </c>
      <c r="F313">
        <v>3</v>
      </c>
      <c r="G313">
        <v>0.16</v>
      </c>
      <c r="H313">
        <v>269</v>
      </c>
      <c r="I313">
        <v>30</v>
      </c>
      <c r="J313">
        <v>4</v>
      </c>
    </row>
    <row r="314" spans="1:10" x14ac:dyDescent="0.3">
      <c r="A314">
        <v>192</v>
      </c>
      <c r="B314">
        <v>1</v>
      </c>
      <c r="C314">
        <v>1</v>
      </c>
      <c r="D314">
        <v>4</v>
      </c>
      <c r="E314">
        <v>0</v>
      </c>
      <c r="F314">
        <v>9</v>
      </c>
      <c r="G314">
        <v>0.52</v>
      </c>
      <c r="H314">
        <v>345</v>
      </c>
      <c r="I314">
        <v>30</v>
      </c>
      <c r="J314">
        <v>2</v>
      </c>
    </row>
    <row r="315" spans="1:10" x14ac:dyDescent="0.3">
      <c r="A315">
        <v>118</v>
      </c>
      <c r="B315">
        <v>1</v>
      </c>
      <c r="C315">
        <v>1</v>
      </c>
      <c r="D315">
        <v>4</v>
      </c>
      <c r="E315">
        <v>0</v>
      </c>
      <c r="F315">
        <v>6</v>
      </c>
      <c r="G315">
        <v>0.42</v>
      </c>
      <c r="H315">
        <v>260</v>
      </c>
      <c r="I315">
        <v>30</v>
      </c>
      <c r="J315">
        <v>2</v>
      </c>
    </row>
    <row r="316" spans="1:10" x14ac:dyDescent="0.3">
      <c r="A316">
        <v>264</v>
      </c>
      <c r="B316">
        <v>3</v>
      </c>
      <c r="C316">
        <v>1</v>
      </c>
      <c r="D316">
        <v>4</v>
      </c>
      <c r="E316">
        <v>0</v>
      </c>
      <c r="F316">
        <v>20</v>
      </c>
      <c r="G316">
        <v>0.89</v>
      </c>
      <c r="H316">
        <v>290</v>
      </c>
      <c r="I316">
        <v>1</v>
      </c>
      <c r="J316">
        <v>5</v>
      </c>
    </row>
    <row r="317" spans="1:10" x14ac:dyDescent="0.3">
      <c r="A317">
        <v>53</v>
      </c>
      <c r="B317">
        <v>1</v>
      </c>
      <c r="C317">
        <v>1</v>
      </c>
      <c r="D317">
        <v>4</v>
      </c>
      <c r="E317">
        <v>0</v>
      </c>
      <c r="F317">
        <v>2</v>
      </c>
      <c r="G317">
        <v>0.83</v>
      </c>
      <c r="H317">
        <v>247</v>
      </c>
      <c r="I317">
        <v>30</v>
      </c>
      <c r="J317">
        <v>1</v>
      </c>
    </row>
    <row r="318" spans="1:10" x14ac:dyDescent="0.3">
      <c r="A318">
        <v>412</v>
      </c>
      <c r="B318">
        <v>3</v>
      </c>
      <c r="C318">
        <v>1</v>
      </c>
      <c r="D318">
        <v>4</v>
      </c>
      <c r="E318">
        <v>1</v>
      </c>
      <c r="F318">
        <v>62</v>
      </c>
      <c r="G318">
        <v>2.94</v>
      </c>
      <c r="H318">
        <v>73</v>
      </c>
      <c r="I318">
        <v>1</v>
      </c>
      <c r="J318">
        <v>5</v>
      </c>
    </row>
    <row r="319" spans="1:10" x14ac:dyDescent="0.3">
      <c r="A319">
        <v>150</v>
      </c>
      <c r="B319">
        <v>1</v>
      </c>
      <c r="C319">
        <v>1</v>
      </c>
      <c r="D319">
        <v>4</v>
      </c>
      <c r="E319">
        <v>0</v>
      </c>
      <c r="F319">
        <v>2</v>
      </c>
      <c r="G319">
        <v>0.28000000000000003</v>
      </c>
      <c r="H319">
        <v>223</v>
      </c>
      <c r="I319">
        <v>30</v>
      </c>
      <c r="J319">
        <v>2</v>
      </c>
    </row>
    <row r="320" spans="1:10" x14ac:dyDescent="0.3">
      <c r="A320">
        <v>296</v>
      </c>
      <c r="B320">
        <v>3</v>
      </c>
      <c r="C320">
        <v>1</v>
      </c>
      <c r="D320">
        <v>4</v>
      </c>
      <c r="E320">
        <v>0</v>
      </c>
      <c r="F320">
        <v>26</v>
      </c>
      <c r="G320">
        <v>1.29</v>
      </c>
      <c r="H320">
        <v>242</v>
      </c>
      <c r="I320">
        <v>1</v>
      </c>
      <c r="J320">
        <v>5</v>
      </c>
    </row>
    <row r="321" spans="1:10" x14ac:dyDescent="0.3">
      <c r="A321">
        <v>175</v>
      </c>
      <c r="B321">
        <v>1</v>
      </c>
      <c r="C321">
        <v>1</v>
      </c>
      <c r="D321">
        <v>4</v>
      </c>
      <c r="E321">
        <v>0</v>
      </c>
      <c r="F321">
        <v>2</v>
      </c>
      <c r="G321">
        <v>0.33</v>
      </c>
      <c r="H321">
        <v>236</v>
      </c>
      <c r="I321">
        <v>30</v>
      </c>
      <c r="J321">
        <v>3</v>
      </c>
    </row>
    <row r="322" spans="1:10" x14ac:dyDescent="0.3">
      <c r="A322">
        <v>146</v>
      </c>
      <c r="B322">
        <v>1</v>
      </c>
      <c r="C322">
        <v>1</v>
      </c>
      <c r="D322">
        <v>4</v>
      </c>
      <c r="E322">
        <v>0</v>
      </c>
      <c r="F322">
        <v>2</v>
      </c>
      <c r="G322">
        <v>0.8</v>
      </c>
      <c r="H322">
        <v>337</v>
      </c>
      <c r="I322">
        <v>30</v>
      </c>
      <c r="J322">
        <v>2</v>
      </c>
    </row>
    <row r="323" spans="1:10" x14ac:dyDescent="0.3">
      <c r="A323">
        <v>150</v>
      </c>
      <c r="B323">
        <v>1</v>
      </c>
      <c r="C323">
        <v>1</v>
      </c>
      <c r="D323">
        <v>4</v>
      </c>
      <c r="E323">
        <v>0</v>
      </c>
      <c r="F323">
        <v>2</v>
      </c>
      <c r="G323">
        <v>0.49</v>
      </c>
      <c r="H323">
        <v>310</v>
      </c>
      <c r="I323">
        <v>30</v>
      </c>
      <c r="J323">
        <v>2</v>
      </c>
    </row>
    <row r="324" spans="1:10" x14ac:dyDescent="0.3">
      <c r="A324">
        <v>200</v>
      </c>
      <c r="B324">
        <v>4</v>
      </c>
      <c r="C324">
        <v>2</v>
      </c>
      <c r="D324">
        <v>4</v>
      </c>
      <c r="E324">
        <v>0</v>
      </c>
      <c r="F324">
        <v>4</v>
      </c>
      <c r="G324">
        <v>0.21</v>
      </c>
      <c r="H324">
        <v>43</v>
      </c>
      <c r="I324">
        <v>30</v>
      </c>
      <c r="J324">
        <v>8</v>
      </c>
    </row>
    <row r="325" spans="1:10" x14ac:dyDescent="0.3">
      <c r="A325">
        <v>88</v>
      </c>
      <c r="B325">
        <v>1</v>
      </c>
      <c r="C325">
        <v>1</v>
      </c>
      <c r="D325">
        <v>4</v>
      </c>
      <c r="E325">
        <v>0</v>
      </c>
      <c r="F325">
        <v>1</v>
      </c>
      <c r="G325">
        <v>0.68</v>
      </c>
      <c r="H325">
        <v>329</v>
      </c>
      <c r="I325">
        <v>30</v>
      </c>
      <c r="J325">
        <v>2</v>
      </c>
    </row>
    <row r="326" spans="1:10" x14ac:dyDescent="0.3">
      <c r="A326">
        <v>140</v>
      </c>
      <c r="B326">
        <v>1</v>
      </c>
      <c r="C326">
        <v>1</v>
      </c>
      <c r="D326">
        <v>4</v>
      </c>
      <c r="E326">
        <v>0</v>
      </c>
      <c r="F326">
        <v>3</v>
      </c>
      <c r="G326">
        <v>0.86</v>
      </c>
      <c r="H326">
        <v>189</v>
      </c>
      <c r="I326">
        <v>30</v>
      </c>
      <c r="J326">
        <v>2</v>
      </c>
    </row>
    <row r="327" spans="1:10" x14ac:dyDescent="0.3">
      <c r="A327">
        <v>112</v>
      </c>
      <c r="B327">
        <v>1</v>
      </c>
      <c r="C327">
        <v>1</v>
      </c>
      <c r="D327">
        <v>4</v>
      </c>
      <c r="E327">
        <v>0</v>
      </c>
      <c r="F327">
        <v>1</v>
      </c>
      <c r="G327">
        <v>0.91</v>
      </c>
      <c r="H327">
        <v>337</v>
      </c>
      <c r="I327">
        <v>30</v>
      </c>
      <c r="J327">
        <v>2</v>
      </c>
    </row>
    <row r="328" spans="1:10" x14ac:dyDescent="0.3">
      <c r="A328">
        <v>147</v>
      </c>
      <c r="B328">
        <v>1</v>
      </c>
      <c r="C328">
        <v>2</v>
      </c>
      <c r="D328">
        <v>4</v>
      </c>
      <c r="E328">
        <v>1</v>
      </c>
      <c r="F328">
        <v>47</v>
      </c>
      <c r="G328">
        <v>3.58</v>
      </c>
      <c r="H328">
        <v>237</v>
      </c>
      <c r="I328">
        <v>2</v>
      </c>
      <c r="J328">
        <v>2</v>
      </c>
    </row>
    <row r="329" spans="1:10" x14ac:dyDescent="0.3">
      <c r="A329">
        <v>442</v>
      </c>
      <c r="B329">
        <v>2</v>
      </c>
      <c r="C329">
        <v>1</v>
      </c>
      <c r="D329">
        <v>4</v>
      </c>
      <c r="E329">
        <v>1</v>
      </c>
      <c r="F329">
        <v>13</v>
      </c>
      <c r="G329">
        <v>0.73</v>
      </c>
      <c r="H329">
        <v>314</v>
      </c>
      <c r="I329">
        <v>1</v>
      </c>
      <c r="J329">
        <v>4</v>
      </c>
    </row>
    <row r="330" spans="1:10" x14ac:dyDescent="0.3">
      <c r="A330">
        <v>288</v>
      </c>
      <c r="B330">
        <v>2</v>
      </c>
      <c r="C330">
        <v>1</v>
      </c>
      <c r="D330">
        <v>4</v>
      </c>
      <c r="E330">
        <v>0</v>
      </c>
      <c r="F330">
        <v>1</v>
      </c>
      <c r="G330">
        <v>0.71</v>
      </c>
      <c r="H330">
        <v>184</v>
      </c>
      <c r="I330">
        <v>30</v>
      </c>
      <c r="J330">
        <v>4</v>
      </c>
    </row>
    <row r="331" spans="1:10" x14ac:dyDescent="0.3">
      <c r="A331">
        <v>192</v>
      </c>
      <c r="B331">
        <v>2</v>
      </c>
      <c r="C331">
        <v>2</v>
      </c>
      <c r="D331">
        <v>4</v>
      </c>
      <c r="E331">
        <v>1</v>
      </c>
      <c r="F331">
        <v>29</v>
      </c>
      <c r="G331">
        <v>1.49</v>
      </c>
      <c r="H331">
        <v>291</v>
      </c>
      <c r="I331">
        <v>1</v>
      </c>
      <c r="J331">
        <v>3</v>
      </c>
    </row>
    <row r="332" spans="1:10" x14ac:dyDescent="0.3">
      <c r="A332">
        <v>85</v>
      </c>
      <c r="B332">
        <v>1</v>
      </c>
      <c r="C332">
        <v>1</v>
      </c>
      <c r="D332">
        <v>4</v>
      </c>
      <c r="E332">
        <v>1</v>
      </c>
      <c r="F332">
        <v>7</v>
      </c>
      <c r="G332">
        <v>0.4</v>
      </c>
      <c r="H332">
        <v>175</v>
      </c>
      <c r="I332">
        <v>30</v>
      </c>
      <c r="J332">
        <v>1</v>
      </c>
    </row>
    <row r="333" spans="1:10" x14ac:dyDescent="0.3">
      <c r="A333">
        <v>350</v>
      </c>
      <c r="B333">
        <v>3</v>
      </c>
      <c r="C333">
        <v>2</v>
      </c>
      <c r="D333">
        <v>4</v>
      </c>
      <c r="E333">
        <v>0</v>
      </c>
      <c r="F333">
        <v>5</v>
      </c>
      <c r="G333">
        <v>0.48</v>
      </c>
      <c r="H333">
        <v>270</v>
      </c>
      <c r="I333">
        <v>30</v>
      </c>
      <c r="J333">
        <v>6</v>
      </c>
    </row>
    <row r="334" spans="1:10" x14ac:dyDescent="0.3">
      <c r="A334">
        <v>280</v>
      </c>
      <c r="B334">
        <v>2</v>
      </c>
      <c r="C334">
        <v>2</v>
      </c>
      <c r="D334">
        <v>4</v>
      </c>
      <c r="E334">
        <v>0</v>
      </c>
      <c r="F334">
        <v>30</v>
      </c>
      <c r="G334">
        <v>1.52</v>
      </c>
      <c r="H334">
        <v>235</v>
      </c>
      <c r="I334">
        <v>7</v>
      </c>
      <c r="J334">
        <v>4</v>
      </c>
    </row>
    <row r="335" spans="1:10" x14ac:dyDescent="0.3">
      <c r="A335">
        <v>449</v>
      </c>
      <c r="B335">
        <v>2</v>
      </c>
      <c r="C335">
        <v>1</v>
      </c>
      <c r="D335">
        <v>4</v>
      </c>
      <c r="E335">
        <v>1</v>
      </c>
      <c r="F335">
        <v>21</v>
      </c>
      <c r="G335">
        <v>1.1000000000000001</v>
      </c>
      <c r="H335">
        <v>213</v>
      </c>
      <c r="I335">
        <v>1</v>
      </c>
      <c r="J335">
        <v>4</v>
      </c>
    </row>
    <row r="336" spans="1:10" x14ac:dyDescent="0.3">
      <c r="A336">
        <v>150</v>
      </c>
      <c r="B336">
        <v>1</v>
      </c>
      <c r="C336">
        <v>1</v>
      </c>
      <c r="D336">
        <v>4</v>
      </c>
      <c r="E336">
        <v>0</v>
      </c>
      <c r="F336">
        <v>3</v>
      </c>
      <c r="G336">
        <v>0.3</v>
      </c>
      <c r="H336">
        <v>84</v>
      </c>
      <c r="I336">
        <v>30</v>
      </c>
      <c r="J336">
        <v>2</v>
      </c>
    </row>
    <row r="337" spans="1:10" x14ac:dyDescent="0.3">
      <c r="A337">
        <v>378</v>
      </c>
      <c r="B337">
        <v>4</v>
      </c>
      <c r="C337">
        <v>1</v>
      </c>
      <c r="D337">
        <v>4</v>
      </c>
      <c r="E337">
        <v>0</v>
      </c>
      <c r="F337">
        <v>31</v>
      </c>
      <c r="G337">
        <v>1.65</v>
      </c>
      <c r="H337">
        <v>229</v>
      </c>
      <c r="I337">
        <v>1</v>
      </c>
      <c r="J337">
        <v>7</v>
      </c>
    </row>
    <row r="338" spans="1:10" x14ac:dyDescent="0.3">
      <c r="A338">
        <v>410</v>
      </c>
      <c r="B338">
        <v>1</v>
      </c>
      <c r="C338">
        <v>1</v>
      </c>
      <c r="D338">
        <v>4</v>
      </c>
      <c r="E338">
        <v>0</v>
      </c>
      <c r="F338">
        <v>8</v>
      </c>
      <c r="G338">
        <v>0.44</v>
      </c>
      <c r="H338">
        <v>218</v>
      </c>
      <c r="I338">
        <v>30</v>
      </c>
      <c r="J338">
        <v>2</v>
      </c>
    </row>
    <row r="339" spans="1:10" x14ac:dyDescent="0.3">
      <c r="A339">
        <v>220</v>
      </c>
      <c r="B339">
        <v>2</v>
      </c>
      <c r="C339">
        <v>1</v>
      </c>
      <c r="D339">
        <v>4</v>
      </c>
      <c r="E339">
        <v>0</v>
      </c>
      <c r="F339">
        <v>40</v>
      </c>
      <c r="G339">
        <v>3.52</v>
      </c>
      <c r="H339">
        <v>189</v>
      </c>
      <c r="I339">
        <v>2</v>
      </c>
      <c r="J339">
        <v>3</v>
      </c>
    </row>
    <row r="340" spans="1:10" x14ac:dyDescent="0.3">
      <c r="A340">
        <v>294</v>
      </c>
      <c r="B340">
        <v>1</v>
      </c>
      <c r="C340">
        <v>1</v>
      </c>
      <c r="D340">
        <v>4</v>
      </c>
      <c r="E340">
        <v>0</v>
      </c>
      <c r="F340">
        <v>29</v>
      </c>
      <c r="G340">
        <v>1.71</v>
      </c>
      <c r="H340">
        <v>313</v>
      </c>
      <c r="I340">
        <v>4</v>
      </c>
      <c r="J340">
        <v>4</v>
      </c>
    </row>
    <row r="341" spans="1:10" x14ac:dyDescent="0.3">
      <c r="A341">
        <v>127</v>
      </c>
      <c r="B341">
        <v>2</v>
      </c>
      <c r="C341">
        <v>1</v>
      </c>
      <c r="D341">
        <v>4</v>
      </c>
      <c r="E341">
        <v>0</v>
      </c>
      <c r="F341">
        <v>5</v>
      </c>
      <c r="G341">
        <v>0.46</v>
      </c>
      <c r="H341">
        <v>166</v>
      </c>
      <c r="I341">
        <v>30</v>
      </c>
      <c r="J341">
        <v>2</v>
      </c>
    </row>
    <row r="342" spans="1:10" x14ac:dyDescent="0.3">
      <c r="A342">
        <v>329</v>
      </c>
      <c r="B342">
        <v>2</v>
      </c>
      <c r="C342">
        <v>1</v>
      </c>
      <c r="D342">
        <v>4</v>
      </c>
      <c r="E342">
        <v>0</v>
      </c>
      <c r="F342">
        <v>39</v>
      </c>
      <c r="G342">
        <v>2.13</v>
      </c>
      <c r="H342">
        <v>258</v>
      </c>
      <c r="I342">
        <v>4</v>
      </c>
      <c r="J342">
        <v>6</v>
      </c>
    </row>
    <row r="343" spans="1:10" x14ac:dyDescent="0.3">
      <c r="A343">
        <v>52</v>
      </c>
      <c r="B343">
        <v>1</v>
      </c>
      <c r="C343">
        <v>1</v>
      </c>
      <c r="D343">
        <v>4</v>
      </c>
      <c r="E343">
        <v>1</v>
      </c>
      <c r="F343">
        <v>2</v>
      </c>
      <c r="G343">
        <v>0.8</v>
      </c>
      <c r="H343">
        <v>91</v>
      </c>
      <c r="I343">
        <v>30</v>
      </c>
      <c r="J343">
        <v>2</v>
      </c>
    </row>
    <row r="344" spans="1:10" x14ac:dyDescent="0.3">
      <c r="A344">
        <v>134</v>
      </c>
      <c r="B344">
        <v>2</v>
      </c>
      <c r="C344">
        <v>0</v>
      </c>
      <c r="D344">
        <v>4</v>
      </c>
      <c r="E344">
        <v>1</v>
      </c>
      <c r="F344">
        <v>23</v>
      </c>
      <c r="G344">
        <v>1.3</v>
      </c>
      <c r="H344">
        <v>293</v>
      </c>
      <c r="I344">
        <v>1</v>
      </c>
      <c r="J344">
        <v>4</v>
      </c>
    </row>
    <row r="345" spans="1:10" x14ac:dyDescent="0.3">
      <c r="A345">
        <v>261</v>
      </c>
      <c r="B345">
        <v>1</v>
      </c>
      <c r="C345">
        <v>1</v>
      </c>
      <c r="D345">
        <v>4</v>
      </c>
      <c r="E345">
        <v>0</v>
      </c>
      <c r="F345">
        <v>9</v>
      </c>
      <c r="G345">
        <v>0.51</v>
      </c>
      <c r="H345">
        <v>210</v>
      </c>
      <c r="I345">
        <v>25</v>
      </c>
      <c r="J345">
        <v>2</v>
      </c>
    </row>
    <row r="346" spans="1:10" x14ac:dyDescent="0.3">
      <c r="A346">
        <v>218</v>
      </c>
      <c r="B346">
        <v>1</v>
      </c>
      <c r="C346">
        <v>1</v>
      </c>
      <c r="D346">
        <v>4</v>
      </c>
      <c r="E346">
        <v>0</v>
      </c>
      <c r="F346">
        <v>5</v>
      </c>
      <c r="G346">
        <v>0.31</v>
      </c>
      <c r="H346">
        <v>318</v>
      </c>
      <c r="I346">
        <v>30</v>
      </c>
      <c r="J346">
        <v>2</v>
      </c>
    </row>
    <row r="347" spans="1:10" x14ac:dyDescent="0.3">
      <c r="A347">
        <v>199</v>
      </c>
      <c r="B347">
        <v>1</v>
      </c>
      <c r="C347">
        <v>1</v>
      </c>
      <c r="D347">
        <v>4</v>
      </c>
      <c r="E347">
        <v>0</v>
      </c>
      <c r="F347">
        <v>2</v>
      </c>
      <c r="G347">
        <v>0.41</v>
      </c>
      <c r="H347">
        <v>262</v>
      </c>
      <c r="I347">
        <v>30</v>
      </c>
      <c r="J347">
        <v>2</v>
      </c>
    </row>
    <row r="348" spans="1:10" x14ac:dyDescent="0.3">
      <c r="A348">
        <v>118</v>
      </c>
      <c r="B348">
        <v>1</v>
      </c>
      <c r="C348">
        <v>1</v>
      </c>
      <c r="D348">
        <v>4</v>
      </c>
      <c r="E348">
        <v>0</v>
      </c>
      <c r="F348">
        <v>7</v>
      </c>
      <c r="G348">
        <v>0.53</v>
      </c>
      <c r="H348">
        <v>244</v>
      </c>
      <c r="I348">
        <v>30</v>
      </c>
      <c r="J348">
        <v>2</v>
      </c>
    </row>
    <row r="349" spans="1:10" x14ac:dyDescent="0.3">
      <c r="A349">
        <v>150</v>
      </c>
      <c r="B349">
        <v>1</v>
      </c>
      <c r="C349">
        <v>1</v>
      </c>
      <c r="D349">
        <v>4</v>
      </c>
      <c r="E349">
        <v>0</v>
      </c>
      <c r="F349">
        <v>2</v>
      </c>
      <c r="G349">
        <v>0.14000000000000001</v>
      </c>
      <c r="H349">
        <v>240</v>
      </c>
      <c r="I349">
        <v>30</v>
      </c>
      <c r="J349">
        <v>2</v>
      </c>
    </row>
    <row r="350" spans="1:10" x14ac:dyDescent="0.3">
      <c r="A350">
        <v>433</v>
      </c>
      <c r="B350">
        <v>2</v>
      </c>
      <c r="C350">
        <v>1</v>
      </c>
      <c r="D350">
        <v>4</v>
      </c>
      <c r="E350">
        <v>0</v>
      </c>
      <c r="F350">
        <v>3</v>
      </c>
      <c r="G350">
        <v>0.17</v>
      </c>
      <c r="H350">
        <v>244</v>
      </c>
      <c r="I350">
        <v>30</v>
      </c>
      <c r="J350">
        <v>4</v>
      </c>
    </row>
    <row r="351" spans="1:10" x14ac:dyDescent="0.3">
      <c r="A351">
        <v>366</v>
      </c>
      <c r="B351">
        <v>3</v>
      </c>
      <c r="C351">
        <v>1</v>
      </c>
      <c r="D351">
        <v>4</v>
      </c>
      <c r="E351">
        <v>0</v>
      </c>
      <c r="F351">
        <v>39</v>
      </c>
      <c r="G351">
        <v>2.21</v>
      </c>
      <c r="H351">
        <v>238</v>
      </c>
      <c r="I351">
        <v>1</v>
      </c>
      <c r="J351">
        <v>6</v>
      </c>
    </row>
    <row r="352" spans="1:10" x14ac:dyDescent="0.3">
      <c r="A352">
        <v>179</v>
      </c>
      <c r="B352">
        <v>1</v>
      </c>
      <c r="C352">
        <v>2</v>
      </c>
      <c r="D352">
        <v>4</v>
      </c>
      <c r="E352">
        <v>1</v>
      </c>
      <c r="F352">
        <v>20</v>
      </c>
      <c r="G352">
        <v>1.19</v>
      </c>
      <c r="H352">
        <v>282</v>
      </c>
      <c r="I352">
        <v>1</v>
      </c>
      <c r="J352">
        <v>2</v>
      </c>
    </row>
    <row r="353" spans="1:10" x14ac:dyDescent="0.3">
      <c r="A353">
        <v>328</v>
      </c>
      <c r="B353">
        <v>4</v>
      </c>
      <c r="C353">
        <v>1</v>
      </c>
      <c r="D353">
        <v>4</v>
      </c>
      <c r="E353">
        <v>1</v>
      </c>
      <c r="F353">
        <v>18</v>
      </c>
      <c r="G353">
        <v>1.0900000000000001</v>
      </c>
      <c r="H353">
        <v>286</v>
      </c>
      <c r="I353">
        <v>1</v>
      </c>
      <c r="J353">
        <v>8</v>
      </c>
    </row>
    <row r="354" spans="1:10" x14ac:dyDescent="0.3">
      <c r="A354">
        <v>165</v>
      </c>
      <c r="B354">
        <v>2</v>
      </c>
      <c r="C354">
        <v>1</v>
      </c>
      <c r="D354">
        <v>4</v>
      </c>
      <c r="E354">
        <v>0</v>
      </c>
      <c r="F354">
        <v>5</v>
      </c>
      <c r="G354">
        <v>0.43</v>
      </c>
      <c r="H354">
        <v>216</v>
      </c>
      <c r="I354">
        <v>30</v>
      </c>
      <c r="J354">
        <v>4</v>
      </c>
    </row>
    <row r="355" spans="1:10" x14ac:dyDescent="0.3">
      <c r="A355">
        <v>350</v>
      </c>
      <c r="B355">
        <v>2</v>
      </c>
      <c r="C355">
        <v>2</v>
      </c>
      <c r="D355">
        <v>4</v>
      </c>
      <c r="E355">
        <v>0</v>
      </c>
      <c r="F355">
        <v>7</v>
      </c>
      <c r="G355">
        <v>0.44</v>
      </c>
      <c r="H355">
        <v>240</v>
      </c>
      <c r="I355">
        <v>30</v>
      </c>
      <c r="J355">
        <v>5</v>
      </c>
    </row>
    <row r="356" spans="1:10" x14ac:dyDescent="0.3">
      <c r="A356">
        <v>157</v>
      </c>
      <c r="B356">
        <v>1</v>
      </c>
      <c r="C356">
        <v>1</v>
      </c>
      <c r="D356">
        <v>4</v>
      </c>
      <c r="E356">
        <v>1</v>
      </c>
      <c r="F356">
        <v>41</v>
      </c>
      <c r="G356">
        <v>2.2999999999999998</v>
      </c>
      <c r="H356">
        <v>98</v>
      </c>
      <c r="I356">
        <v>1</v>
      </c>
      <c r="J356">
        <v>2</v>
      </c>
    </row>
    <row r="357" spans="1:10" x14ac:dyDescent="0.3">
      <c r="A357">
        <v>297</v>
      </c>
      <c r="B357">
        <v>1</v>
      </c>
      <c r="C357">
        <v>1</v>
      </c>
      <c r="D357">
        <v>4</v>
      </c>
      <c r="E357">
        <v>0</v>
      </c>
      <c r="F357">
        <v>36</v>
      </c>
      <c r="G357">
        <v>2.09</v>
      </c>
      <c r="H357">
        <v>268</v>
      </c>
      <c r="I357">
        <v>4</v>
      </c>
      <c r="J357">
        <v>4</v>
      </c>
    </row>
    <row r="358" spans="1:10" x14ac:dyDescent="0.3">
      <c r="A358">
        <v>302</v>
      </c>
      <c r="B358">
        <v>2</v>
      </c>
      <c r="C358">
        <v>1</v>
      </c>
      <c r="D358">
        <v>4</v>
      </c>
      <c r="E358">
        <v>0</v>
      </c>
      <c r="F358">
        <v>41</v>
      </c>
      <c r="G358">
        <v>2.31</v>
      </c>
      <c r="H358">
        <v>72</v>
      </c>
      <c r="I358">
        <v>1</v>
      </c>
      <c r="J358">
        <v>4</v>
      </c>
    </row>
    <row r="359" spans="1:10" x14ac:dyDescent="0.3">
      <c r="A359">
        <v>119</v>
      </c>
      <c r="B359">
        <v>2</v>
      </c>
      <c r="C359">
        <v>1</v>
      </c>
      <c r="D359">
        <v>4</v>
      </c>
      <c r="E359">
        <v>1</v>
      </c>
      <c r="F359">
        <v>37</v>
      </c>
      <c r="G359">
        <v>2.12</v>
      </c>
      <c r="H359">
        <v>301</v>
      </c>
      <c r="I359">
        <v>1</v>
      </c>
      <c r="J359">
        <v>2</v>
      </c>
    </row>
    <row r="360" spans="1:10" x14ac:dyDescent="0.3">
      <c r="A360">
        <v>389</v>
      </c>
      <c r="B360">
        <v>7</v>
      </c>
      <c r="C360">
        <v>1</v>
      </c>
      <c r="D360">
        <v>4</v>
      </c>
      <c r="E360">
        <v>0</v>
      </c>
      <c r="F360">
        <v>38</v>
      </c>
      <c r="G360">
        <v>2.2799999999999998</v>
      </c>
      <c r="H360">
        <v>261</v>
      </c>
      <c r="I360">
        <v>30</v>
      </c>
      <c r="J360">
        <v>12</v>
      </c>
    </row>
    <row r="361" spans="1:10" x14ac:dyDescent="0.3">
      <c r="A361">
        <v>267</v>
      </c>
      <c r="B361">
        <v>1</v>
      </c>
      <c r="C361">
        <v>1</v>
      </c>
      <c r="D361">
        <v>4</v>
      </c>
      <c r="E361">
        <v>1</v>
      </c>
      <c r="F361">
        <v>55</v>
      </c>
      <c r="G361">
        <v>3.1</v>
      </c>
      <c r="H361">
        <v>231</v>
      </c>
      <c r="I361">
        <v>1</v>
      </c>
      <c r="J361">
        <v>2</v>
      </c>
    </row>
    <row r="362" spans="1:10" x14ac:dyDescent="0.3">
      <c r="A362">
        <v>118</v>
      </c>
      <c r="B362">
        <v>1</v>
      </c>
      <c r="C362">
        <v>1</v>
      </c>
      <c r="D362">
        <v>4</v>
      </c>
      <c r="E362">
        <v>0</v>
      </c>
      <c r="F362">
        <v>7</v>
      </c>
      <c r="G362">
        <v>0.43</v>
      </c>
      <c r="H362">
        <v>332</v>
      </c>
      <c r="I362">
        <v>30</v>
      </c>
      <c r="J362">
        <v>2</v>
      </c>
    </row>
    <row r="363" spans="1:10" x14ac:dyDescent="0.3">
      <c r="A363">
        <v>203</v>
      </c>
      <c r="B363">
        <v>1</v>
      </c>
      <c r="C363">
        <v>1</v>
      </c>
      <c r="D363">
        <v>4</v>
      </c>
      <c r="E363">
        <v>0</v>
      </c>
      <c r="F363">
        <v>5</v>
      </c>
      <c r="G363">
        <v>0.42</v>
      </c>
      <c r="H363">
        <v>82</v>
      </c>
      <c r="I363">
        <v>3</v>
      </c>
      <c r="J363">
        <v>2</v>
      </c>
    </row>
    <row r="364" spans="1:10" x14ac:dyDescent="0.3">
      <c r="A364">
        <v>120</v>
      </c>
      <c r="B364">
        <v>1</v>
      </c>
      <c r="C364">
        <v>1</v>
      </c>
      <c r="D364">
        <v>4</v>
      </c>
      <c r="E364">
        <v>0</v>
      </c>
      <c r="F364">
        <v>2</v>
      </c>
      <c r="G364">
        <v>0.14000000000000001</v>
      </c>
      <c r="H364">
        <v>321</v>
      </c>
      <c r="I364">
        <v>30</v>
      </c>
      <c r="J364">
        <v>2</v>
      </c>
    </row>
    <row r="365" spans="1:10" x14ac:dyDescent="0.3">
      <c r="A365">
        <v>191</v>
      </c>
      <c r="B365">
        <v>3</v>
      </c>
      <c r="C365">
        <v>1</v>
      </c>
      <c r="D365">
        <v>4</v>
      </c>
      <c r="E365">
        <v>1</v>
      </c>
      <c r="F365">
        <v>14</v>
      </c>
      <c r="G365">
        <v>1.1299999999999999</v>
      </c>
      <c r="H365">
        <v>275</v>
      </c>
      <c r="I365">
        <v>1</v>
      </c>
      <c r="J365">
        <v>4</v>
      </c>
    </row>
    <row r="366" spans="1:10" x14ac:dyDescent="0.3">
      <c r="A366">
        <v>345</v>
      </c>
      <c r="B366">
        <v>2</v>
      </c>
      <c r="C366">
        <v>1</v>
      </c>
      <c r="D366">
        <v>4</v>
      </c>
      <c r="E366">
        <v>1</v>
      </c>
      <c r="F366">
        <v>31</v>
      </c>
      <c r="G366">
        <v>2.09</v>
      </c>
      <c r="H366">
        <v>111</v>
      </c>
      <c r="I366">
        <v>1</v>
      </c>
      <c r="J366">
        <v>4</v>
      </c>
    </row>
    <row r="367" spans="1:10" x14ac:dyDescent="0.3">
      <c r="A367">
        <v>279</v>
      </c>
      <c r="B367">
        <v>1</v>
      </c>
      <c r="C367">
        <v>1</v>
      </c>
      <c r="D367">
        <v>4</v>
      </c>
      <c r="E367">
        <v>0</v>
      </c>
      <c r="F367">
        <v>23</v>
      </c>
      <c r="G367">
        <v>1.57</v>
      </c>
      <c r="H367">
        <v>189</v>
      </c>
      <c r="I367">
        <v>7</v>
      </c>
      <c r="J367">
        <v>3</v>
      </c>
    </row>
    <row r="368" spans="1:10" x14ac:dyDescent="0.3">
      <c r="A368">
        <v>131</v>
      </c>
      <c r="B368">
        <v>3</v>
      </c>
      <c r="C368">
        <v>1</v>
      </c>
      <c r="D368">
        <v>4</v>
      </c>
      <c r="E368">
        <v>0</v>
      </c>
      <c r="F368">
        <v>3</v>
      </c>
      <c r="G368">
        <v>0.21</v>
      </c>
      <c r="H368">
        <v>254</v>
      </c>
      <c r="I368">
        <v>30</v>
      </c>
      <c r="J368">
        <v>5</v>
      </c>
    </row>
    <row r="369" spans="1:10" x14ac:dyDescent="0.3">
      <c r="A369">
        <v>120</v>
      </c>
      <c r="B369">
        <v>2</v>
      </c>
      <c r="C369">
        <v>1</v>
      </c>
      <c r="D369">
        <v>4</v>
      </c>
      <c r="E369">
        <v>0</v>
      </c>
      <c r="F369">
        <v>4</v>
      </c>
      <c r="G369">
        <v>0.69</v>
      </c>
      <c r="H369">
        <v>86</v>
      </c>
      <c r="I369">
        <v>30</v>
      </c>
      <c r="J369">
        <v>4</v>
      </c>
    </row>
    <row r="370" spans="1:10" x14ac:dyDescent="0.3">
      <c r="A370">
        <v>137</v>
      </c>
      <c r="B370">
        <v>3</v>
      </c>
      <c r="C370">
        <v>1</v>
      </c>
      <c r="D370">
        <v>4</v>
      </c>
      <c r="E370">
        <v>0</v>
      </c>
      <c r="F370">
        <v>3</v>
      </c>
      <c r="G370">
        <v>0.21</v>
      </c>
      <c r="H370">
        <v>364</v>
      </c>
      <c r="I370">
        <v>30</v>
      </c>
      <c r="J370">
        <v>4</v>
      </c>
    </row>
    <row r="371" spans="1:10" x14ac:dyDescent="0.3">
      <c r="A371">
        <v>113</v>
      </c>
      <c r="B371">
        <v>1</v>
      </c>
      <c r="C371">
        <v>1</v>
      </c>
      <c r="D371">
        <v>4</v>
      </c>
      <c r="E371">
        <v>0</v>
      </c>
      <c r="F371">
        <v>3</v>
      </c>
      <c r="G371">
        <v>0.26</v>
      </c>
      <c r="H371">
        <v>266</v>
      </c>
      <c r="I371">
        <v>30</v>
      </c>
      <c r="J371">
        <v>2</v>
      </c>
    </row>
    <row r="372" spans="1:10" x14ac:dyDescent="0.3">
      <c r="A372">
        <v>430</v>
      </c>
      <c r="B372">
        <v>4</v>
      </c>
      <c r="C372">
        <v>1</v>
      </c>
      <c r="D372">
        <v>4</v>
      </c>
      <c r="E372">
        <v>1</v>
      </c>
      <c r="F372">
        <v>35</v>
      </c>
      <c r="G372">
        <v>2.35</v>
      </c>
      <c r="H372">
        <v>269</v>
      </c>
      <c r="I372">
        <v>1</v>
      </c>
      <c r="J372">
        <v>8</v>
      </c>
    </row>
    <row r="373" spans="1:10" x14ac:dyDescent="0.3">
      <c r="A373">
        <v>170</v>
      </c>
      <c r="B373">
        <v>1</v>
      </c>
      <c r="C373">
        <v>1</v>
      </c>
      <c r="D373">
        <v>4</v>
      </c>
      <c r="E373">
        <v>0</v>
      </c>
      <c r="F373">
        <v>4</v>
      </c>
      <c r="G373">
        <v>0.3</v>
      </c>
      <c r="H373">
        <v>152</v>
      </c>
      <c r="I373">
        <v>30</v>
      </c>
      <c r="J373">
        <v>2</v>
      </c>
    </row>
    <row r="374" spans="1:10" x14ac:dyDescent="0.3">
      <c r="A374">
        <v>244</v>
      </c>
      <c r="B374">
        <v>2</v>
      </c>
      <c r="C374">
        <v>1</v>
      </c>
      <c r="D374">
        <v>4</v>
      </c>
      <c r="E374">
        <v>0</v>
      </c>
      <c r="F374">
        <v>30</v>
      </c>
      <c r="G374">
        <v>2.19</v>
      </c>
      <c r="H374">
        <v>303</v>
      </c>
      <c r="I374">
        <v>2</v>
      </c>
      <c r="J374">
        <v>4</v>
      </c>
    </row>
    <row r="375" spans="1:10" x14ac:dyDescent="0.3">
      <c r="A375">
        <v>78</v>
      </c>
      <c r="B375">
        <v>1</v>
      </c>
      <c r="C375">
        <v>1</v>
      </c>
      <c r="D375">
        <v>4</v>
      </c>
      <c r="E375">
        <v>0</v>
      </c>
      <c r="F375">
        <v>7</v>
      </c>
      <c r="G375">
        <v>0.49</v>
      </c>
      <c r="H375">
        <v>185</v>
      </c>
      <c r="I375">
        <v>30</v>
      </c>
      <c r="J375">
        <v>1</v>
      </c>
    </row>
    <row r="376" spans="1:10" x14ac:dyDescent="0.3">
      <c r="A376">
        <v>358</v>
      </c>
      <c r="B376">
        <v>2</v>
      </c>
      <c r="C376">
        <v>1</v>
      </c>
      <c r="D376">
        <v>4</v>
      </c>
      <c r="E376">
        <v>1</v>
      </c>
      <c r="F376">
        <v>7</v>
      </c>
      <c r="G376">
        <v>0.51</v>
      </c>
      <c r="H376">
        <v>114</v>
      </c>
      <c r="I376">
        <v>1</v>
      </c>
      <c r="J376">
        <v>4</v>
      </c>
    </row>
    <row r="377" spans="1:10" x14ac:dyDescent="0.3">
      <c r="A377">
        <v>385</v>
      </c>
      <c r="B377">
        <v>1</v>
      </c>
      <c r="C377">
        <v>1</v>
      </c>
      <c r="D377">
        <v>4</v>
      </c>
      <c r="E377">
        <v>1</v>
      </c>
      <c r="F377">
        <v>2</v>
      </c>
      <c r="G377">
        <v>0.39</v>
      </c>
      <c r="H377">
        <v>114</v>
      </c>
      <c r="I377">
        <v>1</v>
      </c>
      <c r="J377">
        <v>2</v>
      </c>
    </row>
    <row r="378" spans="1:10" x14ac:dyDescent="0.3">
      <c r="A378">
        <v>249</v>
      </c>
      <c r="B378">
        <v>1</v>
      </c>
      <c r="C378">
        <v>1</v>
      </c>
      <c r="D378">
        <v>4</v>
      </c>
      <c r="E378">
        <v>0</v>
      </c>
      <c r="F378">
        <v>3</v>
      </c>
      <c r="G378">
        <v>0.23</v>
      </c>
      <c r="H378">
        <v>335</v>
      </c>
      <c r="I378">
        <v>30</v>
      </c>
      <c r="J378">
        <v>2</v>
      </c>
    </row>
    <row r="379" spans="1:10" x14ac:dyDescent="0.3">
      <c r="A379">
        <v>290</v>
      </c>
      <c r="B379">
        <v>3</v>
      </c>
      <c r="C379">
        <v>1</v>
      </c>
      <c r="D379">
        <v>4</v>
      </c>
      <c r="E379">
        <v>0</v>
      </c>
      <c r="F379">
        <v>9</v>
      </c>
      <c r="G379">
        <v>0.8</v>
      </c>
      <c r="H379">
        <v>129</v>
      </c>
      <c r="I379">
        <v>1</v>
      </c>
      <c r="J379">
        <v>5</v>
      </c>
    </row>
    <row r="380" spans="1:10" x14ac:dyDescent="0.3">
      <c r="A380">
        <v>90</v>
      </c>
      <c r="B380">
        <v>2</v>
      </c>
      <c r="C380">
        <v>1</v>
      </c>
      <c r="D380">
        <v>4</v>
      </c>
      <c r="E380">
        <v>0</v>
      </c>
      <c r="F380">
        <v>5</v>
      </c>
      <c r="G380">
        <v>0.46</v>
      </c>
      <c r="H380">
        <v>155</v>
      </c>
      <c r="I380">
        <v>30</v>
      </c>
      <c r="J380">
        <v>3</v>
      </c>
    </row>
    <row r="381" spans="1:10" x14ac:dyDescent="0.3">
      <c r="A381">
        <v>316</v>
      </c>
      <c r="B381">
        <v>1</v>
      </c>
      <c r="C381">
        <v>1</v>
      </c>
      <c r="D381">
        <v>4</v>
      </c>
      <c r="E381">
        <v>1</v>
      </c>
      <c r="F381">
        <v>160</v>
      </c>
      <c r="G381">
        <v>10.74</v>
      </c>
      <c r="H381">
        <v>275</v>
      </c>
      <c r="I381">
        <v>1</v>
      </c>
      <c r="J381">
        <v>2</v>
      </c>
    </row>
    <row r="382" spans="1:10" x14ac:dyDescent="0.3">
      <c r="A382">
        <v>355</v>
      </c>
      <c r="B382">
        <v>1</v>
      </c>
      <c r="C382">
        <v>1</v>
      </c>
      <c r="D382">
        <v>4</v>
      </c>
      <c r="E382">
        <v>1</v>
      </c>
      <c r="F382">
        <v>201</v>
      </c>
      <c r="G382">
        <v>13.11</v>
      </c>
      <c r="H382">
        <v>245</v>
      </c>
      <c r="I382">
        <v>1</v>
      </c>
      <c r="J382">
        <v>2</v>
      </c>
    </row>
    <row r="383" spans="1:10" x14ac:dyDescent="0.3">
      <c r="A383">
        <v>203</v>
      </c>
      <c r="B383">
        <v>1</v>
      </c>
      <c r="C383">
        <v>1</v>
      </c>
      <c r="D383">
        <v>4</v>
      </c>
      <c r="E383">
        <v>0</v>
      </c>
      <c r="F383">
        <v>6</v>
      </c>
      <c r="G383">
        <v>0.48</v>
      </c>
      <c r="H383">
        <v>228</v>
      </c>
      <c r="I383">
        <v>30</v>
      </c>
      <c r="J383">
        <v>2</v>
      </c>
    </row>
    <row r="384" spans="1:10" x14ac:dyDescent="0.3">
      <c r="A384">
        <v>154</v>
      </c>
      <c r="B384">
        <v>1</v>
      </c>
      <c r="C384">
        <v>1</v>
      </c>
      <c r="D384">
        <v>4</v>
      </c>
      <c r="E384">
        <v>0</v>
      </c>
      <c r="F384">
        <v>2</v>
      </c>
      <c r="G384">
        <v>0.37</v>
      </c>
      <c r="H384">
        <v>224</v>
      </c>
      <c r="I384">
        <v>30</v>
      </c>
      <c r="J384">
        <v>2</v>
      </c>
    </row>
    <row r="385" spans="1:10" x14ac:dyDescent="0.3">
      <c r="A385">
        <v>74</v>
      </c>
      <c r="B385">
        <v>1</v>
      </c>
      <c r="C385">
        <v>1</v>
      </c>
      <c r="D385">
        <v>4</v>
      </c>
      <c r="E385">
        <v>0</v>
      </c>
      <c r="F385">
        <v>7</v>
      </c>
      <c r="G385">
        <v>0.51</v>
      </c>
      <c r="H385">
        <v>81</v>
      </c>
      <c r="I385">
        <v>30</v>
      </c>
      <c r="J385">
        <v>2</v>
      </c>
    </row>
    <row r="386" spans="1:10" x14ac:dyDescent="0.3">
      <c r="A386">
        <v>231</v>
      </c>
      <c r="B386">
        <v>2</v>
      </c>
      <c r="C386">
        <v>1</v>
      </c>
      <c r="D386">
        <v>4</v>
      </c>
      <c r="E386">
        <v>1</v>
      </c>
      <c r="F386">
        <v>24</v>
      </c>
      <c r="G386">
        <v>1.76</v>
      </c>
      <c r="H386">
        <v>277</v>
      </c>
      <c r="I386">
        <v>1</v>
      </c>
      <c r="J386">
        <v>4</v>
      </c>
    </row>
    <row r="387" spans="1:10" x14ac:dyDescent="0.3">
      <c r="A387">
        <v>145</v>
      </c>
      <c r="B387">
        <v>1</v>
      </c>
      <c r="C387">
        <v>1</v>
      </c>
      <c r="D387">
        <v>4</v>
      </c>
      <c r="E387">
        <v>0</v>
      </c>
      <c r="F387">
        <v>1</v>
      </c>
      <c r="G387">
        <v>0.94</v>
      </c>
      <c r="H387">
        <v>169</v>
      </c>
      <c r="I387">
        <v>30</v>
      </c>
      <c r="J387">
        <v>2</v>
      </c>
    </row>
    <row r="388" spans="1:10" x14ac:dyDescent="0.3">
      <c r="A388">
        <v>160</v>
      </c>
      <c r="B388">
        <v>1</v>
      </c>
      <c r="C388">
        <v>1</v>
      </c>
      <c r="D388">
        <v>4</v>
      </c>
      <c r="E388">
        <v>1</v>
      </c>
      <c r="F388">
        <v>33</v>
      </c>
      <c r="G388">
        <v>2.81</v>
      </c>
      <c r="H388">
        <v>247</v>
      </c>
      <c r="I388">
        <v>1</v>
      </c>
      <c r="J388">
        <v>1</v>
      </c>
    </row>
    <row r="389" spans="1:10" x14ac:dyDescent="0.3">
      <c r="A389">
        <v>293</v>
      </c>
      <c r="B389">
        <v>1</v>
      </c>
      <c r="C389">
        <v>1</v>
      </c>
      <c r="D389">
        <v>4</v>
      </c>
      <c r="E389">
        <v>1</v>
      </c>
      <c r="F389">
        <v>8</v>
      </c>
      <c r="G389">
        <v>0.77</v>
      </c>
      <c r="H389">
        <v>212</v>
      </c>
      <c r="I389">
        <v>1</v>
      </c>
      <c r="J389">
        <v>2</v>
      </c>
    </row>
    <row r="390" spans="1:10" x14ac:dyDescent="0.3">
      <c r="A390">
        <v>53</v>
      </c>
      <c r="B390">
        <v>1</v>
      </c>
      <c r="C390">
        <v>1</v>
      </c>
      <c r="D390">
        <v>4</v>
      </c>
      <c r="E390">
        <v>0</v>
      </c>
      <c r="F390">
        <v>4</v>
      </c>
      <c r="G390">
        <v>0.35</v>
      </c>
      <c r="H390">
        <v>239</v>
      </c>
      <c r="I390">
        <v>30</v>
      </c>
      <c r="J390">
        <v>1</v>
      </c>
    </row>
    <row r="391" spans="1:10" x14ac:dyDescent="0.3">
      <c r="A391">
        <v>64</v>
      </c>
      <c r="B391">
        <v>1</v>
      </c>
      <c r="C391">
        <v>1</v>
      </c>
      <c r="D391">
        <v>4</v>
      </c>
      <c r="E391">
        <v>0</v>
      </c>
      <c r="F391">
        <v>5</v>
      </c>
      <c r="G391">
        <v>0.43</v>
      </c>
      <c r="H391">
        <v>241</v>
      </c>
      <c r="I391">
        <v>30</v>
      </c>
      <c r="J391">
        <v>1</v>
      </c>
    </row>
    <row r="392" spans="1:10" x14ac:dyDescent="0.3">
      <c r="A392">
        <v>250</v>
      </c>
      <c r="B392">
        <v>2</v>
      </c>
      <c r="C392">
        <v>1</v>
      </c>
      <c r="D392">
        <v>4</v>
      </c>
      <c r="E392">
        <v>1</v>
      </c>
      <c r="F392">
        <v>29</v>
      </c>
      <c r="G392">
        <v>2.64</v>
      </c>
      <c r="H392">
        <v>250</v>
      </c>
      <c r="I392">
        <v>2</v>
      </c>
      <c r="J392">
        <v>2</v>
      </c>
    </row>
    <row r="393" spans="1:10" x14ac:dyDescent="0.3">
      <c r="A393">
        <v>144</v>
      </c>
      <c r="B393">
        <v>3</v>
      </c>
      <c r="C393">
        <v>1</v>
      </c>
      <c r="D393">
        <v>4</v>
      </c>
      <c r="E393">
        <v>0</v>
      </c>
      <c r="F393">
        <v>5</v>
      </c>
      <c r="G393">
        <v>0.38</v>
      </c>
      <c r="H393">
        <v>310</v>
      </c>
      <c r="I393">
        <v>30</v>
      </c>
      <c r="J393">
        <v>3</v>
      </c>
    </row>
    <row r="394" spans="1:10" x14ac:dyDescent="0.3">
      <c r="A394">
        <v>296</v>
      </c>
      <c r="B394">
        <v>1</v>
      </c>
      <c r="C394">
        <v>1</v>
      </c>
      <c r="D394">
        <v>4</v>
      </c>
      <c r="E394">
        <v>1</v>
      </c>
      <c r="F394">
        <v>24</v>
      </c>
      <c r="G394">
        <v>1.81</v>
      </c>
      <c r="H394">
        <v>275</v>
      </c>
      <c r="I394">
        <v>1</v>
      </c>
      <c r="J394">
        <v>2</v>
      </c>
    </row>
    <row r="395" spans="1:10" x14ac:dyDescent="0.3">
      <c r="A395">
        <v>209</v>
      </c>
      <c r="B395">
        <v>1</v>
      </c>
      <c r="C395">
        <v>1</v>
      </c>
      <c r="D395">
        <v>4</v>
      </c>
      <c r="E395">
        <v>1</v>
      </c>
      <c r="F395">
        <v>12</v>
      </c>
      <c r="G395">
        <v>1</v>
      </c>
      <c r="H395">
        <v>352</v>
      </c>
      <c r="I395">
        <v>5</v>
      </c>
      <c r="J395">
        <v>2</v>
      </c>
    </row>
    <row r="396" spans="1:10" x14ac:dyDescent="0.3">
      <c r="A396">
        <v>64</v>
      </c>
      <c r="B396">
        <v>1</v>
      </c>
      <c r="C396">
        <v>1</v>
      </c>
      <c r="D396">
        <v>4</v>
      </c>
      <c r="E396">
        <v>0</v>
      </c>
      <c r="F396">
        <v>5</v>
      </c>
      <c r="G396">
        <v>0.41</v>
      </c>
      <c r="H396">
        <v>182</v>
      </c>
      <c r="I396">
        <v>30</v>
      </c>
      <c r="J396">
        <v>1</v>
      </c>
    </row>
    <row r="397" spans="1:10" x14ac:dyDescent="0.3">
      <c r="A397">
        <v>132</v>
      </c>
      <c r="B397">
        <v>1</v>
      </c>
      <c r="C397">
        <v>1</v>
      </c>
      <c r="D397">
        <v>4</v>
      </c>
      <c r="E397">
        <v>0</v>
      </c>
      <c r="F397">
        <v>4</v>
      </c>
      <c r="G397">
        <v>0.3</v>
      </c>
      <c r="H397">
        <v>347</v>
      </c>
      <c r="I397">
        <v>30</v>
      </c>
      <c r="J397">
        <v>2</v>
      </c>
    </row>
    <row r="398" spans="1:10" x14ac:dyDescent="0.3">
      <c r="A398">
        <v>81</v>
      </c>
      <c r="B398">
        <v>1</v>
      </c>
      <c r="C398">
        <v>1</v>
      </c>
      <c r="D398">
        <v>4</v>
      </c>
      <c r="E398">
        <v>0</v>
      </c>
      <c r="F398">
        <v>2</v>
      </c>
      <c r="G398">
        <v>0.18</v>
      </c>
      <c r="H398">
        <v>63</v>
      </c>
      <c r="I398">
        <v>30</v>
      </c>
      <c r="J398">
        <v>1</v>
      </c>
    </row>
    <row r="399" spans="1:10" x14ac:dyDescent="0.3">
      <c r="A399">
        <v>57</v>
      </c>
      <c r="B399">
        <v>1</v>
      </c>
      <c r="C399">
        <v>1</v>
      </c>
      <c r="D399">
        <v>4</v>
      </c>
      <c r="E399">
        <v>0</v>
      </c>
      <c r="F399">
        <v>1</v>
      </c>
      <c r="G399">
        <v>0.88</v>
      </c>
      <c r="H399">
        <v>56</v>
      </c>
      <c r="I399">
        <v>30</v>
      </c>
      <c r="J399">
        <v>1</v>
      </c>
    </row>
    <row r="400" spans="1:10" x14ac:dyDescent="0.3">
      <c r="A400">
        <v>388</v>
      </c>
      <c r="B400">
        <v>2</v>
      </c>
      <c r="C400">
        <v>2</v>
      </c>
      <c r="D400">
        <v>4</v>
      </c>
      <c r="E400">
        <v>0</v>
      </c>
      <c r="F400">
        <v>3</v>
      </c>
      <c r="G400">
        <v>0.44</v>
      </c>
      <c r="H400">
        <v>227</v>
      </c>
      <c r="I400">
        <v>30</v>
      </c>
      <c r="J400">
        <v>5</v>
      </c>
    </row>
    <row r="401" spans="1:10" x14ac:dyDescent="0.3">
      <c r="A401">
        <v>318</v>
      </c>
      <c r="B401">
        <v>3</v>
      </c>
      <c r="C401">
        <v>1</v>
      </c>
      <c r="D401">
        <v>4</v>
      </c>
      <c r="E401">
        <v>0</v>
      </c>
      <c r="F401">
        <v>2</v>
      </c>
      <c r="G401">
        <v>0.76</v>
      </c>
      <c r="H401">
        <v>248</v>
      </c>
      <c r="I401">
        <v>30</v>
      </c>
      <c r="J401">
        <v>5</v>
      </c>
    </row>
    <row r="402" spans="1:10" x14ac:dyDescent="0.3">
      <c r="A402">
        <v>74</v>
      </c>
      <c r="B402">
        <v>1</v>
      </c>
      <c r="C402">
        <v>1</v>
      </c>
      <c r="D402">
        <v>4</v>
      </c>
      <c r="E402">
        <v>1</v>
      </c>
      <c r="F402">
        <v>2</v>
      </c>
      <c r="G402">
        <v>0.17</v>
      </c>
      <c r="H402">
        <v>89</v>
      </c>
      <c r="I402">
        <v>30</v>
      </c>
      <c r="J402">
        <v>1</v>
      </c>
    </row>
    <row r="403" spans="1:10" x14ac:dyDescent="0.3">
      <c r="A403">
        <v>57</v>
      </c>
      <c r="B403">
        <v>1</v>
      </c>
      <c r="C403">
        <v>1</v>
      </c>
      <c r="D403">
        <v>4</v>
      </c>
      <c r="E403">
        <v>0</v>
      </c>
      <c r="F403">
        <v>4</v>
      </c>
      <c r="G403">
        <v>0.45</v>
      </c>
      <c r="H403">
        <v>262</v>
      </c>
      <c r="I403">
        <v>30</v>
      </c>
      <c r="J403">
        <v>1</v>
      </c>
    </row>
    <row r="404" spans="1:10" x14ac:dyDescent="0.3">
      <c r="A404">
        <v>120</v>
      </c>
      <c r="B404">
        <v>2</v>
      </c>
      <c r="C404">
        <v>1</v>
      </c>
      <c r="D404">
        <v>4</v>
      </c>
      <c r="E404">
        <v>1</v>
      </c>
      <c r="F404">
        <v>14</v>
      </c>
      <c r="G404">
        <v>1.23</v>
      </c>
      <c r="H404">
        <v>286</v>
      </c>
      <c r="I404">
        <v>1</v>
      </c>
      <c r="J404">
        <v>3</v>
      </c>
    </row>
    <row r="405" spans="1:10" x14ac:dyDescent="0.3">
      <c r="A405">
        <v>232</v>
      </c>
      <c r="B405">
        <v>1</v>
      </c>
      <c r="C405">
        <v>1</v>
      </c>
      <c r="D405">
        <v>4</v>
      </c>
      <c r="E405">
        <v>0</v>
      </c>
      <c r="F405">
        <v>1</v>
      </c>
      <c r="G405">
        <v>0.5</v>
      </c>
      <c r="H405">
        <v>181</v>
      </c>
      <c r="I405">
        <v>30</v>
      </c>
      <c r="J405">
        <v>3</v>
      </c>
    </row>
    <row r="406" spans="1:10" x14ac:dyDescent="0.3">
      <c r="A406">
        <v>130</v>
      </c>
      <c r="B406">
        <v>1</v>
      </c>
      <c r="C406">
        <v>1</v>
      </c>
      <c r="D406">
        <v>4</v>
      </c>
      <c r="E406">
        <v>1</v>
      </c>
      <c r="F406">
        <v>40</v>
      </c>
      <c r="G406">
        <v>2.93</v>
      </c>
      <c r="H406">
        <v>254</v>
      </c>
      <c r="I406">
        <v>5</v>
      </c>
      <c r="J406">
        <v>2</v>
      </c>
    </row>
    <row r="407" spans="1:10" x14ac:dyDescent="0.3">
      <c r="A407">
        <v>197</v>
      </c>
      <c r="B407">
        <v>2</v>
      </c>
      <c r="C407">
        <v>1</v>
      </c>
      <c r="D407">
        <v>4</v>
      </c>
      <c r="E407">
        <v>0</v>
      </c>
      <c r="F407">
        <v>47</v>
      </c>
      <c r="G407">
        <v>3.9</v>
      </c>
      <c r="H407">
        <v>80</v>
      </c>
      <c r="I407">
        <v>1</v>
      </c>
      <c r="J407">
        <v>5</v>
      </c>
    </row>
    <row r="408" spans="1:10" x14ac:dyDescent="0.3">
      <c r="A408">
        <v>58</v>
      </c>
      <c r="B408">
        <v>1</v>
      </c>
      <c r="C408">
        <v>1</v>
      </c>
      <c r="D408">
        <v>4</v>
      </c>
      <c r="E408">
        <v>1</v>
      </c>
      <c r="F408">
        <v>2</v>
      </c>
      <c r="G408">
        <v>0.16</v>
      </c>
      <c r="H408">
        <v>239</v>
      </c>
      <c r="I408">
        <v>30</v>
      </c>
      <c r="J408">
        <v>1</v>
      </c>
    </row>
    <row r="409" spans="1:10" x14ac:dyDescent="0.3">
      <c r="A409">
        <v>262</v>
      </c>
      <c r="B409">
        <v>1</v>
      </c>
      <c r="C409">
        <v>1</v>
      </c>
      <c r="D409">
        <v>4</v>
      </c>
      <c r="E409">
        <v>1</v>
      </c>
      <c r="F409">
        <v>9</v>
      </c>
      <c r="G409">
        <v>0.75</v>
      </c>
      <c r="H409">
        <v>356</v>
      </c>
      <c r="I409">
        <v>1</v>
      </c>
      <c r="J409">
        <v>2</v>
      </c>
    </row>
    <row r="410" spans="1:10" x14ac:dyDescent="0.3">
      <c r="A410">
        <v>209</v>
      </c>
      <c r="B410">
        <v>1</v>
      </c>
      <c r="C410">
        <v>1</v>
      </c>
      <c r="D410">
        <v>4</v>
      </c>
      <c r="E410">
        <v>1</v>
      </c>
      <c r="F410">
        <v>20</v>
      </c>
      <c r="G410">
        <v>1.65</v>
      </c>
      <c r="H410">
        <v>278</v>
      </c>
      <c r="I410">
        <v>1</v>
      </c>
      <c r="J410">
        <v>2</v>
      </c>
    </row>
    <row r="411" spans="1:10" x14ac:dyDescent="0.3">
      <c r="A411">
        <v>377</v>
      </c>
      <c r="B411">
        <v>1</v>
      </c>
      <c r="C411">
        <v>1</v>
      </c>
      <c r="D411">
        <v>4</v>
      </c>
      <c r="E411">
        <v>1</v>
      </c>
      <c r="F411">
        <v>12</v>
      </c>
      <c r="G411">
        <v>1.06</v>
      </c>
      <c r="H411">
        <v>241</v>
      </c>
      <c r="I411">
        <v>1</v>
      </c>
      <c r="J411">
        <v>2</v>
      </c>
    </row>
    <row r="412" spans="1:10" x14ac:dyDescent="0.3">
      <c r="A412">
        <v>302</v>
      </c>
      <c r="B412">
        <v>1</v>
      </c>
      <c r="C412">
        <v>1</v>
      </c>
      <c r="D412">
        <v>4</v>
      </c>
      <c r="E412">
        <v>0</v>
      </c>
      <c r="F412">
        <v>39</v>
      </c>
      <c r="G412">
        <v>3.27</v>
      </c>
      <c r="H412">
        <v>90</v>
      </c>
      <c r="I412">
        <v>2</v>
      </c>
      <c r="J412">
        <v>2</v>
      </c>
    </row>
    <row r="413" spans="1:10" x14ac:dyDescent="0.3">
      <c r="A413">
        <v>67</v>
      </c>
      <c r="B413">
        <v>1</v>
      </c>
      <c r="C413">
        <v>1</v>
      </c>
      <c r="D413">
        <v>4</v>
      </c>
      <c r="E413">
        <v>0</v>
      </c>
      <c r="F413">
        <v>4</v>
      </c>
      <c r="G413">
        <v>0.51</v>
      </c>
      <c r="H413">
        <v>125</v>
      </c>
      <c r="I413">
        <v>30</v>
      </c>
      <c r="J413">
        <v>1</v>
      </c>
    </row>
    <row r="414" spans="1:10" x14ac:dyDescent="0.3">
      <c r="A414">
        <v>57</v>
      </c>
      <c r="B414">
        <v>1</v>
      </c>
      <c r="C414">
        <v>1</v>
      </c>
      <c r="D414">
        <v>4</v>
      </c>
      <c r="E414">
        <v>0</v>
      </c>
      <c r="F414">
        <v>5</v>
      </c>
      <c r="G414">
        <v>0.45</v>
      </c>
      <c r="H414">
        <v>165</v>
      </c>
      <c r="I414">
        <v>30</v>
      </c>
      <c r="J414">
        <v>1</v>
      </c>
    </row>
    <row r="415" spans="1:10" x14ac:dyDescent="0.3">
      <c r="A415">
        <v>317</v>
      </c>
      <c r="B415">
        <v>1</v>
      </c>
      <c r="C415">
        <v>1</v>
      </c>
      <c r="D415">
        <v>4</v>
      </c>
      <c r="E415">
        <v>1</v>
      </c>
      <c r="F415">
        <v>23</v>
      </c>
      <c r="G415">
        <v>1.73</v>
      </c>
      <c r="H415">
        <v>112</v>
      </c>
      <c r="I415">
        <v>1</v>
      </c>
      <c r="J415">
        <v>2</v>
      </c>
    </row>
    <row r="416" spans="1:10" x14ac:dyDescent="0.3">
      <c r="A416">
        <v>120</v>
      </c>
      <c r="B416">
        <v>1</v>
      </c>
      <c r="C416">
        <v>1</v>
      </c>
      <c r="D416">
        <v>4</v>
      </c>
      <c r="E416">
        <v>0</v>
      </c>
      <c r="F416">
        <v>1</v>
      </c>
      <c r="G416">
        <v>0.48</v>
      </c>
      <c r="H416">
        <v>326</v>
      </c>
      <c r="I416">
        <v>30</v>
      </c>
      <c r="J416">
        <v>2</v>
      </c>
    </row>
    <row r="417" spans="1:10" x14ac:dyDescent="0.3">
      <c r="A417">
        <v>300</v>
      </c>
      <c r="B417">
        <v>1</v>
      </c>
      <c r="C417">
        <v>1</v>
      </c>
      <c r="D417">
        <v>4</v>
      </c>
      <c r="E417">
        <v>1</v>
      </c>
      <c r="F417">
        <v>26</v>
      </c>
      <c r="G417">
        <v>2.0499999999999998</v>
      </c>
      <c r="H417">
        <v>82</v>
      </c>
      <c r="I417">
        <v>1</v>
      </c>
      <c r="J417">
        <v>2</v>
      </c>
    </row>
    <row r="418" spans="1:10" x14ac:dyDescent="0.3">
      <c r="A418">
        <v>150</v>
      </c>
      <c r="B418">
        <v>2</v>
      </c>
      <c r="C418">
        <v>1</v>
      </c>
      <c r="D418">
        <v>4</v>
      </c>
      <c r="E418">
        <v>1</v>
      </c>
      <c r="F418">
        <v>11</v>
      </c>
      <c r="G418">
        <v>0.84</v>
      </c>
      <c r="H418">
        <v>290</v>
      </c>
      <c r="I418">
        <v>1</v>
      </c>
      <c r="J418">
        <v>4</v>
      </c>
    </row>
    <row r="419" spans="1:10" x14ac:dyDescent="0.3">
      <c r="A419">
        <v>169</v>
      </c>
      <c r="B419">
        <v>2</v>
      </c>
      <c r="C419">
        <v>1</v>
      </c>
      <c r="D419">
        <v>4</v>
      </c>
      <c r="E419">
        <v>1</v>
      </c>
      <c r="F419">
        <v>9</v>
      </c>
      <c r="G419">
        <v>0.7</v>
      </c>
      <c r="H419">
        <v>281</v>
      </c>
      <c r="I419">
        <v>1</v>
      </c>
      <c r="J419">
        <v>3</v>
      </c>
    </row>
    <row r="420" spans="1:10" x14ac:dyDescent="0.3">
      <c r="A420">
        <v>53</v>
      </c>
      <c r="B420">
        <v>1</v>
      </c>
      <c r="C420">
        <v>1</v>
      </c>
      <c r="D420">
        <v>4</v>
      </c>
      <c r="E420">
        <v>0</v>
      </c>
      <c r="F420">
        <v>4</v>
      </c>
      <c r="G420">
        <v>0.56999999999999995</v>
      </c>
      <c r="H420">
        <v>286</v>
      </c>
      <c r="I420">
        <v>30</v>
      </c>
      <c r="J420">
        <v>1</v>
      </c>
    </row>
    <row r="421" spans="1:10" x14ac:dyDescent="0.3">
      <c r="A421">
        <v>66</v>
      </c>
      <c r="B421">
        <v>1</v>
      </c>
      <c r="C421">
        <v>1</v>
      </c>
      <c r="D421">
        <v>4</v>
      </c>
      <c r="E421">
        <v>0</v>
      </c>
      <c r="F421">
        <v>3</v>
      </c>
      <c r="G421">
        <v>0.26</v>
      </c>
      <c r="H421">
        <v>177</v>
      </c>
      <c r="I421">
        <v>30</v>
      </c>
      <c r="J421">
        <v>1</v>
      </c>
    </row>
    <row r="422" spans="1:10" x14ac:dyDescent="0.3">
      <c r="A422">
        <v>385</v>
      </c>
      <c r="B422">
        <v>4</v>
      </c>
      <c r="C422">
        <v>2</v>
      </c>
      <c r="D422">
        <v>4</v>
      </c>
      <c r="E422">
        <v>0</v>
      </c>
      <c r="F422">
        <v>14</v>
      </c>
      <c r="G422">
        <v>1.73</v>
      </c>
      <c r="H422">
        <v>58</v>
      </c>
      <c r="I422">
        <v>3</v>
      </c>
      <c r="J422">
        <v>8</v>
      </c>
    </row>
    <row r="423" spans="1:10" x14ac:dyDescent="0.3">
      <c r="A423">
        <v>161</v>
      </c>
      <c r="B423">
        <v>2</v>
      </c>
      <c r="C423">
        <v>1</v>
      </c>
      <c r="D423">
        <v>4</v>
      </c>
      <c r="E423">
        <v>1</v>
      </c>
      <c r="F423">
        <v>14</v>
      </c>
      <c r="G423">
        <v>1.1100000000000001</v>
      </c>
      <c r="H423">
        <v>285</v>
      </c>
      <c r="I423">
        <v>1</v>
      </c>
      <c r="J423">
        <v>3</v>
      </c>
    </row>
    <row r="424" spans="1:10" x14ac:dyDescent="0.3">
      <c r="A424">
        <v>350</v>
      </c>
      <c r="B424">
        <v>2</v>
      </c>
      <c r="C424">
        <v>1</v>
      </c>
      <c r="D424">
        <v>4</v>
      </c>
      <c r="E424">
        <v>0</v>
      </c>
      <c r="F424">
        <v>3</v>
      </c>
      <c r="G424">
        <v>0.26</v>
      </c>
      <c r="H424">
        <v>324</v>
      </c>
      <c r="I424">
        <v>30</v>
      </c>
      <c r="J424">
        <v>4</v>
      </c>
    </row>
    <row r="425" spans="1:10" x14ac:dyDescent="0.3">
      <c r="A425">
        <v>298</v>
      </c>
      <c r="B425">
        <v>1</v>
      </c>
      <c r="C425">
        <v>1</v>
      </c>
      <c r="D425">
        <v>4</v>
      </c>
      <c r="E425">
        <v>1</v>
      </c>
      <c r="F425">
        <v>96</v>
      </c>
      <c r="G425">
        <v>7.76</v>
      </c>
      <c r="H425">
        <v>96</v>
      </c>
      <c r="I425">
        <v>1</v>
      </c>
      <c r="J425">
        <v>2</v>
      </c>
    </row>
    <row r="426" spans="1:10" x14ac:dyDescent="0.3">
      <c r="A426">
        <v>132</v>
      </c>
      <c r="B426">
        <v>2</v>
      </c>
      <c r="C426">
        <v>1</v>
      </c>
      <c r="D426">
        <v>4</v>
      </c>
      <c r="E426">
        <v>1</v>
      </c>
      <c r="F426">
        <v>16</v>
      </c>
      <c r="G426">
        <v>1.36</v>
      </c>
      <c r="H426">
        <v>277</v>
      </c>
      <c r="I426">
        <v>1</v>
      </c>
      <c r="J426">
        <v>3</v>
      </c>
    </row>
    <row r="427" spans="1:10" x14ac:dyDescent="0.3">
      <c r="A427">
        <v>189</v>
      </c>
      <c r="B427">
        <v>1</v>
      </c>
      <c r="C427">
        <v>1</v>
      </c>
      <c r="D427">
        <v>4</v>
      </c>
      <c r="E427">
        <v>0</v>
      </c>
      <c r="F427">
        <v>2</v>
      </c>
      <c r="G427">
        <v>0.23</v>
      </c>
      <c r="H427">
        <v>233</v>
      </c>
      <c r="I427">
        <v>30</v>
      </c>
      <c r="J427">
        <v>2</v>
      </c>
    </row>
    <row r="428" spans="1:10" x14ac:dyDescent="0.3">
      <c r="A428">
        <v>192</v>
      </c>
      <c r="B428">
        <v>2</v>
      </c>
      <c r="C428">
        <v>1</v>
      </c>
      <c r="D428">
        <v>4</v>
      </c>
      <c r="E428">
        <v>1</v>
      </c>
      <c r="F428">
        <v>13</v>
      </c>
      <c r="G428">
        <v>1.1100000000000001</v>
      </c>
      <c r="H428">
        <v>292</v>
      </c>
      <c r="I428">
        <v>1</v>
      </c>
      <c r="J428">
        <v>4</v>
      </c>
    </row>
    <row r="429" spans="1:10" x14ac:dyDescent="0.3">
      <c r="A429">
        <v>134</v>
      </c>
      <c r="B429">
        <v>2</v>
      </c>
      <c r="C429">
        <v>1</v>
      </c>
      <c r="D429">
        <v>4</v>
      </c>
      <c r="E429">
        <v>1</v>
      </c>
      <c r="F429">
        <v>8</v>
      </c>
      <c r="G429">
        <v>0.65</v>
      </c>
      <c r="H429">
        <v>292</v>
      </c>
      <c r="I429">
        <v>1</v>
      </c>
      <c r="J429">
        <v>4</v>
      </c>
    </row>
    <row r="430" spans="1:10" x14ac:dyDescent="0.3">
      <c r="A430">
        <v>189</v>
      </c>
      <c r="B430">
        <v>1</v>
      </c>
      <c r="C430">
        <v>1</v>
      </c>
      <c r="D430">
        <v>4</v>
      </c>
      <c r="E430">
        <v>0</v>
      </c>
      <c r="F430">
        <v>3</v>
      </c>
      <c r="G430">
        <v>0.52</v>
      </c>
      <c r="H430">
        <v>263</v>
      </c>
      <c r="I430">
        <v>30</v>
      </c>
      <c r="J430">
        <v>2</v>
      </c>
    </row>
    <row r="431" spans="1:10" x14ac:dyDescent="0.3">
      <c r="A431">
        <v>185</v>
      </c>
      <c r="B431">
        <v>1</v>
      </c>
      <c r="C431">
        <v>1</v>
      </c>
      <c r="D431">
        <v>4</v>
      </c>
      <c r="E431">
        <v>0</v>
      </c>
      <c r="F431">
        <v>3</v>
      </c>
      <c r="G431">
        <v>0.32</v>
      </c>
      <c r="H431">
        <v>178</v>
      </c>
      <c r="I431">
        <v>30</v>
      </c>
      <c r="J431">
        <v>2</v>
      </c>
    </row>
    <row r="432" spans="1:10" x14ac:dyDescent="0.3">
      <c r="A432">
        <v>79</v>
      </c>
      <c r="B432">
        <v>1</v>
      </c>
      <c r="C432">
        <v>2</v>
      </c>
      <c r="D432">
        <v>4</v>
      </c>
      <c r="E432">
        <v>1</v>
      </c>
      <c r="F432">
        <v>3</v>
      </c>
      <c r="G432">
        <v>0.27</v>
      </c>
      <c r="H432">
        <v>269</v>
      </c>
      <c r="I432">
        <v>30</v>
      </c>
      <c r="J432">
        <v>2</v>
      </c>
    </row>
    <row r="433" spans="1:10" x14ac:dyDescent="0.3">
      <c r="A433">
        <v>127</v>
      </c>
      <c r="B433">
        <v>2</v>
      </c>
      <c r="C433">
        <v>1</v>
      </c>
      <c r="D433">
        <v>4</v>
      </c>
      <c r="E433">
        <v>0</v>
      </c>
      <c r="F433">
        <v>3</v>
      </c>
      <c r="G433">
        <v>0.27</v>
      </c>
      <c r="H433">
        <v>364</v>
      </c>
      <c r="I433">
        <v>30</v>
      </c>
      <c r="J433">
        <v>3</v>
      </c>
    </row>
    <row r="434" spans="1:10" x14ac:dyDescent="0.3">
      <c r="A434">
        <v>141</v>
      </c>
      <c r="B434">
        <v>1</v>
      </c>
      <c r="C434">
        <v>1</v>
      </c>
      <c r="D434">
        <v>4</v>
      </c>
      <c r="E434">
        <v>0</v>
      </c>
      <c r="F434">
        <v>2</v>
      </c>
      <c r="G434">
        <v>0.51</v>
      </c>
      <c r="H434">
        <v>259</v>
      </c>
      <c r="I434">
        <v>30</v>
      </c>
      <c r="J434">
        <v>2</v>
      </c>
    </row>
    <row r="435" spans="1:10" x14ac:dyDescent="0.3">
      <c r="A435">
        <v>233</v>
      </c>
      <c r="B435">
        <v>2</v>
      </c>
      <c r="C435">
        <v>1</v>
      </c>
      <c r="D435">
        <v>4</v>
      </c>
      <c r="E435">
        <v>0</v>
      </c>
      <c r="F435">
        <v>7</v>
      </c>
      <c r="G435">
        <v>0.62</v>
      </c>
      <c r="H435">
        <v>215</v>
      </c>
      <c r="I435">
        <v>30</v>
      </c>
      <c r="J435">
        <v>4</v>
      </c>
    </row>
    <row r="436" spans="1:10" x14ac:dyDescent="0.3">
      <c r="A436">
        <v>208</v>
      </c>
      <c r="B436">
        <v>1</v>
      </c>
      <c r="C436">
        <v>1</v>
      </c>
      <c r="D436">
        <v>4</v>
      </c>
      <c r="E436">
        <v>1</v>
      </c>
      <c r="F436">
        <v>19</v>
      </c>
      <c r="G436">
        <v>1.63</v>
      </c>
      <c r="H436">
        <v>275</v>
      </c>
      <c r="I436">
        <v>1</v>
      </c>
      <c r="J436">
        <v>2</v>
      </c>
    </row>
    <row r="437" spans="1:10" x14ac:dyDescent="0.3">
      <c r="A437">
        <v>198</v>
      </c>
      <c r="B437">
        <v>1</v>
      </c>
      <c r="C437">
        <v>1</v>
      </c>
      <c r="D437">
        <v>4</v>
      </c>
      <c r="E437">
        <v>0</v>
      </c>
      <c r="F437">
        <v>27</v>
      </c>
      <c r="G437">
        <v>2.38</v>
      </c>
      <c r="H437">
        <v>139</v>
      </c>
      <c r="I437">
        <v>5</v>
      </c>
      <c r="J437">
        <v>2</v>
      </c>
    </row>
    <row r="438" spans="1:10" x14ac:dyDescent="0.3">
      <c r="A438">
        <v>99</v>
      </c>
      <c r="B438">
        <v>1</v>
      </c>
      <c r="C438">
        <v>1</v>
      </c>
      <c r="D438">
        <v>4</v>
      </c>
      <c r="E438">
        <v>1</v>
      </c>
      <c r="F438">
        <v>46</v>
      </c>
      <c r="G438">
        <v>4</v>
      </c>
      <c r="H438">
        <v>121</v>
      </c>
      <c r="I438">
        <v>1</v>
      </c>
      <c r="J438">
        <v>2</v>
      </c>
    </row>
    <row r="439" spans="1:10" x14ac:dyDescent="0.3">
      <c r="A439">
        <v>183</v>
      </c>
      <c r="B439">
        <v>2</v>
      </c>
      <c r="C439">
        <v>1</v>
      </c>
      <c r="D439">
        <v>4</v>
      </c>
      <c r="E439">
        <v>0</v>
      </c>
      <c r="F439">
        <v>2</v>
      </c>
      <c r="G439">
        <v>0.22</v>
      </c>
      <c r="H439">
        <v>86</v>
      </c>
      <c r="I439">
        <v>30</v>
      </c>
      <c r="J439">
        <v>2</v>
      </c>
    </row>
    <row r="440" spans="1:10" x14ac:dyDescent="0.3">
      <c r="A440">
        <v>199</v>
      </c>
      <c r="B440">
        <v>1</v>
      </c>
      <c r="C440">
        <v>1</v>
      </c>
      <c r="D440">
        <v>4</v>
      </c>
      <c r="E440">
        <v>0</v>
      </c>
      <c r="F440">
        <v>2</v>
      </c>
      <c r="G440">
        <v>0.21</v>
      </c>
      <c r="H440">
        <v>237</v>
      </c>
      <c r="I440">
        <v>30</v>
      </c>
      <c r="J440">
        <v>3</v>
      </c>
    </row>
    <row r="441" spans="1:10" x14ac:dyDescent="0.3">
      <c r="A441">
        <v>53</v>
      </c>
      <c r="B441">
        <v>1</v>
      </c>
      <c r="C441">
        <v>1</v>
      </c>
      <c r="D441">
        <v>4</v>
      </c>
      <c r="E441">
        <v>0</v>
      </c>
      <c r="F441">
        <v>1</v>
      </c>
      <c r="G441">
        <v>0.56999999999999995</v>
      </c>
      <c r="H441">
        <v>286</v>
      </c>
      <c r="I441">
        <v>30</v>
      </c>
      <c r="J441">
        <v>1</v>
      </c>
    </row>
    <row r="442" spans="1:10" x14ac:dyDescent="0.3">
      <c r="A442">
        <v>335</v>
      </c>
      <c r="B442">
        <v>3</v>
      </c>
      <c r="C442">
        <v>1</v>
      </c>
      <c r="D442">
        <v>4</v>
      </c>
      <c r="E442">
        <v>0</v>
      </c>
      <c r="F442">
        <v>5</v>
      </c>
      <c r="G442">
        <v>1.1499999999999999</v>
      </c>
      <c r="H442">
        <v>97</v>
      </c>
      <c r="I442">
        <v>1</v>
      </c>
      <c r="J442">
        <v>6</v>
      </c>
    </row>
    <row r="443" spans="1:10" x14ac:dyDescent="0.3">
      <c r="A443">
        <v>450</v>
      </c>
      <c r="B443">
        <v>2</v>
      </c>
      <c r="C443">
        <v>1.5</v>
      </c>
      <c r="D443">
        <v>4</v>
      </c>
      <c r="E443">
        <v>0</v>
      </c>
      <c r="F443">
        <v>3</v>
      </c>
      <c r="G443">
        <v>0.33</v>
      </c>
      <c r="H443">
        <v>138</v>
      </c>
      <c r="I443">
        <v>30</v>
      </c>
      <c r="J443">
        <v>4</v>
      </c>
    </row>
    <row r="444" spans="1:10" x14ac:dyDescent="0.3">
      <c r="A444">
        <v>96</v>
      </c>
      <c r="B444">
        <v>1</v>
      </c>
      <c r="C444">
        <v>1</v>
      </c>
      <c r="D444">
        <v>4</v>
      </c>
      <c r="E444">
        <v>1</v>
      </c>
      <c r="F444">
        <v>2</v>
      </c>
      <c r="G444">
        <v>0.42</v>
      </c>
      <c r="H444">
        <v>264</v>
      </c>
      <c r="I444">
        <v>30</v>
      </c>
      <c r="J444">
        <v>2</v>
      </c>
    </row>
    <row r="445" spans="1:10" x14ac:dyDescent="0.3">
      <c r="A445">
        <v>119</v>
      </c>
      <c r="B445">
        <v>2</v>
      </c>
      <c r="C445">
        <v>1</v>
      </c>
      <c r="D445">
        <v>4</v>
      </c>
      <c r="E445">
        <v>0</v>
      </c>
      <c r="F445">
        <v>3</v>
      </c>
      <c r="G445">
        <v>0.69</v>
      </c>
      <c r="H445">
        <v>326</v>
      </c>
      <c r="I445">
        <v>30</v>
      </c>
      <c r="J445">
        <v>4</v>
      </c>
    </row>
    <row r="446" spans="1:10" x14ac:dyDescent="0.3">
      <c r="A446">
        <v>280</v>
      </c>
      <c r="B446">
        <v>1</v>
      </c>
      <c r="C446">
        <v>1</v>
      </c>
      <c r="D446">
        <v>4</v>
      </c>
      <c r="E446">
        <v>0</v>
      </c>
      <c r="F446">
        <v>8</v>
      </c>
      <c r="G446">
        <v>0.97</v>
      </c>
      <c r="H446">
        <v>221</v>
      </c>
      <c r="I446">
        <v>1</v>
      </c>
      <c r="J446">
        <v>2</v>
      </c>
    </row>
    <row r="447" spans="1:10" x14ac:dyDescent="0.3">
      <c r="A447">
        <v>361</v>
      </c>
      <c r="B447">
        <v>1</v>
      </c>
      <c r="C447">
        <v>1</v>
      </c>
      <c r="D447">
        <v>4</v>
      </c>
      <c r="E447">
        <v>0</v>
      </c>
      <c r="F447">
        <v>9</v>
      </c>
      <c r="G447">
        <v>1.1000000000000001</v>
      </c>
      <c r="H447">
        <v>230</v>
      </c>
      <c r="I447">
        <v>1</v>
      </c>
      <c r="J447">
        <v>2</v>
      </c>
    </row>
    <row r="448" spans="1:10" x14ac:dyDescent="0.3">
      <c r="A448">
        <v>90</v>
      </c>
      <c r="B448">
        <v>1</v>
      </c>
      <c r="C448">
        <v>1</v>
      </c>
      <c r="D448">
        <v>4</v>
      </c>
      <c r="E448">
        <v>0</v>
      </c>
      <c r="F448">
        <v>3</v>
      </c>
      <c r="G448">
        <v>0.56000000000000005</v>
      </c>
      <c r="H448">
        <v>124</v>
      </c>
      <c r="I448">
        <v>30</v>
      </c>
      <c r="J448">
        <v>2</v>
      </c>
    </row>
    <row r="449" spans="1:10" x14ac:dyDescent="0.3">
      <c r="A449">
        <v>285</v>
      </c>
      <c r="B449">
        <v>3</v>
      </c>
      <c r="C449">
        <v>1</v>
      </c>
      <c r="D449">
        <v>4</v>
      </c>
      <c r="E449">
        <v>0</v>
      </c>
      <c r="F449">
        <v>4</v>
      </c>
      <c r="G449">
        <v>0.59</v>
      </c>
      <c r="H449">
        <v>147</v>
      </c>
      <c r="I449">
        <v>30</v>
      </c>
      <c r="J449">
        <v>6</v>
      </c>
    </row>
    <row r="450" spans="1:10" x14ac:dyDescent="0.3">
      <c r="A450">
        <v>54</v>
      </c>
      <c r="B450">
        <v>1</v>
      </c>
      <c r="C450">
        <v>1</v>
      </c>
      <c r="D450">
        <v>4</v>
      </c>
      <c r="E450">
        <v>0</v>
      </c>
      <c r="F450">
        <v>2</v>
      </c>
      <c r="G450">
        <v>0.27</v>
      </c>
      <c r="H450">
        <v>236</v>
      </c>
      <c r="I450">
        <v>30</v>
      </c>
      <c r="J450">
        <v>1</v>
      </c>
    </row>
    <row r="451" spans="1:10" x14ac:dyDescent="0.3">
      <c r="A451">
        <v>238</v>
      </c>
      <c r="B451">
        <v>1</v>
      </c>
      <c r="C451">
        <v>1</v>
      </c>
      <c r="D451">
        <v>4</v>
      </c>
      <c r="E451">
        <v>1</v>
      </c>
      <c r="F451">
        <v>33</v>
      </c>
      <c r="G451">
        <v>3.75</v>
      </c>
      <c r="H451">
        <v>232</v>
      </c>
      <c r="I451">
        <v>1</v>
      </c>
      <c r="J451">
        <v>2</v>
      </c>
    </row>
    <row r="452" spans="1:10" x14ac:dyDescent="0.3">
      <c r="A452">
        <v>225</v>
      </c>
      <c r="B452">
        <v>1</v>
      </c>
      <c r="C452">
        <v>1</v>
      </c>
      <c r="D452">
        <v>4</v>
      </c>
      <c r="E452">
        <v>1</v>
      </c>
      <c r="F452">
        <v>1</v>
      </c>
      <c r="G452">
        <v>0.65</v>
      </c>
      <c r="H452">
        <v>214</v>
      </c>
      <c r="I452">
        <v>30</v>
      </c>
      <c r="J452">
        <v>2</v>
      </c>
    </row>
    <row r="453" spans="1:10" x14ac:dyDescent="0.3">
      <c r="A453">
        <v>104</v>
      </c>
      <c r="B453">
        <v>1</v>
      </c>
      <c r="C453">
        <v>1</v>
      </c>
      <c r="D453">
        <v>4</v>
      </c>
      <c r="E453">
        <v>0</v>
      </c>
      <c r="F453">
        <v>36</v>
      </c>
      <c r="G453">
        <v>4.2699999999999996</v>
      </c>
      <c r="H453">
        <v>85</v>
      </c>
      <c r="I453">
        <v>1</v>
      </c>
      <c r="J453">
        <v>1</v>
      </c>
    </row>
    <row r="454" spans="1:10" x14ac:dyDescent="0.3">
      <c r="A454">
        <v>257</v>
      </c>
      <c r="B454">
        <v>1</v>
      </c>
      <c r="C454">
        <v>1</v>
      </c>
      <c r="D454">
        <v>4</v>
      </c>
      <c r="E454">
        <v>0</v>
      </c>
      <c r="F454">
        <v>2</v>
      </c>
      <c r="G454">
        <v>0.45</v>
      </c>
      <c r="H454">
        <v>298</v>
      </c>
      <c r="I454">
        <v>30</v>
      </c>
      <c r="J454">
        <v>2</v>
      </c>
    </row>
    <row r="455" spans="1:10" x14ac:dyDescent="0.3">
      <c r="A455">
        <v>180</v>
      </c>
      <c r="B455">
        <v>1</v>
      </c>
      <c r="C455">
        <v>1</v>
      </c>
      <c r="D455">
        <v>4</v>
      </c>
      <c r="E455">
        <v>0</v>
      </c>
      <c r="F455">
        <v>2</v>
      </c>
      <c r="G455">
        <v>0.48</v>
      </c>
      <c r="H455">
        <v>356</v>
      </c>
      <c r="I455">
        <v>30</v>
      </c>
      <c r="J455">
        <v>2</v>
      </c>
    </row>
    <row r="456" spans="1:10" x14ac:dyDescent="0.3">
      <c r="A456">
        <v>263</v>
      </c>
      <c r="B456">
        <v>2</v>
      </c>
      <c r="C456">
        <v>1</v>
      </c>
      <c r="D456">
        <v>4</v>
      </c>
      <c r="E456">
        <v>1</v>
      </c>
      <c r="F456">
        <v>5</v>
      </c>
      <c r="G456">
        <v>0.68</v>
      </c>
      <c r="H456">
        <v>348</v>
      </c>
      <c r="I456">
        <v>1</v>
      </c>
      <c r="J456">
        <v>4</v>
      </c>
    </row>
    <row r="457" spans="1:10" x14ac:dyDescent="0.3">
      <c r="A457">
        <v>255</v>
      </c>
      <c r="B457">
        <v>2</v>
      </c>
      <c r="C457">
        <v>1</v>
      </c>
      <c r="D457">
        <v>4</v>
      </c>
      <c r="E457">
        <v>1</v>
      </c>
      <c r="F457">
        <v>8</v>
      </c>
      <c r="G457">
        <v>1.37</v>
      </c>
      <c r="H457">
        <v>318</v>
      </c>
      <c r="I457">
        <v>1</v>
      </c>
      <c r="J457">
        <v>4</v>
      </c>
    </row>
    <row r="458" spans="1:10" x14ac:dyDescent="0.3">
      <c r="A458">
        <v>194</v>
      </c>
      <c r="B458">
        <v>2</v>
      </c>
      <c r="C458">
        <v>1</v>
      </c>
      <c r="D458">
        <v>4</v>
      </c>
      <c r="E458">
        <v>0</v>
      </c>
      <c r="F458">
        <v>4</v>
      </c>
      <c r="G458">
        <v>0.67</v>
      </c>
      <c r="H458">
        <v>243</v>
      </c>
      <c r="I458">
        <v>30</v>
      </c>
      <c r="J458">
        <v>4</v>
      </c>
    </row>
    <row r="459" spans="1:10" x14ac:dyDescent="0.3">
      <c r="A459">
        <v>155</v>
      </c>
      <c r="B459">
        <v>2</v>
      </c>
      <c r="C459">
        <v>0</v>
      </c>
      <c r="D459">
        <v>4</v>
      </c>
      <c r="E459">
        <v>0</v>
      </c>
      <c r="F459">
        <v>2</v>
      </c>
      <c r="G459">
        <v>0.33</v>
      </c>
      <c r="H459">
        <v>273</v>
      </c>
      <c r="I459">
        <v>30</v>
      </c>
      <c r="J459">
        <v>4</v>
      </c>
    </row>
    <row r="460" spans="1:10" x14ac:dyDescent="0.3">
      <c r="A460">
        <v>137</v>
      </c>
      <c r="B460">
        <v>1</v>
      </c>
      <c r="C460">
        <v>1</v>
      </c>
      <c r="D460">
        <v>4</v>
      </c>
      <c r="E460">
        <v>0</v>
      </c>
      <c r="F460">
        <v>1</v>
      </c>
      <c r="G460">
        <v>0.48</v>
      </c>
      <c r="H460">
        <v>271</v>
      </c>
      <c r="I460">
        <v>30</v>
      </c>
      <c r="J460">
        <v>2</v>
      </c>
    </row>
    <row r="461" spans="1:10" x14ac:dyDescent="0.3">
      <c r="A461">
        <v>237</v>
      </c>
      <c r="B461">
        <v>2</v>
      </c>
      <c r="C461">
        <v>1</v>
      </c>
      <c r="D461">
        <v>4</v>
      </c>
      <c r="E461">
        <v>0</v>
      </c>
      <c r="F461">
        <v>1</v>
      </c>
      <c r="G461">
        <v>0.91</v>
      </c>
      <c r="H461">
        <v>364</v>
      </c>
      <c r="I461">
        <v>30</v>
      </c>
      <c r="J461">
        <v>4</v>
      </c>
    </row>
    <row r="462" spans="1:10" x14ac:dyDescent="0.3">
      <c r="A462">
        <v>339</v>
      </c>
      <c r="B462">
        <v>3</v>
      </c>
      <c r="C462">
        <v>1</v>
      </c>
      <c r="D462">
        <v>4</v>
      </c>
      <c r="E462">
        <v>1</v>
      </c>
      <c r="F462">
        <v>8</v>
      </c>
      <c r="G462">
        <v>1.01</v>
      </c>
      <c r="H462">
        <v>288</v>
      </c>
      <c r="I462">
        <v>1</v>
      </c>
      <c r="J462">
        <v>5</v>
      </c>
    </row>
    <row r="463" spans="1:10" x14ac:dyDescent="0.3">
      <c r="A463">
        <v>180</v>
      </c>
      <c r="B463">
        <v>1</v>
      </c>
      <c r="C463">
        <v>1.5</v>
      </c>
      <c r="D463">
        <v>4</v>
      </c>
      <c r="E463">
        <v>0</v>
      </c>
      <c r="F463">
        <v>1</v>
      </c>
      <c r="G463">
        <v>0.5</v>
      </c>
      <c r="H463">
        <v>85</v>
      </c>
      <c r="I463">
        <v>30</v>
      </c>
      <c r="J463">
        <v>3</v>
      </c>
    </row>
    <row r="464" spans="1:10" x14ac:dyDescent="0.3">
      <c r="A464">
        <v>162</v>
      </c>
      <c r="B464">
        <v>1</v>
      </c>
      <c r="C464">
        <v>1</v>
      </c>
      <c r="D464">
        <v>4</v>
      </c>
      <c r="E464">
        <v>1</v>
      </c>
      <c r="F464">
        <v>6</v>
      </c>
      <c r="G464">
        <v>0.92</v>
      </c>
      <c r="H464">
        <v>282</v>
      </c>
      <c r="I464">
        <v>1</v>
      </c>
      <c r="J464">
        <v>2</v>
      </c>
    </row>
    <row r="465" spans="1:10" x14ac:dyDescent="0.3">
      <c r="A465">
        <v>154</v>
      </c>
      <c r="B465">
        <v>3</v>
      </c>
      <c r="C465">
        <v>1</v>
      </c>
      <c r="D465">
        <v>4</v>
      </c>
      <c r="E465">
        <v>1</v>
      </c>
      <c r="F465">
        <v>8</v>
      </c>
      <c r="G465">
        <v>1.45</v>
      </c>
      <c r="H465">
        <v>271</v>
      </c>
      <c r="I465">
        <v>1</v>
      </c>
      <c r="J465">
        <v>4</v>
      </c>
    </row>
    <row r="466" spans="1:10" x14ac:dyDescent="0.3">
      <c r="A466">
        <v>240</v>
      </c>
      <c r="B466">
        <v>1</v>
      </c>
      <c r="C466">
        <v>1</v>
      </c>
      <c r="D466">
        <v>4</v>
      </c>
      <c r="E466">
        <v>1</v>
      </c>
      <c r="F466">
        <v>2</v>
      </c>
      <c r="G466">
        <v>0.47</v>
      </c>
      <c r="H466">
        <v>114</v>
      </c>
      <c r="I466">
        <v>1</v>
      </c>
      <c r="J466">
        <v>2</v>
      </c>
    </row>
    <row r="467" spans="1:10" x14ac:dyDescent="0.3">
      <c r="A467">
        <v>226</v>
      </c>
      <c r="B467">
        <v>1</v>
      </c>
      <c r="C467">
        <v>1</v>
      </c>
      <c r="D467">
        <v>4</v>
      </c>
      <c r="E467">
        <v>1</v>
      </c>
      <c r="F467">
        <v>2</v>
      </c>
      <c r="G467">
        <v>0.39</v>
      </c>
      <c r="H467">
        <v>105</v>
      </c>
      <c r="I467">
        <v>1</v>
      </c>
      <c r="J467">
        <v>2</v>
      </c>
    </row>
    <row r="468" spans="1:10" x14ac:dyDescent="0.3">
      <c r="A468">
        <v>222</v>
      </c>
      <c r="B468">
        <v>1</v>
      </c>
      <c r="C468">
        <v>1</v>
      </c>
      <c r="D468">
        <v>4</v>
      </c>
      <c r="E468">
        <v>1</v>
      </c>
      <c r="F468">
        <v>8</v>
      </c>
      <c r="G468">
        <v>1.94</v>
      </c>
      <c r="H468">
        <v>111</v>
      </c>
      <c r="I468">
        <v>1</v>
      </c>
      <c r="J468">
        <v>2</v>
      </c>
    </row>
    <row r="469" spans="1:10" x14ac:dyDescent="0.3">
      <c r="A469">
        <v>150</v>
      </c>
      <c r="B469">
        <v>1</v>
      </c>
      <c r="C469">
        <v>1</v>
      </c>
      <c r="D469">
        <v>4</v>
      </c>
      <c r="E469">
        <v>0</v>
      </c>
      <c r="F469">
        <v>2</v>
      </c>
      <c r="G469">
        <v>0.71</v>
      </c>
      <c r="H469">
        <v>336</v>
      </c>
      <c r="I469">
        <v>30</v>
      </c>
      <c r="J469">
        <v>2</v>
      </c>
    </row>
    <row r="470" spans="1:10" x14ac:dyDescent="0.3">
      <c r="A470">
        <v>379</v>
      </c>
      <c r="B470">
        <v>1</v>
      </c>
      <c r="C470">
        <v>1</v>
      </c>
      <c r="D470">
        <v>4</v>
      </c>
      <c r="E470">
        <v>0</v>
      </c>
      <c r="F470">
        <v>1</v>
      </c>
      <c r="G470">
        <v>0.53</v>
      </c>
      <c r="H470">
        <v>119</v>
      </c>
      <c r="I470">
        <v>30</v>
      </c>
      <c r="J470">
        <v>2</v>
      </c>
    </row>
    <row r="471" spans="1:10" x14ac:dyDescent="0.3">
      <c r="A471">
        <v>289</v>
      </c>
      <c r="B471">
        <v>1</v>
      </c>
      <c r="C471">
        <v>1</v>
      </c>
      <c r="D471">
        <v>4</v>
      </c>
      <c r="E471">
        <v>0</v>
      </c>
      <c r="F471">
        <v>2</v>
      </c>
      <c r="G471">
        <v>0.44</v>
      </c>
      <c r="H471">
        <v>348</v>
      </c>
      <c r="I471">
        <v>30</v>
      </c>
      <c r="J471">
        <v>2</v>
      </c>
    </row>
    <row r="472" spans="1:10" x14ac:dyDescent="0.3">
      <c r="A472">
        <v>277</v>
      </c>
      <c r="B472">
        <v>1</v>
      </c>
      <c r="C472">
        <v>1</v>
      </c>
      <c r="D472">
        <v>4</v>
      </c>
      <c r="E472">
        <v>1</v>
      </c>
      <c r="F472">
        <v>3</v>
      </c>
      <c r="G472">
        <v>0.45</v>
      </c>
      <c r="H472">
        <v>96</v>
      </c>
      <c r="I472">
        <v>1</v>
      </c>
      <c r="J472">
        <v>2</v>
      </c>
    </row>
    <row r="473" spans="1:10" x14ac:dyDescent="0.3">
      <c r="A473">
        <v>135</v>
      </c>
      <c r="B473">
        <v>2</v>
      </c>
      <c r="C473">
        <v>1</v>
      </c>
      <c r="D473">
        <v>4</v>
      </c>
      <c r="E473">
        <v>0</v>
      </c>
      <c r="F473">
        <v>1</v>
      </c>
      <c r="G473">
        <v>0.56999999999999995</v>
      </c>
      <c r="H473">
        <v>275</v>
      </c>
      <c r="I473">
        <v>30</v>
      </c>
      <c r="J473">
        <v>4</v>
      </c>
    </row>
    <row r="474" spans="1:10" x14ac:dyDescent="0.3">
      <c r="A474">
        <v>175</v>
      </c>
      <c r="B474">
        <v>1</v>
      </c>
      <c r="C474">
        <v>1.5</v>
      </c>
      <c r="D474">
        <v>4</v>
      </c>
      <c r="E474">
        <v>0</v>
      </c>
      <c r="F474">
        <v>2</v>
      </c>
      <c r="G474">
        <v>0.57999999999999996</v>
      </c>
      <c r="H474">
        <v>182</v>
      </c>
      <c r="I474">
        <v>30</v>
      </c>
      <c r="J474">
        <v>3</v>
      </c>
    </row>
    <row r="475" spans="1:10" x14ac:dyDescent="0.3">
      <c r="A475">
        <v>143</v>
      </c>
      <c r="B475">
        <v>2</v>
      </c>
      <c r="C475">
        <v>1</v>
      </c>
      <c r="D475">
        <v>4</v>
      </c>
      <c r="E475">
        <v>0</v>
      </c>
      <c r="F475">
        <v>3</v>
      </c>
      <c r="G475">
        <v>0.54</v>
      </c>
      <c r="H475">
        <v>243</v>
      </c>
      <c r="I475">
        <v>30</v>
      </c>
      <c r="J475">
        <v>5</v>
      </c>
    </row>
    <row r="476" spans="1:10" x14ac:dyDescent="0.3">
      <c r="A476">
        <v>185</v>
      </c>
      <c r="B476">
        <v>1</v>
      </c>
      <c r="C476">
        <v>1</v>
      </c>
      <c r="D476">
        <v>4</v>
      </c>
      <c r="E476">
        <v>0</v>
      </c>
      <c r="F476">
        <v>1</v>
      </c>
      <c r="G476">
        <v>0.49</v>
      </c>
      <c r="H476">
        <v>283</v>
      </c>
      <c r="I476">
        <v>30</v>
      </c>
      <c r="J476">
        <v>2</v>
      </c>
    </row>
    <row r="477" spans="1:10" x14ac:dyDescent="0.3">
      <c r="A477">
        <v>60</v>
      </c>
      <c r="B477">
        <v>1</v>
      </c>
      <c r="C477">
        <v>1</v>
      </c>
      <c r="D477">
        <v>4</v>
      </c>
      <c r="E477">
        <v>1</v>
      </c>
      <c r="F477">
        <v>1</v>
      </c>
      <c r="G477">
        <v>0.48</v>
      </c>
      <c r="H477">
        <v>169</v>
      </c>
      <c r="I477">
        <v>30</v>
      </c>
      <c r="J477">
        <v>1</v>
      </c>
    </row>
    <row r="478" spans="1:10" x14ac:dyDescent="0.3">
      <c r="A478">
        <v>80</v>
      </c>
      <c r="B478">
        <v>1</v>
      </c>
      <c r="C478">
        <v>1</v>
      </c>
      <c r="D478">
        <v>4</v>
      </c>
      <c r="E478">
        <v>1</v>
      </c>
      <c r="F478">
        <v>1</v>
      </c>
      <c r="G478">
        <v>0.48</v>
      </c>
      <c r="H478">
        <v>334</v>
      </c>
      <c r="I478">
        <v>30</v>
      </c>
      <c r="J478">
        <v>1</v>
      </c>
    </row>
    <row r="479" spans="1:10" x14ac:dyDescent="0.3">
      <c r="A479">
        <v>75</v>
      </c>
      <c r="B479">
        <v>1</v>
      </c>
      <c r="C479">
        <v>1</v>
      </c>
      <c r="D479">
        <v>4</v>
      </c>
      <c r="E479">
        <v>0</v>
      </c>
      <c r="F479">
        <v>1</v>
      </c>
      <c r="G479">
        <v>0.67</v>
      </c>
      <c r="H479">
        <v>269</v>
      </c>
      <c r="I479">
        <v>30</v>
      </c>
      <c r="J479">
        <v>2</v>
      </c>
    </row>
    <row r="480" spans="1:10" x14ac:dyDescent="0.3">
      <c r="A480">
        <v>53</v>
      </c>
      <c r="B480">
        <v>1</v>
      </c>
      <c r="C480">
        <v>1</v>
      </c>
      <c r="D480">
        <v>4</v>
      </c>
      <c r="E480">
        <v>1</v>
      </c>
      <c r="F480">
        <v>1</v>
      </c>
      <c r="G480">
        <v>0.48</v>
      </c>
      <c r="H480">
        <v>59</v>
      </c>
      <c r="I480">
        <v>30</v>
      </c>
      <c r="J480">
        <v>2</v>
      </c>
    </row>
    <row r="481" spans="1:10" x14ac:dyDescent="0.3">
      <c r="A481">
        <v>243</v>
      </c>
      <c r="B481">
        <v>1</v>
      </c>
      <c r="C481">
        <v>1</v>
      </c>
      <c r="D481">
        <v>4</v>
      </c>
      <c r="E481">
        <v>0</v>
      </c>
      <c r="F481">
        <v>10</v>
      </c>
      <c r="G481">
        <v>1.89</v>
      </c>
      <c r="H481">
        <v>244</v>
      </c>
      <c r="I481">
        <v>4</v>
      </c>
      <c r="J481">
        <v>2</v>
      </c>
    </row>
    <row r="482" spans="1:10" x14ac:dyDescent="0.3">
      <c r="A482">
        <v>180</v>
      </c>
      <c r="B482">
        <v>2</v>
      </c>
      <c r="C482">
        <v>1</v>
      </c>
      <c r="D482">
        <v>4</v>
      </c>
      <c r="E482">
        <v>0</v>
      </c>
      <c r="F482">
        <v>7</v>
      </c>
      <c r="G482">
        <v>1.72</v>
      </c>
      <c r="H482">
        <v>191</v>
      </c>
      <c r="I482">
        <v>1</v>
      </c>
      <c r="J482">
        <v>4</v>
      </c>
    </row>
    <row r="483" spans="1:10" x14ac:dyDescent="0.3">
      <c r="A483">
        <v>54</v>
      </c>
      <c r="B483">
        <v>1</v>
      </c>
      <c r="C483">
        <v>1</v>
      </c>
      <c r="D483">
        <v>4</v>
      </c>
      <c r="E483">
        <v>1</v>
      </c>
      <c r="F483">
        <v>2</v>
      </c>
      <c r="G483">
        <v>0.39</v>
      </c>
      <c r="H483">
        <v>280</v>
      </c>
      <c r="I483">
        <v>30</v>
      </c>
      <c r="J483">
        <v>1</v>
      </c>
    </row>
    <row r="484" spans="1:10" x14ac:dyDescent="0.3">
      <c r="A484">
        <v>171</v>
      </c>
      <c r="B484">
        <v>2</v>
      </c>
      <c r="C484">
        <v>1</v>
      </c>
      <c r="D484">
        <v>4</v>
      </c>
      <c r="E484">
        <v>0</v>
      </c>
      <c r="F484">
        <v>2</v>
      </c>
      <c r="G484">
        <v>0.5</v>
      </c>
      <c r="H484">
        <v>254</v>
      </c>
      <c r="I484">
        <v>30</v>
      </c>
      <c r="J484">
        <v>4</v>
      </c>
    </row>
    <row r="485" spans="1:10" x14ac:dyDescent="0.3">
      <c r="A485">
        <v>170</v>
      </c>
      <c r="B485">
        <v>2</v>
      </c>
      <c r="C485">
        <v>2</v>
      </c>
      <c r="D485">
        <v>4</v>
      </c>
      <c r="E485">
        <v>0</v>
      </c>
      <c r="F485">
        <v>1</v>
      </c>
      <c r="G485">
        <v>0.59</v>
      </c>
      <c r="H485">
        <v>335</v>
      </c>
      <c r="I485">
        <v>30</v>
      </c>
      <c r="J485">
        <v>4</v>
      </c>
    </row>
    <row r="486" spans="1:10" x14ac:dyDescent="0.3">
      <c r="A486">
        <v>150</v>
      </c>
      <c r="B486">
        <v>1</v>
      </c>
      <c r="C486">
        <v>1</v>
      </c>
      <c r="D486">
        <v>4</v>
      </c>
      <c r="E486">
        <v>0</v>
      </c>
      <c r="F486">
        <v>2</v>
      </c>
      <c r="G486">
        <v>0.49</v>
      </c>
      <c r="H486">
        <v>294</v>
      </c>
      <c r="I486">
        <v>30</v>
      </c>
      <c r="J486">
        <v>2</v>
      </c>
    </row>
    <row r="487" spans="1:10" x14ac:dyDescent="0.3">
      <c r="A487">
        <v>140</v>
      </c>
      <c r="B487">
        <v>1</v>
      </c>
      <c r="C487">
        <v>1</v>
      </c>
      <c r="D487">
        <v>4</v>
      </c>
      <c r="E487">
        <v>0</v>
      </c>
      <c r="F487">
        <v>1</v>
      </c>
      <c r="G487">
        <v>0.91</v>
      </c>
      <c r="H487">
        <v>32</v>
      </c>
      <c r="I487">
        <v>30</v>
      </c>
      <c r="J487">
        <v>2</v>
      </c>
    </row>
    <row r="488" spans="1:10" x14ac:dyDescent="0.3">
      <c r="A488">
        <v>433</v>
      </c>
      <c r="B488">
        <v>2</v>
      </c>
      <c r="C488">
        <v>1</v>
      </c>
      <c r="D488">
        <v>4</v>
      </c>
      <c r="E488">
        <v>0</v>
      </c>
      <c r="F488">
        <v>18</v>
      </c>
      <c r="G488">
        <v>0.47</v>
      </c>
      <c r="H488">
        <v>257</v>
      </c>
      <c r="I488">
        <v>1</v>
      </c>
      <c r="J488">
        <v>4</v>
      </c>
    </row>
    <row r="489" spans="1:10" x14ac:dyDescent="0.3">
      <c r="A489">
        <v>394</v>
      </c>
      <c r="B489">
        <v>1</v>
      </c>
      <c r="C489">
        <v>1</v>
      </c>
      <c r="D489">
        <v>4</v>
      </c>
      <c r="E489">
        <v>0</v>
      </c>
      <c r="F489">
        <v>3</v>
      </c>
      <c r="G489">
        <v>0.18</v>
      </c>
      <c r="H489">
        <v>300</v>
      </c>
      <c r="I489">
        <v>1</v>
      </c>
      <c r="J489">
        <v>2</v>
      </c>
    </row>
    <row r="490" spans="1:10" x14ac:dyDescent="0.3">
      <c r="A490">
        <v>394</v>
      </c>
      <c r="B490">
        <v>1</v>
      </c>
      <c r="C490">
        <v>1</v>
      </c>
      <c r="D490">
        <v>4</v>
      </c>
      <c r="E490">
        <v>0</v>
      </c>
      <c r="F490">
        <v>8</v>
      </c>
      <c r="G490">
        <v>0.35</v>
      </c>
      <c r="H490">
        <v>300</v>
      </c>
      <c r="I490">
        <v>1</v>
      </c>
      <c r="J490">
        <v>2</v>
      </c>
    </row>
    <row r="491" spans="1:10" x14ac:dyDescent="0.3">
      <c r="A491">
        <v>92</v>
      </c>
      <c r="B491">
        <v>1</v>
      </c>
      <c r="C491">
        <v>1</v>
      </c>
      <c r="D491">
        <v>4</v>
      </c>
      <c r="E491">
        <v>0</v>
      </c>
      <c r="F491">
        <v>1</v>
      </c>
      <c r="G491">
        <v>0.48</v>
      </c>
      <c r="H491">
        <v>92</v>
      </c>
      <c r="I491">
        <v>30</v>
      </c>
      <c r="J491">
        <v>2</v>
      </c>
    </row>
    <row r="492" spans="1:10" x14ac:dyDescent="0.3">
      <c r="A492">
        <v>179</v>
      </c>
      <c r="B492">
        <v>2</v>
      </c>
      <c r="C492">
        <v>1</v>
      </c>
      <c r="D492">
        <v>4</v>
      </c>
      <c r="E492">
        <v>0</v>
      </c>
      <c r="F492">
        <v>1</v>
      </c>
      <c r="G492">
        <v>0.51</v>
      </c>
      <c r="H492">
        <v>133</v>
      </c>
      <c r="I492">
        <v>30</v>
      </c>
      <c r="J492">
        <v>4</v>
      </c>
    </row>
    <row r="493" spans="1:10" x14ac:dyDescent="0.3">
      <c r="A493">
        <v>150</v>
      </c>
      <c r="B493">
        <v>1</v>
      </c>
      <c r="C493">
        <v>1</v>
      </c>
      <c r="D493">
        <v>4</v>
      </c>
      <c r="E493">
        <v>0</v>
      </c>
      <c r="F493">
        <v>2</v>
      </c>
      <c r="G493">
        <v>0.67</v>
      </c>
      <c r="H493">
        <v>365</v>
      </c>
      <c r="I493">
        <v>30</v>
      </c>
      <c r="J493">
        <v>2</v>
      </c>
    </row>
    <row r="494" spans="1:10" x14ac:dyDescent="0.3">
      <c r="A494">
        <v>125</v>
      </c>
      <c r="B494">
        <v>1</v>
      </c>
      <c r="C494">
        <v>1</v>
      </c>
      <c r="D494">
        <v>4</v>
      </c>
      <c r="E494">
        <v>0</v>
      </c>
      <c r="F494">
        <v>1</v>
      </c>
      <c r="G494">
        <v>0.48</v>
      </c>
      <c r="H494">
        <v>270</v>
      </c>
      <c r="I494">
        <v>30</v>
      </c>
      <c r="J494">
        <v>2</v>
      </c>
    </row>
    <row r="495" spans="1:10" x14ac:dyDescent="0.3">
      <c r="A495">
        <v>239</v>
      </c>
      <c r="B495">
        <v>1</v>
      </c>
      <c r="C495">
        <v>1</v>
      </c>
      <c r="D495">
        <v>4</v>
      </c>
      <c r="E495">
        <v>0</v>
      </c>
      <c r="F495">
        <v>1</v>
      </c>
      <c r="G495">
        <v>0.79</v>
      </c>
      <c r="H495">
        <v>218</v>
      </c>
      <c r="I495">
        <v>3</v>
      </c>
      <c r="J495">
        <v>3</v>
      </c>
    </row>
    <row r="496" spans="1:10" x14ac:dyDescent="0.3">
      <c r="A496">
        <v>105</v>
      </c>
      <c r="B496">
        <v>1</v>
      </c>
      <c r="C496">
        <v>1</v>
      </c>
      <c r="D496">
        <v>4</v>
      </c>
      <c r="E496">
        <v>0</v>
      </c>
      <c r="F496">
        <v>1</v>
      </c>
      <c r="G496">
        <v>0.6</v>
      </c>
      <c r="H496">
        <v>274</v>
      </c>
      <c r="I496">
        <v>30</v>
      </c>
      <c r="J496">
        <v>3</v>
      </c>
    </row>
    <row r="497" spans="1:10" x14ac:dyDescent="0.3">
      <c r="A497">
        <v>260</v>
      </c>
      <c r="B497">
        <v>2</v>
      </c>
      <c r="C497">
        <v>1</v>
      </c>
      <c r="D497">
        <v>4</v>
      </c>
      <c r="E497">
        <v>1</v>
      </c>
      <c r="F497">
        <v>5</v>
      </c>
      <c r="G497">
        <v>1.39</v>
      </c>
      <c r="H497">
        <v>291</v>
      </c>
      <c r="I497">
        <v>1</v>
      </c>
      <c r="J497">
        <v>8</v>
      </c>
    </row>
    <row r="498" spans="1:10" x14ac:dyDescent="0.3">
      <c r="A498">
        <v>276</v>
      </c>
      <c r="B498">
        <v>4</v>
      </c>
      <c r="C498">
        <v>0</v>
      </c>
      <c r="D498">
        <v>4</v>
      </c>
      <c r="E498">
        <v>1</v>
      </c>
      <c r="F498">
        <v>2</v>
      </c>
      <c r="G498">
        <v>0.46</v>
      </c>
      <c r="H498">
        <v>282</v>
      </c>
      <c r="I498">
        <v>1</v>
      </c>
      <c r="J498">
        <v>8</v>
      </c>
    </row>
    <row r="499" spans="1:10" x14ac:dyDescent="0.3">
      <c r="A499">
        <v>120</v>
      </c>
      <c r="B499">
        <v>1</v>
      </c>
      <c r="C499">
        <v>1</v>
      </c>
      <c r="D499">
        <v>4</v>
      </c>
      <c r="E499">
        <v>0</v>
      </c>
      <c r="F499">
        <v>1</v>
      </c>
      <c r="G499">
        <v>0.48</v>
      </c>
      <c r="H499">
        <v>294</v>
      </c>
      <c r="I499">
        <v>30</v>
      </c>
      <c r="J499">
        <v>2</v>
      </c>
    </row>
    <row r="500" spans="1:10" x14ac:dyDescent="0.3">
      <c r="A500">
        <v>97</v>
      </c>
      <c r="B500">
        <v>1</v>
      </c>
      <c r="C500">
        <v>1</v>
      </c>
      <c r="D500">
        <v>4</v>
      </c>
      <c r="E500">
        <v>1</v>
      </c>
      <c r="F500">
        <v>1</v>
      </c>
      <c r="G500">
        <v>0.91</v>
      </c>
      <c r="H500">
        <v>91</v>
      </c>
      <c r="I500">
        <v>30</v>
      </c>
      <c r="J500">
        <v>1</v>
      </c>
    </row>
    <row r="501" spans="1:10" x14ac:dyDescent="0.3">
      <c r="A501">
        <v>103</v>
      </c>
      <c r="B501">
        <v>2</v>
      </c>
      <c r="C501">
        <v>1</v>
      </c>
      <c r="D501">
        <v>4</v>
      </c>
      <c r="E501">
        <v>0</v>
      </c>
      <c r="F501">
        <v>1</v>
      </c>
      <c r="G501">
        <v>0.64</v>
      </c>
      <c r="H501">
        <v>349</v>
      </c>
      <c r="I501">
        <v>30</v>
      </c>
      <c r="J501">
        <v>2</v>
      </c>
    </row>
    <row r="502" spans="1:10" x14ac:dyDescent="0.3">
      <c r="A502">
        <v>53</v>
      </c>
      <c r="B502">
        <v>1</v>
      </c>
      <c r="C502">
        <v>1</v>
      </c>
      <c r="D502">
        <v>4</v>
      </c>
      <c r="E502">
        <v>0</v>
      </c>
      <c r="F502">
        <v>1</v>
      </c>
      <c r="G502">
        <v>0.56000000000000005</v>
      </c>
      <c r="H502">
        <v>268</v>
      </c>
      <c r="I502">
        <v>30</v>
      </c>
      <c r="J502">
        <v>1</v>
      </c>
    </row>
    <row r="503" spans="1:10" x14ac:dyDescent="0.3">
      <c r="A503">
        <v>92</v>
      </c>
      <c r="B503">
        <v>2</v>
      </c>
      <c r="C503">
        <v>1</v>
      </c>
      <c r="D503">
        <v>4</v>
      </c>
      <c r="E503">
        <v>0</v>
      </c>
      <c r="F503">
        <v>1</v>
      </c>
      <c r="G503">
        <v>0.73</v>
      </c>
      <c r="H503">
        <v>126</v>
      </c>
      <c r="I503">
        <v>30</v>
      </c>
      <c r="J503">
        <v>4</v>
      </c>
    </row>
    <row r="504" spans="1:10" x14ac:dyDescent="0.3">
      <c r="A504">
        <v>68</v>
      </c>
      <c r="B504">
        <v>1</v>
      </c>
      <c r="C504">
        <v>2</v>
      </c>
      <c r="D504">
        <v>4</v>
      </c>
      <c r="E504">
        <v>1</v>
      </c>
      <c r="F504">
        <v>1</v>
      </c>
      <c r="G504">
        <v>0.77</v>
      </c>
      <c r="H504">
        <v>338</v>
      </c>
      <c r="I504">
        <v>30</v>
      </c>
      <c r="J504">
        <v>1</v>
      </c>
    </row>
    <row r="505" spans="1:10" x14ac:dyDescent="0.3">
      <c r="A505">
        <v>53</v>
      </c>
      <c r="B505">
        <v>1</v>
      </c>
      <c r="C505">
        <v>1</v>
      </c>
      <c r="D505">
        <v>4</v>
      </c>
      <c r="E505">
        <v>0</v>
      </c>
      <c r="F505">
        <v>1</v>
      </c>
      <c r="G505">
        <v>0.79</v>
      </c>
      <c r="H505">
        <v>153</v>
      </c>
      <c r="I505">
        <v>30</v>
      </c>
      <c r="J505">
        <v>1</v>
      </c>
    </row>
    <row r="506" spans="1:10" x14ac:dyDescent="0.3">
      <c r="A506">
        <v>354</v>
      </c>
      <c r="B506">
        <v>6</v>
      </c>
      <c r="C506">
        <v>1</v>
      </c>
      <c r="D506">
        <v>4</v>
      </c>
      <c r="E506">
        <v>0</v>
      </c>
      <c r="F506">
        <v>1</v>
      </c>
      <c r="G506">
        <v>0.52</v>
      </c>
      <c r="H506">
        <v>222</v>
      </c>
      <c r="I506">
        <v>5</v>
      </c>
      <c r="J506">
        <v>6</v>
      </c>
    </row>
    <row r="507" spans="1:10" x14ac:dyDescent="0.3">
      <c r="A507">
        <v>104</v>
      </c>
      <c r="B507">
        <v>3</v>
      </c>
      <c r="C507">
        <v>1</v>
      </c>
      <c r="D507">
        <v>4</v>
      </c>
      <c r="E507">
        <v>0</v>
      </c>
      <c r="F507">
        <v>2</v>
      </c>
      <c r="G507">
        <v>1.22</v>
      </c>
      <c r="H507">
        <v>52</v>
      </c>
      <c r="I507">
        <v>1</v>
      </c>
      <c r="J507">
        <v>2</v>
      </c>
    </row>
    <row r="508" spans="1:10" x14ac:dyDescent="0.3">
      <c r="A508">
        <v>274</v>
      </c>
      <c r="B508">
        <v>1</v>
      </c>
      <c r="C508">
        <v>1</v>
      </c>
      <c r="D508">
        <v>4</v>
      </c>
      <c r="E508">
        <v>1</v>
      </c>
      <c r="F508">
        <v>1</v>
      </c>
      <c r="G508">
        <v>0.56000000000000005</v>
      </c>
      <c r="H508">
        <v>91</v>
      </c>
      <c r="I508">
        <v>1</v>
      </c>
      <c r="J508">
        <v>2</v>
      </c>
    </row>
    <row r="509" spans="1:10" x14ac:dyDescent="0.3">
      <c r="A509">
        <v>359</v>
      </c>
      <c r="B509">
        <v>2</v>
      </c>
      <c r="C509">
        <v>1</v>
      </c>
      <c r="D509">
        <v>4</v>
      </c>
      <c r="E509">
        <v>1</v>
      </c>
      <c r="F509">
        <v>1</v>
      </c>
      <c r="G509">
        <v>0.83</v>
      </c>
      <c r="H509">
        <v>66</v>
      </c>
      <c r="I509">
        <v>1</v>
      </c>
      <c r="J509">
        <v>4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5CD10-1998-48F1-90DB-2200AC068A75}">
  <dimension ref="A1:B11"/>
  <sheetViews>
    <sheetView workbookViewId="0">
      <selection activeCell="R19" sqref="R19"/>
    </sheetView>
  </sheetViews>
  <sheetFormatPr defaultRowHeight="14.4" x14ac:dyDescent="0.3"/>
  <cols>
    <col min="2" max="2" width="16.109375" customWidth="1"/>
  </cols>
  <sheetData>
    <row r="1" spans="1:2" x14ac:dyDescent="0.3">
      <c r="A1" s="11" t="s">
        <v>14</v>
      </c>
      <c r="B1" s="11" t="s">
        <v>1450</v>
      </c>
    </row>
    <row r="2" spans="1:2" x14ac:dyDescent="0.3">
      <c r="A2" s="10">
        <v>59</v>
      </c>
      <c r="B2" s="9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94.070000000000007</v>
      </c>
    </row>
    <row r="3" spans="1:2" x14ac:dyDescent="0.3">
      <c r="A3" s="10">
        <v>85</v>
      </c>
      <c r="B3" s="9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82.510000000000019</v>
      </c>
    </row>
    <row r="4" spans="1:2" x14ac:dyDescent="0.3">
      <c r="A4" s="10">
        <v>90</v>
      </c>
      <c r="B4" s="9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83.670000000000016</v>
      </c>
    </row>
    <row r="5" spans="1:2" x14ac:dyDescent="0.3">
      <c r="A5" s="10">
        <v>116</v>
      </c>
      <c r="B5" s="9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154.95000000000002</v>
      </c>
    </row>
    <row r="6" spans="1:2" x14ac:dyDescent="0.3">
      <c r="A6" s="10">
        <v>60</v>
      </c>
      <c r="B6" s="9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124.66000000000004</v>
      </c>
    </row>
    <row r="7" spans="1:2" x14ac:dyDescent="0.3">
      <c r="A7" s="10">
        <v>195</v>
      </c>
      <c r="B7" s="9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126.61000000000001</v>
      </c>
    </row>
    <row r="8" spans="1:2" x14ac:dyDescent="0.3">
      <c r="A8" s="10">
        <v>336</v>
      </c>
      <c r="B8" s="9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237.34000000000006</v>
      </c>
    </row>
    <row r="9" spans="1:2" x14ac:dyDescent="0.3">
      <c r="A9" s="10">
        <v>246</v>
      </c>
      <c r="B9" s="9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160.75000000000003</v>
      </c>
    </row>
    <row r="10" spans="1:2" x14ac:dyDescent="0.3">
      <c r="A10" s="10">
        <v>130</v>
      </c>
      <c r="B10" s="9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172.45000000000002</v>
      </c>
    </row>
    <row r="11" spans="1:2" x14ac:dyDescent="0.3">
      <c r="A11" s="10">
        <v>78</v>
      </c>
      <c r="B11" s="9">
        <f>155.11+(18.98*Table9[[#This Row],[Accommodates]])+(11.22*Table9[[#This Row],[Bathrooms]])-(3.35*Table9[[#This Row],[Minimum Nights]])-(0.04*Table9[[#This Row],[Availability 365]])-(43.3*Table9[[#This Row],[Room]])+(15.23*Table9[[#This Row],[Borough]])</f>
        <v>69.849999999999994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Clean UP</vt:lpstr>
      <vt:lpstr>Discriptive Statistics</vt:lpstr>
      <vt:lpstr>Nieghbourhood Vs Price Boxplot</vt:lpstr>
      <vt:lpstr>Room Type Vs Price</vt:lpstr>
      <vt:lpstr>Correlation</vt:lpstr>
      <vt:lpstr>Regression Model Before</vt:lpstr>
      <vt:lpstr>Regression Model</vt:lpstr>
      <vt:lpstr>Manhattan Regression</vt:lpstr>
      <vt:lpstr>Actual Price Vs Estimated 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Shahmeer Shaikh</dc:creator>
  <cp:lastModifiedBy>Shahmeer Shaikh</cp:lastModifiedBy>
  <dcterms:created xsi:type="dcterms:W3CDTF">2026-04-08T00:21:51Z</dcterms:created>
  <dcterms:modified xsi:type="dcterms:W3CDTF">2026-04-21T03:40:37Z</dcterms:modified>
</cp:coreProperties>
</file>